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E489FF08-6F22-4F42-B784-78880B3E00E7}" xr6:coauthVersionLast="41" xr6:coauthVersionMax="41" xr10:uidLastSave="{00000000-0000-0000-0000-000000000000}"/>
  <bookViews>
    <workbookView xWindow="-120" yWindow="-120" windowWidth="20730" windowHeight="11160" firstSheet="8" activeTab="10"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 name="Movil 54" sheetId="10" r:id="rId10"/>
    <sheet name="Movil 46" sheetId="11" r:id="rId11"/>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4" l="1"/>
  <c r="B37" i="4"/>
  <c r="B86" i="4"/>
  <c r="B61" i="4"/>
  <c r="B54" i="4"/>
  <c r="B34" i="4"/>
  <c r="B63" i="4"/>
  <c r="B88" i="4"/>
  <c r="B39" i="4"/>
  <c r="B89" i="4"/>
  <c r="B60" i="4"/>
  <c r="B62" i="4"/>
  <c r="B90" i="4"/>
  <c r="B85" i="4"/>
  <c r="B65" i="4"/>
  <c r="B87" i="4"/>
  <c r="B35" i="4"/>
  <c r="B66" i="4"/>
  <c r="B40" i="4"/>
  <c r="B64" i="4"/>
  <c r="B38" i="4"/>
  <c r="B67" i="4"/>
  <c r="B10" i="4"/>
  <c r="B11" i="4"/>
  <c r="B59" i="4"/>
  <c r="B29" i="7"/>
  <c r="B6" i="7"/>
  <c r="B5" i="7"/>
  <c r="B25" i="7"/>
  <c r="B28" i="7"/>
  <c r="B4" i="7"/>
  <c r="B75" i="8"/>
  <c r="B29" i="8"/>
  <c r="B77" i="8"/>
  <c r="B76" i="8"/>
  <c r="B30" i="8"/>
  <c r="B31" i="8"/>
  <c r="B119" i="1"/>
  <c r="B105" i="1"/>
  <c r="B27" i="1"/>
  <c r="B69" i="1"/>
</calcChain>
</file>

<file path=xl/sharedStrings.xml><?xml version="1.0" encoding="utf-8"?>
<sst xmlns="http://schemas.openxmlformats.org/spreadsheetml/2006/main" count="2649" uniqueCount="716">
  <si>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</si>
  <si>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</si>
  <si>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</si>
  <si>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</si>
  <si>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</si>
  <si>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</si>
  <si>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</si>
  <si>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</si>
  <si>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</si>
  <si>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</si>
  <si>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</si>
  <si>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</si>
  <si>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</si>
  <si>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</si>
  <si>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</si>
  <si>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</si>
  <si>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</si>
  <si>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</si>
  <si>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</si>
  <si>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</si>
  <si>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</si>
  <si>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</si>
  <si>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</si>
  <si>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</si>
  <si>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</si>
  <si>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</si>
  <si>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</si>
  <si>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</si>
  <si>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</si>
  <si>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</si>
  <si>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</si>
  <si>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</si>
  <si>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</si>
  <si>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</si>
  <si>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</si>
  <si>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</si>
  <si>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</si>
  <si>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</si>
  <si>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</si>
  <si>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</si>
  <si>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</si>
  <si>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</si>
  <si>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</si>
  <si>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</si>
  <si>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</si>
  <si>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</si>
  <si>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</si>
  <si>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</si>
  <si>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</si>
  <si>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</si>
  <si>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</si>
  <si>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</si>
  <si>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</si>
  <si>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</si>
  <si>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</si>
  <si>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</si>
  <si>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</si>
  <si>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</si>
  <si>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</si>
  <si>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</si>
  <si>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</si>
  <si>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</si>
  <si>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</si>
  <si>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</si>
  <si>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</si>
  <si>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</si>
  <si>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</si>
  <si>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</si>
  <si>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</si>
  <si>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</si>
  <si>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</si>
  <si>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</si>
  <si>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</si>
  <si>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</si>
  <si>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</si>
  <si>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</si>
  <si>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</si>
  <si>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</si>
  <si>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</si>
  <si>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</si>
  <si>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</si>
  <si>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</si>
  <si>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</si>
  <si>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</si>
  <si>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</si>
  <si>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</si>
  <si>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</si>
  <si>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</si>
  <si>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</si>
  <si>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</si>
  <si>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</si>
  <si>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</si>
  <si>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</si>
  <si>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</si>
  <si>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</si>
  <si>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</si>
  <si>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</si>
  <si>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</si>
  <si>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</si>
  <si>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</si>
  <si>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</si>
  <si>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</si>
  <si>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</si>
  <si>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</si>
  <si>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</si>
  <si>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</si>
  <si>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</si>
  <si>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</si>
  <si>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</si>
  <si>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</si>
  <si>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</si>
  <si>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</si>
  <si>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</si>
  <si>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</si>
  <si>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</si>
  <si>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</si>
  <si>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</si>
  <si>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</si>
  <si>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</si>
  <si>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</si>
  <si>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</si>
  <si>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</si>
  <si>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</si>
  <si>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</si>
  <si>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</si>
  <si>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</si>
  <si>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</si>
  <si>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</si>
  <si>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</si>
  <si>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</si>
  <si>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</si>
  <si>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</si>
  <si>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</si>
  <si>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</si>
  <si>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</si>
  <si>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</si>
  <si>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</si>
  <si>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</si>
  <si>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</si>
  <si>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</si>
  <si>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</si>
  <si>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</si>
  <si>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</si>
  <si>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</si>
  <si>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</si>
  <si>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</si>
  <si>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</si>
  <si>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</si>
  <si>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</si>
  <si>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</si>
  <si>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</si>
  <si>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</si>
  <si>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</si>
  <si>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</si>
  <si>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</si>
  <si>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</si>
  <si>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</si>
  <si>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</si>
  <si>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</si>
  <si>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</si>
  <si>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</si>
  <si>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</si>
  <si>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</si>
  <si>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</si>
  <si>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</si>
  <si>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</si>
  <si>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</si>
  <si>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</si>
  <si>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</si>
  <si>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</si>
  <si>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</si>
  <si>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</si>
  <si>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</si>
  <si>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</si>
  <si>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</si>
  <si>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</si>
  <si>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</si>
  <si>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</si>
  <si>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</si>
  <si>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</si>
  <si>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</si>
  <si>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</si>
  <si>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</si>
  <si>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</si>
  <si>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</si>
  <si>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</si>
  <si>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</si>
  <si>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</si>
  <si>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</si>
  <si>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</si>
  <si>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</si>
  <si>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</si>
  <si>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</si>
  <si>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</si>
  <si>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</si>
  <si>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</si>
  <si>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</si>
  <si>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</si>
  <si>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</si>
  <si>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</si>
  <si>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</si>
  <si>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</si>
  <si>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</si>
  <si>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</si>
  <si>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</si>
  <si>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</si>
  <si>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</si>
  <si>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</si>
  <si>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</si>
  <si>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</si>
  <si>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</si>
  <si>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</si>
  <si>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</si>
  <si>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</si>
  <si>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</si>
  <si>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</si>
  <si>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</si>
  <si>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</si>
  <si>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</si>
  <si>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</si>
  <si>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</si>
  <si>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</si>
  <si>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</si>
  <si>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</si>
  <si>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</si>
  <si>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</si>
  <si>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</si>
  <si>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</si>
  <si>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</si>
  <si>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</si>
  <si>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</si>
  <si>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</si>
  <si>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</si>
  <si>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</si>
  <si>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</si>
  <si>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</si>
  <si>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</si>
  <si>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</si>
  <si>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</si>
  <si>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</si>
  <si>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</si>
  <si>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</si>
  <si>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</si>
  <si>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</si>
  <si>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</si>
  <si>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</si>
  <si>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</si>
  <si>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</si>
  <si>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</si>
  <si>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</si>
  <si>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</si>
  <si>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</si>
  <si>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</si>
  <si>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</si>
  <si>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</si>
  <si>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</si>
  <si>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</si>
  <si>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</si>
  <si>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</si>
  <si>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</si>
  <si>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</si>
  <si>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</si>
  <si>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</si>
  <si>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</si>
  <si>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</si>
  <si>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</si>
  <si>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</si>
  <si>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</si>
  <si>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</si>
  <si>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</si>
  <si>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</si>
  <si>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</si>
  <si>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</si>
  <si>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</si>
  <si>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</si>
  <si>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</si>
  <si>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</si>
  <si>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</si>
  <si>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</si>
  <si>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</si>
  <si>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</si>
  <si>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</si>
  <si>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</si>
  <si>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</si>
  <si>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</si>
  <si>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</si>
  <si>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</si>
  <si>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</si>
  <si>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</si>
  <si>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</si>
  <si>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</si>
  <si>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</si>
  <si>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</si>
  <si>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</si>
  <si>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</si>
  <si>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</si>
  <si>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</si>
  <si>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</si>
  <si>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</si>
  <si>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</si>
  <si>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</si>
  <si>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</si>
  <si>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</si>
  <si>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</si>
  <si>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</si>
  <si>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</si>
  <si>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</si>
  <si>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</si>
  <si>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</si>
  <si>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</si>
  <si>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</si>
  <si>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</si>
  <si>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</si>
  <si>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</si>
  <si>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</si>
  <si>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</si>
  <si>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</si>
  <si>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</si>
  <si>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</si>
  <si>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</si>
  <si>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</si>
  <si>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</si>
  <si>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</si>
  <si>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</si>
  <si>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</si>
  <si>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</si>
  <si>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</si>
  <si>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</si>
  <si>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</si>
  <si>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</si>
  <si>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</si>
  <si>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</si>
  <si>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</si>
  <si>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</si>
  <si>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</si>
  <si>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</si>
  <si>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</si>
  <si>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</si>
  <si>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</si>
  <si>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</si>
  <si>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</si>
  <si>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</si>
  <si>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</si>
  <si>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</si>
  <si>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</si>
  <si>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</si>
  <si>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</si>
  <si>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</si>
  <si>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</si>
  <si>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</si>
  <si>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</si>
  <si>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</si>
  <si>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</si>
  <si>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</si>
  <si>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</si>
  <si>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</si>
  <si>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</si>
  <si>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</si>
  <si>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</si>
  <si>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</si>
  <si>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</si>
  <si>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</si>
  <si>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</si>
  <si>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</si>
  <si>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</si>
  <si>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</si>
  <si>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</si>
  <si>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</si>
  <si>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</si>
  <si>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</si>
  <si>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</si>
  <si>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</si>
  <si>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</si>
  <si>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</si>
  <si>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</si>
  <si>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</si>
  <si>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</si>
  <si>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</si>
  <si>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</si>
  <si>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</si>
  <si>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</si>
  <si>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</si>
  <si>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</si>
  <si>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</si>
  <si>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</si>
  <si>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</si>
  <si>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</si>
  <si>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</si>
  <si>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</si>
  <si>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</si>
  <si>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</si>
  <si>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</si>
  <si>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</si>
  <si>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</si>
  <si>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</si>
  <si>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</si>
  <si>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</si>
  <si>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</si>
  <si>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</si>
  <si>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</si>
  <si>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</si>
  <si>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</si>
  <si>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</si>
  <si>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</si>
  <si>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</si>
  <si>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</si>
  <si>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</si>
  <si>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</si>
  <si>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</si>
  <si>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</si>
  <si>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</si>
  <si>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</si>
  <si>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</si>
  <si>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</si>
  <si>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</si>
  <si>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</si>
  <si>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</si>
  <si>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</si>
  <si>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</si>
  <si>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</si>
  <si>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</si>
  <si>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</si>
  <si>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</si>
  <si>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</si>
  <si>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</si>
  <si>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</si>
  <si>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</si>
  <si>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</si>
  <si>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</si>
  <si>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</si>
  <si>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</si>
  <si>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</si>
  <si>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</si>
  <si>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</si>
  <si>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</si>
  <si>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</si>
  <si>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</si>
  <si>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</si>
  <si>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</si>
  <si>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</si>
  <si>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</si>
  <si>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</si>
  <si>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</si>
  <si>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</si>
  <si>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</si>
  <si>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</si>
  <si>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</si>
  <si>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</si>
  <si>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</si>
  <si>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</si>
  <si>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</si>
  <si>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</si>
  <si>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</si>
  <si>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</si>
  <si>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</si>
  <si>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</si>
  <si>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</si>
  <si>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</si>
  <si>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</si>
  <si>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</si>
  <si>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</si>
  <si>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</si>
  <si>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</si>
  <si>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</si>
  <si>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</si>
  <si>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</si>
  <si>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</si>
  <si>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</si>
  <si>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</si>
  <si>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</si>
  <si>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</si>
  <si>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</si>
  <si>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</si>
  <si>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</si>
  <si>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</si>
  <si>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</si>
  <si>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</si>
  <si>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</si>
  <si>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</si>
  <si>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</si>
  <si>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</si>
  <si>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</si>
  <si>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</si>
  <si>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</si>
  <si>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</si>
  <si>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</si>
  <si>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</si>
  <si>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</si>
  <si>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</si>
  <si>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</si>
  <si>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</si>
  <si>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</si>
  <si>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</si>
  <si>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</si>
  <si>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</si>
  <si>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</si>
  <si>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</si>
  <si>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</si>
  <si>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</si>
  <si>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</si>
  <si>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</si>
  <si>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</si>
  <si>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</si>
  <si>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</si>
  <si>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</si>
  <si>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</si>
  <si>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</si>
  <si>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</si>
  <si>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</si>
  <si>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</si>
  <si>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</si>
  <si>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</si>
  <si>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</si>
  <si>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</si>
  <si>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</si>
  <si>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</si>
  <si>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</si>
  <si>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</si>
  <si>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</si>
  <si>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</si>
  <si>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</si>
  <si>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</si>
  <si>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</si>
  <si>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</si>
  <si>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</si>
  <si>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</si>
  <si>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</si>
  <si>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</si>
  <si>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</si>
  <si>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</si>
  <si>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</si>
  <si>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</si>
  <si>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</si>
  <si>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</si>
  <si>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</si>
  <si>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</si>
  <si>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</si>
  <si>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</si>
  <si>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</si>
  <si>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</si>
  <si>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</si>
  <si>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</si>
  <si>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</si>
  <si>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</si>
  <si>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</si>
  <si>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</si>
  <si>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</si>
  <si>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</si>
  <si>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</si>
  <si>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</si>
  <si>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</si>
  <si>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</si>
  <si>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</si>
  <si>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</si>
  <si>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</si>
  <si>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</si>
  <si>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</si>
  <si>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</si>
  <si>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</si>
  <si>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</si>
  <si>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</si>
  <si>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</si>
  <si>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</si>
  <si>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</si>
  <si>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</si>
  <si>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</si>
  <si>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</si>
  <si>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</si>
  <si>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</si>
  <si>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</si>
  <si>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</si>
  <si>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</si>
  <si>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</si>
  <si>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</si>
  <si>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</si>
  <si>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</si>
  <si>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</si>
  <si>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</si>
  <si>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</si>
  <si>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</si>
  <si>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</si>
  <si>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</si>
  <si>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</si>
  <si>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</si>
  <si>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</si>
  <si>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</si>
  <si>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</si>
  <si>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</si>
  <si>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</si>
  <si>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</si>
  <si>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</si>
  <si>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</si>
  <si>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</si>
  <si>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</si>
  <si>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</si>
  <si>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</si>
  <si>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</si>
  <si>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</si>
  <si>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</si>
  <si>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</si>
  <si>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</si>
  <si>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</si>
  <si>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</si>
  <si>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</si>
  <si>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</si>
  <si>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</si>
  <si>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</si>
  <si>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</si>
  <si>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</si>
  <si>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</si>
  <si>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</si>
  <si>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</si>
  <si>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</si>
  <si>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</si>
  <si>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</si>
  <si>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</si>
  <si>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</si>
  <si>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</si>
  <si>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</si>
  <si>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</si>
  <si>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</si>
  <si>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</si>
  <si>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</si>
  <si>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</si>
  <si>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</si>
  <si>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</si>
  <si>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</si>
  <si>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</si>
  <si>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</si>
  <si>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</si>
  <si>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</si>
  <si>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</si>
  <si>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</si>
  <si>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</si>
  <si>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</si>
  <si>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</si>
  <si>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</si>
  <si>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</si>
  <si>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</si>
  <si>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</si>
  <si>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</si>
  <si>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</si>
  <si>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</si>
  <si>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</si>
  <si>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</si>
  <si>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</si>
  <si>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</si>
  <si>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</si>
  <si>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</si>
  <si>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</si>
  <si>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</si>
  <si>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</si>
  <si>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</si>
  <si>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</si>
  <si>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</si>
  <si>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</si>
  <si>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</si>
  <si>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</si>
  <si>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</si>
  <si>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</si>
  <si>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</si>
  <si>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</si>
  <si>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</si>
  <si>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</si>
  <si>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</si>
  <si>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</si>
  <si>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</si>
  <si>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</si>
  <si>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</si>
  <si>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</si>
  <si>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</si>
  <si>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</si>
  <si>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</si>
  <si>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</si>
  <si>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</si>
  <si>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</si>
  <si>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</si>
  <si>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</si>
  <si>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</si>
  <si>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</si>
  <si>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</si>
  <si>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</si>
  <si>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</si>
  <si>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</si>
  <si>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</si>
  <si>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</si>
  <si>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</si>
  <si>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</si>
  <si>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</si>
  <si>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</si>
  <si>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</si>
  <si>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</si>
  <si>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</si>
  <si>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</si>
  <si>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</si>
  <si>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</si>
  <si>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</si>
  <si>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</si>
  <si>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</si>
  <si>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</si>
  <si>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</si>
  <si>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</si>
  <si>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</si>
  <si>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</si>
  <si>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</si>
  <si>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</si>
  <si>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</si>
  <si>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</si>
  <si>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Son storz?</t>
  </si>
  <si>
    <t>combinada S/corte rapido S/ reg. Caudal</t>
  </si>
  <si>
    <t>???</t>
  </si>
  <si>
    <t>Clase "C" Esto es lo que se coloco como Jailbreak?</t>
  </si>
  <si>
    <t>Solo decia ferulas. Cuales? Inflables? Para que extremidad?</t>
  </si>
  <si>
    <t>Tanque de agua palstico 1000L</t>
  </si>
  <si>
    <t>Moto-Bomba</t>
  </si>
  <si>
    <t>Tanque de agua 1000L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</si>
</sst>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6">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1" fillId="2" borderId="0" xfId="1" applyAlignment="1">
      <alignment horizontal="center"/>
    </xf>
    <xf numFmtId="0" fontId="4" fillId="0" borderId="0" xfId="0" applyFont="1" applyAlignment="1">
      <alignment horizontal="left" vertical="center"/>
    </xf>
  </cellXfs>
  <cellStyles count="2">
    <cellStyle name="Accent1" xfId="1" builtinId="29"/>
    <cellStyle name="Normal" xfId="0" builtinId="0"/>
  </cellStyles>
  <dxfs count="92">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91" dataDxfId="90">
  <autoFilter ref="A1:H131" xr:uid="{00000000-0009-0000-0100-000001000000}">
    <filterColumn colId="7">
      <filters>
        <filter val="Asiento 1"/>
        <filter val="Asiento 2"/>
      </filters>
    </filterColumn>
  </autoFilter>
  <sortState ref="A2:H136">
    <sortCondition ref="G2:G136"/>
    <sortCondition ref="H2:H136"/>
  </sortState>
  <tableColumns count="8">
    <tableColumn id="1" xr3:uid="{00000000-0010-0000-0000-000001000000}" name="Categoria" dataDxfId="89"/>
    <tableColumn id="2" xr3:uid="{00000000-0010-0000-0000-000002000000}" name="Descripcion" dataDxfId="88"/>
    <tableColumn id="3" xr3:uid="{00000000-0010-0000-0000-000003000000}" name="Medidas" dataDxfId="87"/>
    <tableColumn id="4" xr3:uid="{00000000-0010-0000-0000-000004000000}" name="marca" dataDxfId="86"/>
    <tableColumn id="5" xr3:uid="{00000000-0010-0000-0000-000005000000}" name="N/ de serie" dataDxfId="85"/>
    <tableColumn id="7" xr3:uid="{20A560DE-96A4-4C20-8E3B-6987DAD27B3D}" name="cant" dataDxfId="84"/>
    <tableColumn id="6" xr3:uid="{00000000-0010-0000-0000-000006000000}" name="Cajonera" dataDxfId="83"/>
    <tableColumn id="8" xr3:uid="{6A730937-5917-4102-A73F-F22FC5E46982}" name="Compartimiento" dataDxfId="8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81" dataDxfId="80">
  <autoFilter ref="A1:H98" xr:uid="{4420E20B-53C0-415C-9CB8-8EBBE392DB7E}"/>
  <sortState ref="A2:H136">
    <sortCondition ref="G2:G136"/>
    <sortCondition ref="H2:H136"/>
  </sortState>
  <tableColumns count="8">
    <tableColumn id="1" xr3:uid="{45F247E6-E4F8-4524-8BAC-4E5305BFD4E8}" name="Categoria" dataDxfId="79"/>
    <tableColumn id="2" xr3:uid="{18D75DA7-F382-464D-90FD-E4E0506B8A6E}" name="Descripcion" dataDxfId="78"/>
    <tableColumn id="3" xr3:uid="{E2793599-1DAF-466B-A1AD-A54BA4C6AC06}" name="Medidas" dataDxfId="77"/>
    <tableColumn id="4" xr3:uid="{46F5E322-E424-487F-AE67-B4E3358E403F}" name="marca" dataDxfId="76"/>
    <tableColumn id="5" xr3:uid="{3D283D2B-D541-479C-87FD-6AA3D3CF8E18}" name="N/ de serie" dataDxfId="75"/>
    <tableColumn id="7" xr3:uid="{1D224AAD-0462-40C4-9698-3AD0B9B09F9C}" name="cant" dataDxfId="74"/>
    <tableColumn id="6" xr3:uid="{E962ECD1-4DEF-4678-96D7-81953010DD85}" name="Cajonera" dataDxfId="73"/>
    <tableColumn id="8" xr3:uid="{DDA87DEE-616F-4F4F-B1CF-4AFC1D7DDE80}" name="Compartimiento" dataDxfId="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71" dataDxfId="70">
  <autoFilter ref="A1:H108" xr:uid="{00254174-483B-40DF-A806-D062C22867F7}"/>
  <sortState ref="A2:H79">
    <sortCondition ref="G1:G79"/>
  </sortState>
  <tableColumns count="8">
    <tableColumn id="1" xr3:uid="{5C129E02-49ED-404D-8803-23BEEE082B13}" name="Categoria" dataDxfId="69"/>
    <tableColumn id="2" xr3:uid="{08752A4C-B745-47BD-916C-8371AA823B30}" name="Descripcion" dataDxfId="68"/>
    <tableColumn id="3" xr3:uid="{D9947D9F-91DC-48F8-80F0-740777B930CC}" name="Medidas" dataDxfId="67"/>
    <tableColumn id="4" xr3:uid="{83541DD3-29AB-4FE0-9DE9-7D8BE5E78196}" name="marca" dataDxfId="66"/>
    <tableColumn id="5" xr3:uid="{9713A367-BEFE-4DF4-8B3D-E3AF8E87D8E7}" name="N/ de serie" dataDxfId="65"/>
    <tableColumn id="7" xr3:uid="{9D266E2D-E8B4-43A5-8816-E295D94D2A54}" name="cant" dataDxfId="64"/>
    <tableColumn id="6" xr3:uid="{4AF3B0F9-84DE-4653-A23E-C2CFBC721A37}" name="Cajonera" dataDxfId="63"/>
    <tableColumn id="8" xr3:uid="{255D225F-46DC-4AF1-9C5F-A6DC06571BC6}" name="Compartimiento" dataDxfId="6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61" dataDxfId="60">
  <autoFilter ref="A1:H16" xr:uid="{00254174-483B-40DF-A806-D062C22867F7}"/>
  <sortState ref="A2:H135">
    <sortCondition ref="G2:G135"/>
    <sortCondition ref="H2:H135"/>
    <sortCondition ref="A2:A135"/>
  </sortState>
  <tableColumns count="8">
    <tableColumn id="1" xr3:uid="{7762CF18-0359-4492-B4ED-710C2ACA3AD8}" name="Categoria" dataDxfId="59"/>
    <tableColumn id="2" xr3:uid="{982DCC3C-D12D-4640-A32E-79F71F293297}" name="Descripcion" dataDxfId="58"/>
    <tableColumn id="3" xr3:uid="{C74DD3A9-C890-46F2-B066-1E8734A70F10}" name="Medidas" dataDxfId="57"/>
    <tableColumn id="4" xr3:uid="{99E6F613-CBD2-473A-BDCE-1F04B38ED8A1}" name="marca" dataDxfId="56"/>
    <tableColumn id="5" xr3:uid="{D00DBFC2-B0D3-40E1-AACD-2CEA831C5A4A}" name="N/ de serie" dataDxfId="55"/>
    <tableColumn id="7" xr3:uid="{B766F210-A0F3-4E00-BCA4-192046AAC52E}" name="cant" dataDxfId="54"/>
    <tableColumn id="6" xr3:uid="{8D465A67-0F78-40E6-9E8A-323E2CC14EBF}" name="Cajonera" dataDxfId="53"/>
    <tableColumn id="8" xr3:uid="{3E183286-0CB5-4BAA-96D9-64884EE8C037}" name="Compartimiento" dataDxfId="5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51" dataDxfId="50">
  <autoFilter ref="A1:H9" xr:uid="{457D8B93-05A8-45D1-A609-71A6A311AD05}"/>
  <sortState ref="A2:H135">
    <sortCondition ref="G2:G135"/>
    <sortCondition ref="H2:H135"/>
    <sortCondition ref="A2:A135"/>
  </sortState>
  <tableColumns count="8">
    <tableColumn id="1" xr3:uid="{55BD14F0-E66D-452C-AFF3-87BBA173A115}" name="Categoria" dataDxfId="49"/>
    <tableColumn id="2" xr3:uid="{60F3859F-A565-4FB3-981A-BD333DBD68CB}" name="Descripcion" dataDxfId="48"/>
    <tableColumn id="3" xr3:uid="{506B4F8D-96F8-480A-ABAA-ED38D4D1E27F}" name="Medidas" dataDxfId="47"/>
    <tableColumn id="4" xr3:uid="{43411A3F-3399-4BC0-849F-F795ACF9FFE9}" name="marca" dataDxfId="46"/>
    <tableColumn id="5" xr3:uid="{1ED9114D-170A-43B6-B49C-6D57225B4023}" name="N/ de serie" dataDxfId="45"/>
    <tableColumn id="7" xr3:uid="{0E3B0CE1-7CEE-4F0F-9B55-4D0171D39B85}" name="cant" dataDxfId="44"/>
    <tableColumn id="6" xr3:uid="{ABC8F4C2-BB8E-4F4D-A226-E6E794842ED3}" name="Cajonera" dataDxfId="43"/>
    <tableColumn id="8" xr3:uid="{3BA68BFC-1ECF-4773-9364-E4875D861C00}" name="Compartimiento" dataDxfId="4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41" dataDxfId="40">
  <autoFilter ref="A1:H21" xr:uid="{9BEA3E99-12FC-4092-94CA-0CD530761350}"/>
  <sortState ref="A2:H135">
    <sortCondition ref="G2:G135"/>
    <sortCondition ref="H2:H135"/>
    <sortCondition ref="A2:A135"/>
  </sortState>
  <tableColumns count="8">
    <tableColumn id="1" xr3:uid="{59F451BF-799E-467F-87E6-D1A92B2F2F19}" name="Categoria" dataDxfId="39"/>
    <tableColumn id="2" xr3:uid="{7B78AF34-49C2-4BC7-88BB-EB59466AF70E}" name="Descripcion" dataDxfId="38"/>
    <tableColumn id="3" xr3:uid="{91AE2D4D-14E6-4D02-A2AE-5C64C2399D48}" name="Medidas" dataDxfId="37"/>
    <tableColumn id="4" xr3:uid="{5862D588-22B6-471B-9202-79CB070BA9F1}" name="marca" dataDxfId="36"/>
    <tableColumn id="5" xr3:uid="{2E34E0CF-7BE5-4082-9DDE-726BF5669D7D}" name="N/ de serie" dataDxfId="35"/>
    <tableColumn id="7" xr3:uid="{2E9D9731-27A3-4A80-B0FD-D982940A817F}" name="cant" dataDxfId="34"/>
    <tableColumn id="6" xr3:uid="{29E6860E-7FCC-42E5-BD7A-DD1148407EF7}" name="Cajonera" dataDxfId="33"/>
    <tableColumn id="8" xr3:uid="{176739AE-F62A-4931-BD7F-D9296054E437}" name="Compartimiento" dataDxfId="3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3" totalsRowShown="0" headerRowDxfId="31" dataDxfId="30">
  <autoFilter ref="A1:H33" xr:uid="{00000000-0009-0000-0100-000001000000}"/>
  <sortState ref="A2:H135">
    <sortCondition ref="G2:G135"/>
    <sortCondition ref="H2:H135"/>
    <sortCondition ref="A2:A135"/>
  </sortState>
  <tableColumns count="8">
    <tableColumn id="1" xr3:uid="{F908C9F5-DD8B-443A-A527-DCABD33B8237}" name="Categoria" dataDxfId="29"/>
    <tableColumn id="2" xr3:uid="{8036B6F2-C43F-461F-A164-185E9010DABA}" name="Descripcion" dataDxfId="28"/>
    <tableColumn id="3" xr3:uid="{4B73C355-844D-4708-8DD2-3BAA3380C699}" name="Medidas" dataDxfId="27"/>
    <tableColumn id="4" xr3:uid="{0D85BE5C-3096-482C-BC13-95741D8C8766}" name="marca" dataDxfId="26"/>
    <tableColumn id="5" xr3:uid="{86876B37-5F66-4B8C-9658-6F4D3F570100}" name="N/ de serie" dataDxfId="25"/>
    <tableColumn id="7" xr3:uid="{DDA2BF92-6F99-4EE6-8D4C-490484E63590}" name="cant" dataDxfId="24"/>
    <tableColumn id="6" xr3:uid="{65BD277E-AD38-49FE-8584-2B2393B38D9E}" name="Cajonera" dataDxfId="23"/>
    <tableColumn id="8" xr3:uid="{1DEC6FAA-BE51-4355-AD37-F311FED3A618}" name="Compartimiento" dataDxfId="2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9" totalsRowShown="0" headerRowDxfId="21" tableBorderDxfId="20">
  <autoFilter ref="A1:A109" xr:uid="{174CB354-0B9D-4924-BB13-8A0DA131CB54}"/>
  <sortState ref="A2:A109">
    <sortCondition ref="A1:A109"/>
  </sortState>
  <tableColumns count="1">
    <tableColumn id="1" xr3:uid="{C30558D4-D1AA-40E7-AAB9-B74AC8C72DD6}" name="Categorias disponible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19" dataDxfId="18">
  <autoFilter ref="A1:H33" xr:uid="{EE60CB91-E66E-4B94-BADC-73B0217D7692}"/>
  <sortState ref="A2:H135">
    <sortCondition ref="G2:G135"/>
    <sortCondition ref="H2:H135"/>
    <sortCondition ref="A2:A135"/>
  </sortState>
  <tableColumns count="8">
    <tableColumn id="1" xr3:uid="{3D3EEF2E-B775-49EA-9945-33EFCC82535B}" name="Categoria" dataDxfId="17"/>
    <tableColumn id="2" xr3:uid="{999E3447-0265-44E2-B747-FA6F2EBE169D}" name="Descripcion" dataDxfId="16"/>
    <tableColumn id="3" xr3:uid="{12BDFB71-75C7-446B-BCF7-1047DAFF3ADE}" name="Medidas" dataDxfId="15"/>
    <tableColumn id="4" xr3:uid="{F8ACE0BE-5D90-48DF-9F45-DE491F39B72B}" name="marca" dataDxfId="14"/>
    <tableColumn id="5" xr3:uid="{D4482888-34CA-4530-B2E5-3ED88C8D3088}" name="N/ de serie" dataDxfId="13"/>
    <tableColumn id="7" xr3:uid="{108EA62C-813D-4392-9EA6-C3425C840871}" name="cant" dataDxfId="12"/>
    <tableColumn id="6" xr3:uid="{CA59F73D-026B-4A4D-8E48-EB1B6CE17072}" name="Cajonera" dataDxfId="11"/>
    <tableColumn id="8" xr3:uid="{4E05A0C2-E1DF-46E3-9ED0-732250BF0F12}" name="Compartimiento" dataDxfId="1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4" dataDxfId="3">
  <autoFilter ref="A1:H6" xr:uid="{A5908FBA-116C-427F-AA54-0AD2EE632FAF}"/>
  <sortState ref="A2:H135">
    <sortCondition ref="G2:G135"/>
    <sortCondition ref="H2:H135"/>
    <sortCondition ref="A2:A135"/>
  </sortState>
  <tableColumns count="8">
    <tableColumn id="1" xr3:uid="{8D9ADBA2-6DED-4412-8C95-D2E3D5C85E29}" name="Categoria" dataDxfId="9"/>
    <tableColumn id="2" xr3:uid="{1F788147-D057-4410-8E99-BD1062ADCF5B}" name="Descripcion" dataDxfId="8"/>
    <tableColumn id="3" xr3:uid="{A0F34A60-DD95-447C-A4EC-61D157C44676}" name="Medidas" dataDxfId="7"/>
    <tableColumn id="4" xr3:uid="{E5C683E7-68B3-4924-A184-FF808C319A79}" name="marca" dataDxfId="6"/>
    <tableColumn id="5" xr3:uid="{B629A735-91AA-4F7E-925A-261C3DB10308}" name="N/ de serie" dataDxfId="5"/>
    <tableColumn id="7" xr3:uid="{A57FB101-5784-4949-9029-BA17A10098FA}" name="cant" dataDxfId="2"/>
    <tableColumn id="6" xr3:uid="{A596D4DD-A5FA-4A2A-A32A-777757E03F54}" name="Cajonera" dataDxfId="1"/>
    <tableColumn id="8" xr3:uid="{F896BB72-11E5-4D81-97C6-FA0E9F11B31E}" name="Compartimiento" dataDxfId="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9.bin"/><Relationship Id="rId5" Type="http://schemas.openxmlformats.org/officeDocument/2006/relationships/table" Target="../tables/table34.xml"/><Relationship Id="rId4" Type="http://schemas.openxmlformats.org/officeDocument/2006/relationships/table" Target="../tables/table3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table" Target="../tables/table36.xml"/><Relationship Id="rId1" Type="http://schemas.openxmlformats.org/officeDocument/2006/relationships/table" Target="../tables/table35.xml"/><Relationship Id="rId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workbookViewId="0">
      <pane ySplit="1" topLeftCell="A2" activePane="bottomLeft" state="frozen"/>
      <selection pane="bottomLeft" activeCell="A98" sqref="A1:AE13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hidden="1" x14ac:dyDescent="0.25">
      <c r="A2" s="4" t="s">
        <v>97</v>
      </c>
      <c r="B2" s="7" t="s">
        <v>85</v>
      </c>
      <c r="C2" s="6"/>
      <c r="D2" s="6" t="s">
        <v>96</v>
      </c>
      <c r="E2" s="6">
        <v>315000341</v>
      </c>
      <c r="F2" s="6">
        <v>1</v>
      </c>
      <c r="G2" s="6" t="s">
        <v>8</v>
      </c>
      <c r="H2" s="6">
        <v>1</v>
      </c>
    </row>
    <row r="3" spans="1:31" hidden="1" x14ac:dyDescent="0.25">
      <c r="A3" s="6" t="s">
        <v>241</v>
      </c>
      <c r="B3" s="7" t="s">
        <v>85</v>
      </c>
      <c r="C3" s="6"/>
      <c r="D3" s="6"/>
      <c r="E3" s="6"/>
      <c r="F3" s="6">
        <v>1</v>
      </c>
      <c r="G3" s="6" t="s">
        <v>8</v>
      </c>
      <c r="H3" s="6">
        <v>1</v>
      </c>
      <c r="K3" t="s">
        <v>0</v>
      </c>
      <c r="L3" t="s">
        <v>1</v>
      </c>
      <c r="M3" t="s">
        <v>2</v>
      </c>
      <c r="N3" s="4" t="s">
        <v>3</v>
      </c>
      <c r="O3" s="4" t="s">
        <v>4</v>
      </c>
      <c r="P3" t="s">
        <v>18</v>
      </c>
      <c r="Q3" t="s">
        <v>14</v>
      </c>
      <c r="W3" t="s">
        <v>28</v>
      </c>
      <c r="Y3" s="14" t="s">
        <v>230</v>
      </c>
      <c r="Z3" s="14"/>
      <c r="AA3" s="14"/>
      <c r="AB3" s="14"/>
      <c r="AC3" s="14"/>
      <c r="AD3" s="14"/>
    </row>
    <row r="4" spans="1:31" hidden="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hidden="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hidden="1" x14ac:dyDescent="0.25">
      <c r="A6" s="6" t="s">
        <v>100</v>
      </c>
      <c r="B6" s="7" t="s">
        <v>102</v>
      </c>
      <c r="C6" s="6" t="s">
        <v>103</v>
      </c>
      <c r="D6" s="6"/>
      <c r="E6" s="6"/>
      <c r="F6" s="6">
        <v>1</v>
      </c>
      <c r="G6" s="6" t="s">
        <v>8</v>
      </c>
      <c r="H6" s="6">
        <v>2</v>
      </c>
      <c r="K6" t="s">
        <v>156</v>
      </c>
      <c r="L6" t="s">
        <v>20</v>
      </c>
      <c r="P6">
        <v>1</v>
      </c>
      <c r="Q6" t="s">
        <v>15</v>
      </c>
      <c r="W6" t="s">
        <v>530</v>
      </c>
      <c r="Y6">
        <v>2</v>
      </c>
      <c r="AC6">
        <v>2</v>
      </c>
      <c r="AD6" t="s">
        <v>233</v>
      </c>
    </row>
    <row r="7" spans="1:31" hidden="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hidden="1" x14ac:dyDescent="0.25">
      <c r="A8" s="6" t="s">
        <v>100</v>
      </c>
      <c r="B8" s="7" t="s">
        <v>113</v>
      </c>
      <c r="C8" s="6"/>
      <c r="D8" s="6" t="s">
        <v>96</v>
      </c>
      <c r="E8" s="6"/>
      <c r="F8" s="6">
        <v>2</v>
      </c>
      <c r="G8" s="6" t="s">
        <v>8</v>
      </c>
      <c r="H8" s="6">
        <v>2</v>
      </c>
      <c r="K8" t="s">
        <v>156</v>
      </c>
      <c r="L8" t="s">
        <v>22</v>
      </c>
      <c r="P8">
        <v>1</v>
      </c>
      <c r="Q8" t="s">
        <v>15</v>
      </c>
      <c r="W8" t="s">
        <v>531</v>
      </c>
      <c r="Y8">
        <v>4</v>
      </c>
    </row>
    <row r="9" spans="1:31" hidden="1" x14ac:dyDescent="0.25">
      <c r="A9" s="6" t="s">
        <v>109</v>
      </c>
      <c r="B9" s="7" t="s">
        <v>110</v>
      </c>
      <c r="C9" s="6" t="s">
        <v>127</v>
      </c>
      <c r="D9" s="6"/>
      <c r="E9" s="6"/>
      <c r="F9" s="6">
        <v>2</v>
      </c>
      <c r="G9" s="6" t="s">
        <v>8</v>
      </c>
      <c r="H9" s="6">
        <v>2</v>
      </c>
      <c r="K9" t="s">
        <v>156</v>
      </c>
      <c r="L9" t="s">
        <v>24</v>
      </c>
      <c r="P9">
        <v>1</v>
      </c>
      <c r="Q9" t="s">
        <v>15</v>
      </c>
    </row>
    <row r="10" spans="1:31" hidden="1" x14ac:dyDescent="0.25">
      <c r="A10" s="6" t="s">
        <v>109</v>
      </c>
      <c r="B10" s="7" t="s">
        <v>114</v>
      </c>
      <c r="C10" s="6" t="s">
        <v>128</v>
      </c>
      <c r="D10" s="6"/>
      <c r="E10" s="6"/>
      <c r="F10" s="6">
        <v>1</v>
      </c>
      <c r="G10" s="6" t="s">
        <v>8</v>
      </c>
      <c r="H10" s="6">
        <v>2</v>
      </c>
      <c r="K10" t="s">
        <v>156</v>
      </c>
      <c r="L10" t="s">
        <v>25</v>
      </c>
      <c r="P10">
        <v>1</v>
      </c>
      <c r="Q10" t="s">
        <v>15</v>
      </c>
    </row>
    <row r="11" spans="1:31" hidden="1" x14ac:dyDescent="0.25">
      <c r="A11" s="6" t="s">
        <v>242</v>
      </c>
      <c r="B11" s="7"/>
      <c r="C11" s="6"/>
      <c r="D11" s="6" t="s">
        <v>96</v>
      </c>
      <c r="E11" s="6"/>
      <c r="F11" s="6">
        <v>1</v>
      </c>
      <c r="G11" s="6" t="s">
        <v>8</v>
      </c>
      <c r="H11" s="6">
        <v>2</v>
      </c>
      <c r="K11" t="s">
        <v>156</v>
      </c>
      <c r="L11" t="s">
        <v>26</v>
      </c>
      <c r="P11">
        <v>4</v>
      </c>
      <c r="Q11" t="s">
        <v>15</v>
      </c>
    </row>
    <row r="12" spans="1:31" hidden="1" x14ac:dyDescent="0.25">
      <c r="A12" s="6" t="s">
        <v>105</v>
      </c>
      <c r="B12" s="7"/>
      <c r="C12" s="6" t="s">
        <v>107</v>
      </c>
      <c r="D12" s="6"/>
      <c r="E12" s="6"/>
      <c r="F12" s="6">
        <v>5</v>
      </c>
      <c r="G12" s="6" t="s">
        <v>8</v>
      </c>
      <c r="H12" s="6">
        <v>2</v>
      </c>
      <c r="K12" t="s">
        <v>156</v>
      </c>
      <c r="L12" t="s">
        <v>23</v>
      </c>
      <c r="P12">
        <v>1</v>
      </c>
      <c r="Q12" t="s">
        <v>15</v>
      </c>
    </row>
    <row r="13" spans="1:31" hidden="1" x14ac:dyDescent="0.25">
      <c r="A13" s="6" t="s">
        <v>111</v>
      </c>
      <c r="B13" s="7" t="s">
        <v>112</v>
      </c>
      <c r="C13" s="6"/>
      <c r="D13" s="6"/>
      <c r="E13" s="6"/>
      <c r="F13" s="6">
        <v>1</v>
      </c>
      <c r="G13" s="6" t="s">
        <v>8</v>
      </c>
      <c r="H13" s="6">
        <v>2</v>
      </c>
      <c r="K13" t="s">
        <v>471</v>
      </c>
      <c r="L13" t="s">
        <v>148</v>
      </c>
      <c r="P13">
        <v>10</v>
      </c>
      <c r="Q13" t="s">
        <v>531</v>
      </c>
    </row>
    <row r="14" spans="1:31" hidden="1" x14ac:dyDescent="0.25">
      <c r="A14" s="6" t="s">
        <v>243</v>
      </c>
      <c r="B14" s="7" t="s">
        <v>98</v>
      </c>
      <c r="C14" s="6"/>
      <c r="D14" s="6" t="s">
        <v>99</v>
      </c>
      <c r="E14" s="6"/>
      <c r="F14" s="6">
        <v>1</v>
      </c>
      <c r="G14" s="6" t="s">
        <v>8</v>
      </c>
      <c r="H14" s="6">
        <v>2</v>
      </c>
      <c r="K14" t="s">
        <v>471</v>
      </c>
      <c r="L14" t="s">
        <v>149</v>
      </c>
      <c r="P14">
        <v>4</v>
      </c>
      <c r="Q14" t="s">
        <v>531</v>
      </c>
    </row>
    <row r="15" spans="1:31" hidden="1" x14ac:dyDescent="0.25">
      <c r="A15" s="6" t="s">
        <v>244</v>
      </c>
      <c r="B15" s="7" t="s">
        <v>98</v>
      </c>
      <c r="C15" s="6"/>
      <c r="D15" s="6"/>
      <c r="E15" s="6"/>
      <c r="F15" s="6">
        <v>1</v>
      </c>
      <c r="G15" s="6" t="s">
        <v>8</v>
      </c>
      <c r="H15" s="6">
        <v>2</v>
      </c>
      <c r="K15" t="s">
        <v>471</v>
      </c>
      <c r="L15" t="s">
        <v>150</v>
      </c>
      <c r="P15">
        <v>3</v>
      </c>
      <c r="Q15" t="s">
        <v>531</v>
      </c>
    </row>
    <row r="16" spans="1:31" hidden="1" x14ac:dyDescent="0.25">
      <c r="A16" s="6" t="s">
        <v>116</v>
      </c>
      <c r="B16" s="7"/>
      <c r="C16" s="6" t="s">
        <v>117</v>
      </c>
      <c r="D16" s="6"/>
      <c r="E16" s="6"/>
      <c r="F16" s="6">
        <v>1</v>
      </c>
      <c r="G16" s="6" t="s">
        <v>8</v>
      </c>
      <c r="H16" s="6">
        <v>3</v>
      </c>
      <c r="K16" t="s">
        <v>140</v>
      </c>
      <c r="L16" t="s">
        <v>196</v>
      </c>
      <c r="P16">
        <v>1</v>
      </c>
      <c r="Q16" t="s">
        <v>29</v>
      </c>
    </row>
    <row r="17" spans="1:17" hidden="1" x14ac:dyDescent="0.25">
      <c r="A17" s="6" t="s">
        <v>116</v>
      </c>
      <c r="B17" s="7"/>
      <c r="C17" s="6" t="s">
        <v>38</v>
      </c>
      <c r="D17" s="6"/>
      <c r="E17" s="6"/>
      <c r="F17" s="6">
        <v>1</v>
      </c>
      <c r="G17" s="6" t="s">
        <v>8</v>
      </c>
      <c r="H17" s="6">
        <v>3</v>
      </c>
      <c r="K17" t="s">
        <v>140</v>
      </c>
      <c r="L17" t="s">
        <v>141</v>
      </c>
      <c r="P17">
        <v>0</v>
      </c>
      <c r="Q17" t="s">
        <v>29</v>
      </c>
    </row>
    <row r="18" spans="1:17" hidden="1" x14ac:dyDescent="0.25">
      <c r="A18" s="6" t="s">
        <v>89</v>
      </c>
      <c r="B18" s="7"/>
      <c r="C18" s="6"/>
      <c r="D18" s="6"/>
      <c r="E18" s="6"/>
      <c r="F18" s="6">
        <v>3</v>
      </c>
      <c r="G18" s="6" t="s">
        <v>8</v>
      </c>
      <c r="H18" s="6">
        <v>3</v>
      </c>
      <c r="K18" t="s">
        <v>156</v>
      </c>
      <c r="L18" t="s">
        <v>197</v>
      </c>
      <c r="P18">
        <v>0</v>
      </c>
      <c r="Q18" t="s">
        <v>29</v>
      </c>
    </row>
    <row r="19" spans="1:17" hidden="1" x14ac:dyDescent="0.25">
      <c r="A19" s="6" t="s">
        <v>86</v>
      </c>
      <c r="B19" s="7"/>
      <c r="C19" s="6" t="s">
        <v>52</v>
      </c>
      <c r="D19" s="6"/>
      <c r="E19" s="6"/>
      <c r="F19" s="6">
        <v>1</v>
      </c>
      <c r="G19" s="6" t="s">
        <v>8</v>
      </c>
      <c r="H19" s="6">
        <v>3</v>
      </c>
      <c r="K19" t="s">
        <v>156</v>
      </c>
      <c r="L19" t="s">
        <v>198</v>
      </c>
      <c r="P19">
        <v>2</v>
      </c>
      <c r="Q19" t="s">
        <v>29</v>
      </c>
    </row>
    <row r="20" spans="1:17" hidden="1" x14ac:dyDescent="0.25">
      <c r="A20" s="6" t="s">
        <v>88</v>
      </c>
      <c r="B20" s="7" t="s">
        <v>529</v>
      </c>
      <c r="C20" s="6"/>
      <c r="D20" s="6"/>
      <c r="E20" s="6"/>
      <c r="F20" s="6">
        <v>4</v>
      </c>
      <c r="G20" s="6" t="s">
        <v>8</v>
      </c>
      <c r="H20" s="6">
        <v>3</v>
      </c>
      <c r="K20" t="s">
        <v>156</v>
      </c>
      <c r="L20" t="s">
        <v>199</v>
      </c>
      <c r="P20">
        <v>0</v>
      </c>
      <c r="Q20" t="s">
        <v>29</v>
      </c>
    </row>
    <row r="21" spans="1:17" hidden="1" x14ac:dyDescent="0.25">
      <c r="A21" s="6" t="s">
        <v>88</v>
      </c>
      <c r="B21" s="7" t="s">
        <v>115</v>
      </c>
      <c r="C21" s="6"/>
      <c r="D21" s="6"/>
      <c r="E21" s="6"/>
      <c r="F21" s="6">
        <v>1</v>
      </c>
      <c r="G21" s="6" t="s">
        <v>8</v>
      </c>
      <c r="H21" s="6">
        <v>3</v>
      </c>
      <c r="K21" t="s">
        <v>156</v>
      </c>
      <c r="L21" t="s">
        <v>200</v>
      </c>
      <c r="P21">
        <v>1</v>
      </c>
      <c r="Q21" t="s">
        <v>29</v>
      </c>
    </row>
    <row r="22" spans="1:17" hidden="1" x14ac:dyDescent="0.25">
      <c r="A22" s="6" t="s">
        <v>90</v>
      </c>
      <c r="B22" s="7" t="s">
        <v>91</v>
      </c>
      <c r="C22" s="6"/>
      <c r="D22" s="6"/>
      <c r="E22" s="6"/>
      <c r="F22" s="6">
        <v>1</v>
      </c>
      <c r="G22" s="6" t="s">
        <v>8</v>
      </c>
      <c r="H22" s="6">
        <v>3</v>
      </c>
      <c r="K22" t="s">
        <v>156</v>
      </c>
      <c r="L22" t="s">
        <v>201</v>
      </c>
      <c r="P22">
        <v>1</v>
      </c>
      <c r="Q22" t="s">
        <v>29</v>
      </c>
    </row>
    <row r="23" spans="1:17" hidden="1" x14ac:dyDescent="0.25">
      <c r="A23" s="6" t="s">
        <v>83</v>
      </c>
      <c r="B23" s="7" t="s">
        <v>245</v>
      </c>
      <c r="C23" s="6"/>
      <c r="D23" s="6"/>
      <c r="E23" s="6"/>
      <c r="F23" s="6">
        <v>1</v>
      </c>
      <c r="G23" s="6" t="s">
        <v>8</v>
      </c>
      <c r="H23" s="6">
        <v>4</v>
      </c>
      <c r="K23" t="s">
        <v>156</v>
      </c>
      <c r="L23" t="s">
        <v>26</v>
      </c>
      <c r="P23">
        <v>0</v>
      </c>
      <c r="Q23" t="s">
        <v>29</v>
      </c>
    </row>
    <row r="24" spans="1:17" hidden="1" x14ac:dyDescent="0.25">
      <c r="A24" s="6" t="s">
        <v>80</v>
      </c>
      <c r="B24" s="7" t="s">
        <v>81</v>
      </c>
      <c r="C24" s="6"/>
      <c r="D24" s="6" t="s">
        <v>82</v>
      </c>
      <c r="E24" s="6">
        <v>25</v>
      </c>
      <c r="F24" s="6">
        <v>1</v>
      </c>
      <c r="G24" s="6" t="s">
        <v>8</v>
      </c>
      <c r="H24" s="6">
        <v>4</v>
      </c>
      <c r="K24" t="s">
        <v>156</v>
      </c>
      <c r="L24" t="s">
        <v>202</v>
      </c>
      <c r="P24">
        <v>4</v>
      </c>
      <c r="Q24" t="s">
        <v>29</v>
      </c>
    </row>
    <row r="25" spans="1:17" ht="30" hidden="1" x14ac:dyDescent="0.25">
      <c r="A25" s="6" t="s">
        <v>80</v>
      </c>
      <c r="B25" s="7" t="s">
        <v>84</v>
      </c>
      <c r="C25" s="6"/>
      <c r="D25" s="6"/>
      <c r="E25" s="6"/>
      <c r="F25" s="6">
        <v>1</v>
      </c>
      <c r="G25" s="6" t="s">
        <v>8</v>
      </c>
      <c r="H25" s="6">
        <v>4</v>
      </c>
      <c r="K25" t="s">
        <v>156</v>
      </c>
      <c r="L25" t="s">
        <v>203</v>
      </c>
      <c r="P25">
        <v>1</v>
      </c>
      <c r="Q25" t="s">
        <v>29</v>
      </c>
    </row>
    <row r="26" spans="1:17" hidden="1" x14ac:dyDescent="0.25">
      <c r="A26" s="6" t="s">
        <v>241</v>
      </c>
      <c r="B26" s="7" t="s">
        <v>94</v>
      </c>
      <c r="C26" s="6"/>
      <c r="D26" s="6"/>
      <c r="E26" s="6"/>
      <c r="F26" s="6">
        <v>1</v>
      </c>
      <c r="G26" s="6" t="s">
        <v>8</v>
      </c>
      <c r="H26" s="6">
        <v>4</v>
      </c>
      <c r="K26" t="s">
        <v>156</v>
      </c>
      <c r="L26" t="s">
        <v>204</v>
      </c>
      <c r="P26">
        <v>1</v>
      </c>
      <c r="Q26" t="s">
        <v>29</v>
      </c>
    </row>
    <row r="27" spans="1:17" ht="75" hidden="1"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hidden="1" x14ac:dyDescent="0.25">
      <c r="A28" s="6" t="s">
        <v>32</v>
      </c>
      <c r="B28" s="7" t="s">
        <v>71</v>
      </c>
      <c r="C28" s="6" t="s">
        <v>33</v>
      </c>
      <c r="D28" s="6" t="s">
        <v>27</v>
      </c>
      <c r="E28" s="6">
        <v>2130600061</v>
      </c>
      <c r="F28" s="6">
        <v>2</v>
      </c>
      <c r="G28" s="6" t="s">
        <v>5</v>
      </c>
      <c r="H28" s="6">
        <v>1</v>
      </c>
      <c r="K28" t="s">
        <v>156</v>
      </c>
      <c r="L28" t="s">
        <v>206</v>
      </c>
      <c r="P28">
        <v>1</v>
      </c>
      <c r="Q28" t="s">
        <v>29</v>
      </c>
    </row>
    <row r="29" spans="1:17" hidden="1" x14ac:dyDescent="0.25">
      <c r="A29" s="6" t="s">
        <v>32</v>
      </c>
      <c r="B29" s="7" t="s">
        <v>74</v>
      </c>
      <c r="C29" s="6" t="s">
        <v>33</v>
      </c>
      <c r="D29" s="6" t="s">
        <v>27</v>
      </c>
      <c r="E29" s="6" t="s">
        <v>27</v>
      </c>
      <c r="F29" s="6">
        <v>1</v>
      </c>
      <c r="G29" s="6" t="s">
        <v>5</v>
      </c>
      <c r="H29" s="6">
        <v>1</v>
      </c>
      <c r="K29" t="s">
        <v>156</v>
      </c>
      <c r="L29" t="s">
        <v>207</v>
      </c>
      <c r="P29">
        <v>2</v>
      </c>
      <c r="Q29" t="s">
        <v>29</v>
      </c>
    </row>
    <row r="30" spans="1:17" hidden="1" x14ac:dyDescent="0.25">
      <c r="A30" s="6" t="s">
        <v>32</v>
      </c>
      <c r="B30" s="7" t="s">
        <v>71</v>
      </c>
      <c r="C30" s="6" t="s">
        <v>72</v>
      </c>
      <c r="D30" s="6" t="s">
        <v>27</v>
      </c>
      <c r="E30" s="6" t="s">
        <v>78</v>
      </c>
      <c r="F30" s="6">
        <v>1</v>
      </c>
      <c r="G30" s="6" t="s">
        <v>5</v>
      </c>
      <c r="H30" s="6">
        <v>1</v>
      </c>
      <c r="K30" t="s">
        <v>156</v>
      </c>
      <c r="L30" t="s">
        <v>208</v>
      </c>
      <c r="P30">
        <v>1</v>
      </c>
      <c r="Q30" t="s">
        <v>29</v>
      </c>
    </row>
    <row r="31" spans="1:17" hidden="1" x14ac:dyDescent="0.25">
      <c r="A31" s="6" t="s">
        <v>73</v>
      </c>
      <c r="B31" s="7" t="s">
        <v>71</v>
      </c>
      <c r="C31" s="6" t="s">
        <v>72</v>
      </c>
      <c r="D31" s="6" t="s">
        <v>27</v>
      </c>
      <c r="E31" s="6" t="s">
        <v>27</v>
      </c>
      <c r="F31" s="6">
        <v>1</v>
      </c>
      <c r="G31" s="6" t="s">
        <v>5</v>
      </c>
      <c r="H31" s="6">
        <v>1</v>
      </c>
      <c r="K31" t="s">
        <v>156</v>
      </c>
      <c r="L31" t="s">
        <v>209</v>
      </c>
      <c r="P31">
        <v>1</v>
      </c>
      <c r="Q31" t="s">
        <v>29</v>
      </c>
    </row>
    <row r="32" spans="1:17" hidden="1" x14ac:dyDescent="0.25">
      <c r="A32" s="6" t="s">
        <v>11</v>
      </c>
      <c r="B32" s="7" t="s">
        <v>75</v>
      </c>
      <c r="C32" s="6" t="s">
        <v>30</v>
      </c>
      <c r="D32" s="6" t="s">
        <v>27</v>
      </c>
      <c r="E32" s="6" t="s">
        <v>27</v>
      </c>
      <c r="F32" s="6">
        <v>3</v>
      </c>
      <c r="G32" s="6" t="s">
        <v>5</v>
      </c>
      <c r="H32" s="6">
        <v>1</v>
      </c>
      <c r="K32" t="s">
        <v>471</v>
      </c>
      <c r="L32" t="s">
        <v>532</v>
      </c>
      <c r="P32">
        <v>20</v>
      </c>
      <c r="Q32" t="s">
        <v>530</v>
      </c>
    </row>
    <row r="33" spans="1:8" hidden="1" x14ac:dyDescent="0.25">
      <c r="A33" s="6" t="s">
        <v>11</v>
      </c>
      <c r="B33" s="7" t="s">
        <v>533</v>
      </c>
      <c r="C33" s="6" t="s">
        <v>123</v>
      </c>
      <c r="D33" s="6" t="s">
        <v>27</v>
      </c>
      <c r="E33" s="6" t="s">
        <v>27</v>
      </c>
      <c r="F33" s="6">
        <v>1</v>
      </c>
      <c r="G33" s="6" t="s">
        <v>5</v>
      </c>
      <c r="H33" s="6">
        <v>1</v>
      </c>
    </row>
    <row r="34" spans="1:8" hidden="1" x14ac:dyDescent="0.25">
      <c r="A34" s="6" t="s">
        <v>11</v>
      </c>
      <c r="B34" s="7" t="s">
        <v>76</v>
      </c>
      <c r="C34" s="6" t="s">
        <v>77</v>
      </c>
      <c r="D34" s="6" t="s">
        <v>27</v>
      </c>
      <c r="E34" s="6" t="s">
        <v>27</v>
      </c>
      <c r="F34" s="6">
        <v>1</v>
      </c>
      <c r="G34" s="6" t="s">
        <v>5</v>
      </c>
      <c r="H34" s="6">
        <v>1</v>
      </c>
    </row>
    <row r="35" spans="1:8" hidden="1" x14ac:dyDescent="0.25">
      <c r="A35" s="6" t="s">
        <v>11</v>
      </c>
      <c r="B35" s="7" t="s">
        <v>246</v>
      </c>
      <c r="C35" s="6" t="s">
        <v>79</v>
      </c>
      <c r="D35" s="6" t="s">
        <v>27</v>
      </c>
      <c r="E35" s="6" t="s">
        <v>27</v>
      </c>
      <c r="F35" s="6">
        <v>1</v>
      </c>
      <c r="G35" s="6" t="s">
        <v>5</v>
      </c>
      <c r="H35" s="6">
        <v>1</v>
      </c>
    </row>
    <row r="36" spans="1:8" hidden="1" x14ac:dyDescent="0.25">
      <c r="A36" s="6" t="s">
        <v>43</v>
      </c>
      <c r="B36" s="7" t="s">
        <v>68</v>
      </c>
      <c r="C36" s="6" t="s">
        <v>66</v>
      </c>
      <c r="D36" s="6" t="s">
        <v>27</v>
      </c>
      <c r="E36" s="6" t="s">
        <v>27</v>
      </c>
      <c r="F36" s="6">
        <v>1</v>
      </c>
      <c r="G36" s="6" t="s">
        <v>6</v>
      </c>
      <c r="H36" s="6">
        <v>1</v>
      </c>
    </row>
    <row r="37" spans="1:8" hidden="1" x14ac:dyDescent="0.25">
      <c r="A37" s="6" t="s">
        <v>43</v>
      </c>
      <c r="B37" s="7"/>
      <c r="C37" s="6" t="s">
        <v>66</v>
      </c>
      <c r="D37" s="6" t="s">
        <v>27</v>
      </c>
      <c r="E37" s="6" t="s">
        <v>27</v>
      </c>
      <c r="F37" s="6">
        <v>1</v>
      </c>
      <c r="G37" s="6" t="s">
        <v>6</v>
      </c>
      <c r="H37" s="6">
        <v>1</v>
      </c>
    </row>
    <row r="38" spans="1:8" hidden="1" x14ac:dyDescent="0.25">
      <c r="A38" s="6" t="s">
        <v>46</v>
      </c>
      <c r="B38" s="7"/>
      <c r="C38" s="6"/>
      <c r="D38" s="6" t="s">
        <v>47</v>
      </c>
      <c r="E38" s="6" t="s">
        <v>27</v>
      </c>
      <c r="F38" s="6">
        <v>1</v>
      </c>
      <c r="G38" s="6" t="s">
        <v>6</v>
      </c>
      <c r="H38" s="6">
        <v>1</v>
      </c>
    </row>
    <row r="39" spans="1:8" hidden="1" x14ac:dyDescent="0.25">
      <c r="A39" s="6" t="s">
        <v>53</v>
      </c>
      <c r="B39" s="7" t="s">
        <v>238</v>
      </c>
      <c r="C39" s="6"/>
      <c r="D39" s="6" t="s">
        <v>27</v>
      </c>
      <c r="E39" s="6" t="s">
        <v>27</v>
      </c>
      <c r="F39" s="6">
        <v>5</v>
      </c>
      <c r="G39" s="6" t="s">
        <v>6</v>
      </c>
      <c r="H39" s="6">
        <v>1</v>
      </c>
    </row>
    <row r="40" spans="1:8" hidden="1" x14ac:dyDescent="0.25">
      <c r="A40" s="6" t="s">
        <v>61</v>
      </c>
      <c r="B40" s="7" t="s">
        <v>62</v>
      </c>
      <c r="C40" s="6" t="s">
        <v>63</v>
      </c>
      <c r="D40" s="6" t="s">
        <v>27</v>
      </c>
      <c r="E40" s="6" t="s">
        <v>27</v>
      </c>
      <c r="F40" s="6">
        <v>1</v>
      </c>
      <c r="G40" s="6" t="s">
        <v>6</v>
      </c>
      <c r="H40" s="6">
        <v>1</v>
      </c>
    </row>
    <row r="41" spans="1:8" ht="30" hidden="1" x14ac:dyDescent="0.25">
      <c r="A41" s="6" t="s">
        <v>32</v>
      </c>
      <c r="B41" s="7" t="s">
        <v>51</v>
      </c>
      <c r="C41" s="6" t="s">
        <v>52</v>
      </c>
      <c r="D41" s="6" t="s">
        <v>27</v>
      </c>
      <c r="E41" s="6" t="s">
        <v>27</v>
      </c>
      <c r="F41" s="6">
        <v>1</v>
      </c>
      <c r="G41" s="6" t="s">
        <v>6</v>
      </c>
      <c r="H41" s="6">
        <v>1</v>
      </c>
    </row>
    <row r="42" spans="1:8" hidden="1" x14ac:dyDescent="0.25">
      <c r="A42" s="6" t="s">
        <v>59</v>
      </c>
      <c r="B42" s="7" t="s">
        <v>60</v>
      </c>
      <c r="C42" s="6" t="s">
        <v>33</v>
      </c>
      <c r="D42" s="6" t="s">
        <v>27</v>
      </c>
      <c r="E42" s="6" t="s">
        <v>27</v>
      </c>
      <c r="F42" s="6">
        <v>1</v>
      </c>
      <c r="G42" s="6" t="s">
        <v>6</v>
      </c>
      <c r="H42" s="6">
        <v>1</v>
      </c>
    </row>
    <row r="43" spans="1:8" hidden="1" x14ac:dyDescent="0.25">
      <c r="A43" s="6" t="s">
        <v>44</v>
      </c>
      <c r="B43" s="7"/>
      <c r="C43" s="6" t="s">
        <v>70</v>
      </c>
      <c r="D43" s="6" t="s">
        <v>27</v>
      </c>
      <c r="E43" s="6" t="s">
        <v>27</v>
      </c>
      <c r="F43" s="6">
        <v>1</v>
      </c>
      <c r="G43" s="6" t="s">
        <v>6</v>
      </c>
      <c r="H43" s="6">
        <v>1</v>
      </c>
    </row>
    <row r="44" spans="1:8" hidden="1" x14ac:dyDescent="0.25">
      <c r="A44" s="6" t="s">
        <v>44</v>
      </c>
      <c r="B44" s="7"/>
      <c r="C44" s="6" t="s">
        <v>69</v>
      </c>
      <c r="D44" s="6" t="s">
        <v>27</v>
      </c>
      <c r="E44" s="6" t="s">
        <v>27</v>
      </c>
      <c r="F44" s="6">
        <v>1</v>
      </c>
      <c r="G44" s="6" t="s">
        <v>6</v>
      </c>
      <c r="H44" s="6">
        <v>1</v>
      </c>
    </row>
    <row r="45" spans="1:8" hidden="1" x14ac:dyDescent="0.25">
      <c r="A45" s="6" t="s">
        <v>44</v>
      </c>
      <c r="B45" s="7"/>
      <c r="C45" s="6" t="s">
        <v>45</v>
      </c>
      <c r="D45" s="6" t="s">
        <v>27</v>
      </c>
      <c r="E45" s="6" t="s">
        <v>27</v>
      </c>
      <c r="F45" s="6">
        <v>2</v>
      </c>
      <c r="G45" s="6" t="s">
        <v>6</v>
      </c>
      <c r="H45" s="6">
        <v>1</v>
      </c>
    </row>
    <row r="46" spans="1:8" hidden="1" x14ac:dyDescent="0.25">
      <c r="A46" s="6" t="s">
        <v>44</v>
      </c>
      <c r="B46" s="7"/>
      <c r="C46" s="6" t="s">
        <v>67</v>
      </c>
      <c r="D46" s="6" t="s">
        <v>27</v>
      </c>
      <c r="E46" s="6" t="s">
        <v>27</v>
      </c>
      <c r="F46" s="6">
        <v>2</v>
      </c>
      <c r="G46" s="6" t="s">
        <v>6</v>
      </c>
      <c r="H46" s="6">
        <v>1</v>
      </c>
    </row>
    <row r="47" spans="1:8" hidden="1" x14ac:dyDescent="0.25">
      <c r="A47" s="6" t="s">
        <v>11</v>
      </c>
      <c r="B47" s="7" t="s">
        <v>57</v>
      </c>
      <c r="C47" s="6" t="s">
        <v>58</v>
      </c>
      <c r="D47" s="6" t="s">
        <v>27</v>
      </c>
      <c r="E47" s="6" t="s">
        <v>27</v>
      </c>
      <c r="F47" s="6">
        <v>1</v>
      </c>
      <c r="G47" s="6" t="s">
        <v>6</v>
      </c>
      <c r="H47" s="6">
        <v>1</v>
      </c>
    </row>
    <row r="48" spans="1:8" hidden="1" x14ac:dyDescent="0.25">
      <c r="A48" s="6" t="s">
        <v>11</v>
      </c>
      <c r="B48" s="7" t="s">
        <v>49</v>
      </c>
      <c r="C48" s="6" t="s">
        <v>31</v>
      </c>
      <c r="D48" s="6" t="s">
        <v>27</v>
      </c>
      <c r="E48" s="6" t="s">
        <v>27</v>
      </c>
      <c r="F48" s="6">
        <v>4</v>
      </c>
      <c r="G48" s="6" t="s">
        <v>6</v>
      </c>
      <c r="H48" s="6">
        <v>1</v>
      </c>
    </row>
    <row r="49" spans="1:8" hidden="1" x14ac:dyDescent="0.25">
      <c r="A49" s="6" t="s">
        <v>54</v>
      </c>
      <c r="B49" s="7"/>
      <c r="C49" s="6" t="s">
        <v>55</v>
      </c>
      <c r="D49" s="6" t="s">
        <v>56</v>
      </c>
      <c r="E49" s="6">
        <v>30674</v>
      </c>
      <c r="F49" s="6">
        <v>1</v>
      </c>
      <c r="G49" s="6" t="s">
        <v>6</v>
      </c>
      <c r="H49" s="6">
        <v>1</v>
      </c>
    </row>
    <row r="50" spans="1:8" hidden="1" x14ac:dyDescent="0.25">
      <c r="A50" s="6" t="s">
        <v>109</v>
      </c>
      <c r="B50" s="7" t="s">
        <v>124</v>
      </c>
      <c r="C50" s="6" t="s">
        <v>125</v>
      </c>
      <c r="D50" s="6"/>
      <c r="E50" s="6"/>
      <c r="F50" s="6">
        <v>2</v>
      </c>
      <c r="G50" s="6" t="s">
        <v>9</v>
      </c>
      <c r="H50" s="6">
        <v>1</v>
      </c>
    </row>
    <row r="51" spans="1:8" hidden="1" x14ac:dyDescent="0.25">
      <c r="A51" s="6" t="s">
        <v>109</v>
      </c>
      <c r="B51" s="7" t="s">
        <v>124</v>
      </c>
      <c r="C51" s="6" t="s">
        <v>126</v>
      </c>
      <c r="D51" s="6"/>
      <c r="E51" s="6"/>
      <c r="F51" s="6">
        <v>1</v>
      </c>
      <c r="G51" s="6" t="s">
        <v>9</v>
      </c>
      <c r="H51" s="6">
        <v>1</v>
      </c>
    </row>
    <row r="52" spans="1:8" hidden="1" x14ac:dyDescent="0.25">
      <c r="A52" s="6" t="s">
        <v>135</v>
      </c>
      <c r="B52" s="7" t="s">
        <v>136</v>
      </c>
      <c r="C52" s="6"/>
      <c r="D52" s="6" t="s">
        <v>137</v>
      </c>
      <c r="E52" s="6" t="s">
        <v>138</v>
      </c>
      <c r="F52" s="6">
        <v>1</v>
      </c>
      <c r="G52" s="6" t="s">
        <v>9</v>
      </c>
      <c r="H52" s="6">
        <v>1</v>
      </c>
    </row>
    <row r="53" spans="1:8" hidden="1" x14ac:dyDescent="0.25">
      <c r="A53" s="6" t="s">
        <v>132</v>
      </c>
      <c r="B53" s="7" t="s">
        <v>133</v>
      </c>
      <c r="C53" s="6" t="s">
        <v>63</v>
      </c>
      <c r="D53" s="6" t="s">
        <v>134</v>
      </c>
      <c r="E53" s="6">
        <v>1078949</v>
      </c>
      <c r="F53" s="6">
        <v>1</v>
      </c>
      <c r="G53" s="6" t="s">
        <v>9</v>
      </c>
      <c r="H53" s="6">
        <v>1</v>
      </c>
    </row>
    <row r="54" spans="1:8" hidden="1" x14ac:dyDescent="0.25">
      <c r="A54" s="6" t="s">
        <v>11</v>
      </c>
      <c r="B54" s="7" t="s">
        <v>118</v>
      </c>
      <c r="C54" s="6" t="s">
        <v>119</v>
      </c>
      <c r="D54" s="6"/>
      <c r="E54" s="6"/>
      <c r="F54" s="6">
        <v>2</v>
      </c>
      <c r="G54" s="6" t="s">
        <v>9</v>
      </c>
      <c r="H54" s="6">
        <v>1</v>
      </c>
    </row>
    <row r="55" spans="1:8" hidden="1" x14ac:dyDescent="0.25">
      <c r="A55" s="6" t="s">
        <v>11</v>
      </c>
      <c r="B55" s="7" t="s">
        <v>57</v>
      </c>
      <c r="C55" s="6" t="s">
        <v>79</v>
      </c>
      <c r="D55" s="6"/>
      <c r="E55" s="6"/>
      <c r="F55" s="6">
        <v>4</v>
      </c>
      <c r="G55" s="6" t="s">
        <v>9</v>
      </c>
      <c r="H55" s="6">
        <v>1</v>
      </c>
    </row>
    <row r="56" spans="1:8" hidden="1" x14ac:dyDescent="0.25">
      <c r="A56" s="6" t="s">
        <v>11</v>
      </c>
      <c r="B56" s="7" t="s">
        <v>120</v>
      </c>
      <c r="C56" s="6" t="s">
        <v>121</v>
      </c>
      <c r="D56" s="6"/>
      <c r="E56" s="6"/>
      <c r="F56" s="6">
        <v>1</v>
      </c>
      <c r="G56" s="6" t="s">
        <v>9</v>
      </c>
      <c r="H56" s="6">
        <v>1</v>
      </c>
    </row>
    <row r="57" spans="1:8" hidden="1" x14ac:dyDescent="0.25">
      <c r="A57" s="6" t="s">
        <v>11</v>
      </c>
      <c r="B57" s="7" t="s">
        <v>122</v>
      </c>
      <c r="C57" s="6" t="s">
        <v>123</v>
      </c>
      <c r="D57" s="6"/>
      <c r="E57" s="6"/>
      <c r="F57" s="6">
        <v>1</v>
      </c>
      <c r="G57" s="6" t="s">
        <v>9</v>
      </c>
      <c r="H57" s="6">
        <v>2</v>
      </c>
    </row>
    <row r="58" spans="1:8" hidden="1" x14ac:dyDescent="0.25">
      <c r="A58" s="6" t="s">
        <v>11</v>
      </c>
      <c r="B58" s="7" t="s">
        <v>120</v>
      </c>
      <c r="C58" s="6" t="s">
        <v>123</v>
      </c>
      <c r="D58" s="6"/>
      <c r="E58" s="6"/>
      <c r="F58" s="6">
        <v>1</v>
      </c>
      <c r="G58" s="6" t="s">
        <v>9</v>
      </c>
      <c r="H58" s="6">
        <v>1</v>
      </c>
    </row>
    <row r="59" spans="1:8" hidden="1" x14ac:dyDescent="0.25">
      <c r="A59" s="6" t="s">
        <v>173</v>
      </c>
      <c r="B59" s="7"/>
      <c r="C59" s="6" t="s">
        <v>63</v>
      </c>
      <c r="D59" s="6"/>
      <c r="E59" s="6"/>
      <c r="F59" s="6">
        <v>1</v>
      </c>
      <c r="G59" s="6" t="s">
        <v>10</v>
      </c>
      <c r="H59" s="6">
        <v>1</v>
      </c>
    </row>
    <row r="60" spans="1:8" hidden="1" x14ac:dyDescent="0.25">
      <c r="A60" s="6" t="s">
        <v>174</v>
      </c>
      <c r="B60" s="7"/>
      <c r="C60" s="6" t="s">
        <v>236</v>
      </c>
      <c r="D60" s="6"/>
      <c r="E60" s="6"/>
      <c r="F60" s="6">
        <v>1</v>
      </c>
      <c r="G60" s="6" t="s">
        <v>10</v>
      </c>
      <c r="H60" s="6">
        <v>1</v>
      </c>
    </row>
    <row r="61" spans="1:8" hidden="1" x14ac:dyDescent="0.25">
      <c r="A61" s="6" t="s">
        <v>156</v>
      </c>
      <c r="B61" s="7" t="s">
        <v>176</v>
      </c>
      <c r="C61" s="6"/>
      <c r="D61" s="6"/>
      <c r="E61" s="6"/>
      <c r="F61" s="6">
        <v>1</v>
      </c>
      <c r="G61" s="6" t="s">
        <v>10</v>
      </c>
      <c r="H61" s="6">
        <v>1</v>
      </c>
    </row>
    <row r="62" spans="1:8" hidden="1" x14ac:dyDescent="0.25">
      <c r="A62" s="6" t="s">
        <v>156</v>
      </c>
      <c r="B62" s="7" t="s">
        <v>177</v>
      </c>
      <c r="C62" s="6"/>
      <c r="D62" s="6"/>
      <c r="E62" s="6"/>
      <c r="F62" s="6">
        <v>2</v>
      </c>
      <c r="G62" s="6" t="s">
        <v>10</v>
      </c>
      <c r="H62" s="6">
        <v>1</v>
      </c>
    </row>
    <row r="63" spans="1:8" hidden="1" x14ac:dyDescent="0.25">
      <c r="A63" s="6" t="s">
        <v>156</v>
      </c>
      <c r="B63" s="7" t="s">
        <v>178</v>
      </c>
      <c r="C63" s="6"/>
      <c r="D63" s="6"/>
      <c r="E63" s="6"/>
      <c r="F63" s="6">
        <v>1</v>
      </c>
      <c r="G63" s="6" t="s">
        <v>10</v>
      </c>
      <c r="H63" s="6">
        <v>1</v>
      </c>
    </row>
    <row r="64" spans="1:8" hidden="1" x14ac:dyDescent="0.25">
      <c r="A64" s="6" t="s">
        <v>12</v>
      </c>
      <c r="B64" s="7" t="s">
        <v>180</v>
      </c>
      <c r="C64" s="6"/>
      <c r="D64" s="6" t="s">
        <v>181</v>
      </c>
      <c r="E64" s="6" t="s">
        <v>183</v>
      </c>
      <c r="F64" s="6">
        <v>1</v>
      </c>
      <c r="G64" s="6" t="s">
        <v>10</v>
      </c>
      <c r="H64" s="6">
        <v>1</v>
      </c>
    </row>
    <row r="65" spans="1:8" hidden="1" x14ac:dyDescent="0.25">
      <c r="A65" s="6" t="s">
        <v>12</v>
      </c>
      <c r="B65" s="7" t="s">
        <v>179</v>
      </c>
      <c r="C65" s="6" t="s">
        <v>184</v>
      </c>
      <c r="D65" s="6" t="s">
        <v>186</v>
      </c>
      <c r="E65" s="6" t="s">
        <v>185</v>
      </c>
      <c r="F65" s="6">
        <v>1</v>
      </c>
      <c r="G65" s="6" t="s">
        <v>10</v>
      </c>
      <c r="H65" s="6">
        <v>1</v>
      </c>
    </row>
    <row r="66" spans="1:8" hidden="1" x14ac:dyDescent="0.25">
      <c r="A66" s="6" t="s">
        <v>12</v>
      </c>
      <c r="B66" s="7" t="s">
        <v>179</v>
      </c>
      <c r="C66" s="6" t="s">
        <v>187</v>
      </c>
      <c r="D66" s="6" t="s">
        <v>182</v>
      </c>
      <c r="E66" s="6"/>
      <c r="F66" s="6">
        <v>1</v>
      </c>
      <c r="G66" s="6" t="s">
        <v>10</v>
      </c>
      <c r="H66" s="6">
        <v>1</v>
      </c>
    </row>
    <row r="67" spans="1:8" hidden="1" x14ac:dyDescent="0.25">
      <c r="A67" s="6" t="s">
        <v>175</v>
      </c>
      <c r="B67" s="7"/>
      <c r="C67" s="6" t="s">
        <v>237</v>
      </c>
      <c r="D67" s="6"/>
      <c r="E67" s="6"/>
      <c r="F67" s="6">
        <v>1</v>
      </c>
      <c r="G67" s="6" t="s">
        <v>10</v>
      </c>
      <c r="H67" s="6">
        <v>1</v>
      </c>
    </row>
    <row r="68" spans="1:8" hidden="1" x14ac:dyDescent="0.25">
      <c r="A68" s="6" t="s">
        <v>139</v>
      </c>
      <c r="B68" s="7"/>
      <c r="C68" s="6"/>
      <c r="D68" s="6"/>
      <c r="E68" s="6"/>
      <c r="F68" s="6">
        <v>3</v>
      </c>
      <c r="G68" s="6" t="s">
        <v>10</v>
      </c>
      <c r="H68" s="6">
        <v>2</v>
      </c>
    </row>
    <row r="69" spans="1:8" hidden="1" x14ac:dyDescent="0.25">
      <c r="A69" s="6" t="s">
        <v>92</v>
      </c>
      <c r="B69" s="7" t="str">
        <f>bolso("Caja de tacos",Table6[])</f>
        <v xml:space="preserve">Caja de tacos Contiene: </v>
      </c>
      <c r="C69" s="6"/>
      <c r="D69" s="6"/>
      <c r="E69" s="6"/>
      <c r="F69" s="6">
        <v>1</v>
      </c>
      <c r="G69" s="6" t="s">
        <v>10</v>
      </c>
      <c r="H69" s="6">
        <v>2</v>
      </c>
    </row>
    <row r="70" spans="1:8" hidden="1" x14ac:dyDescent="0.25">
      <c r="A70" s="6" t="s">
        <v>143</v>
      </c>
      <c r="B70" s="7"/>
      <c r="C70" s="6"/>
      <c r="D70" s="6"/>
      <c r="E70" s="6"/>
      <c r="F70" s="6">
        <v>1</v>
      </c>
      <c r="G70" s="6" t="s">
        <v>10</v>
      </c>
      <c r="H70" s="6">
        <v>2</v>
      </c>
    </row>
    <row r="71" spans="1:8" hidden="1" x14ac:dyDescent="0.25">
      <c r="A71" s="6" t="s">
        <v>154</v>
      </c>
      <c r="B71" s="7" t="s">
        <v>155</v>
      </c>
      <c r="C71" s="6"/>
      <c r="D71" s="6"/>
      <c r="E71" s="6"/>
      <c r="F71" s="6">
        <v>1</v>
      </c>
      <c r="G71" s="6" t="s">
        <v>10</v>
      </c>
      <c r="H71" s="6">
        <v>2</v>
      </c>
    </row>
    <row r="72" spans="1:8" hidden="1" x14ac:dyDescent="0.25">
      <c r="A72" s="6" t="s">
        <v>156</v>
      </c>
      <c r="B72" s="7" t="s">
        <v>165</v>
      </c>
      <c r="C72" s="6" t="s">
        <v>166</v>
      </c>
      <c r="D72" s="6"/>
      <c r="E72" s="6"/>
      <c r="F72" s="6">
        <v>1</v>
      </c>
      <c r="G72" s="6" t="s">
        <v>10</v>
      </c>
      <c r="H72" s="6">
        <v>2</v>
      </c>
    </row>
    <row r="73" spans="1:8" hidden="1" x14ac:dyDescent="0.25">
      <c r="A73" s="6" t="s">
        <v>156</v>
      </c>
      <c r="B73" s="7" t="s">
        <v>165</v>
      </c>
      <c r="C73" s="6" t="s">
        <v>167</v>
      </c>
      <c r="D73" s="6"/>
      <c r="E73" s="6"/>
      <c r="F73" s="6">
        <v>1</v>
      </c>
      <c r="G73" s="6" t="s">
        <v>10</v>
      </c>
      <c r="H73" s="6">
        <v>2</v>
      </c>
    </row>
    <row r="74" spans="1:8" hidden="1" x14ac:dyDescent="0.25">
      <c r="A74" s="6" t="s">
        <v>156</v>
      </c>
      <c r="B74" s="7" t="s">
        <v>168</v>
      </c>
      <c r="C74" s="6" t="s">
        <v>158</v>
      </c>
      <c r="D74" s="6"/>
      <c r="E74" s="6"/>
      <c r="F74" s="6">
        <v>1</v>
      </c>
      <c r="G74" s="6" t="s">
        <v>10</v>
      </c>
      <c r="H74" s="6">
        <v>2</v>
      </c>
    </row>
    <row r="75" spans="1:8" hidden="1" x14ac:dyDescent="0.25">
      <c r="A75" s="6" t="s">
        <v>156</v>
      </c>
      <c r="B75" s="7" t="s">
        <v>168</v>
      </c>
      <c r="C75" s="6" t="s">
        <v>166</v>
      </c>
      <c r="D75" s="6"/>
      <c r="E75" s="6"/>
      <c r="F75" s="6">
        <v>1</v>
      </c>
      <c r="G75" s="6" t="s">
        <v>10</v>
      </c>
      <c r="H75" s="6">
        <v>2</v>
      </c>
    </row>
    <row r="76" spans="1:8" hidden="1" x14ac:dyDescent="0.25">
      <c r="A76" s="6" t="s">
        <v>156</v>
      </c>
      <c r="B76" s="7" t="s">
        <v>169</v>
      </c>
      <c r="C76" s="6"/>
      <c r="D76" s="6"/>
      <c r="E76" s="6"/>
      <c r="F76" s="6">
        <v>1</v>
      </c>
      <c r="G76" s="6" t="s">
        <v>10</v>
      </c>
      <c r="H76" s="6">
        <v>2</v>
      </c>
    </row>
    <row r="77" spans="1:8" hidden="1" x14ac:dyDescent="0.25">
      <c r="A77" s="6" t="s">
        <v>156</v>
      </c>
      <c r="B77" s="7" t="s">
        <v>170</v>
      </c>
      <c r="C77" s="6"/>
      <c r="D77" s="6"/>
      <c r="E77" s="6"/>
      <c r="F77" s="6">
        <v>1</v>
      </c>
      <c r="G77" s="6" t="s">
        <v>10</v>
      </c>
      <c r="H77" s="6">
        <v>2</v>
      </c>
    </row>
    <row r="78" spans="1:8" hidden="1" x14ac:dyDescent="0.25">
      <c r="A78" s="6" t="s">
        <v>156</v>
      </c>
      <c r="B78" s="7" t="s">
        <v>171</v>
      </c>
      <c r="C78" s="6"/>
      <c r="D78" s="6"/>
      <c r="E78" s="6"/>
      <c r="F78" s="6">
        <v>1</v>
      </c>
      <c r="G78" s="6" t="s">
        <v>10</v>
      </c>
      <c r="H78" s="6">
        <v>2</v>
      </c>
    </row>
    <row r="79" spans="1:8" hidden="1" x14ac:dyDescent="0.25">
      <c r="A79" s="6" t="s">
        <v>156</v>
      </c>
      <c r="B79" s="7" t="s">
        <v>172</v>
      </c>
      <c r="C79" s="6" t="s">
        <v>166</v>
      </c>
      <c r="D79" s="6"/>
      <c r="E79" s="6"/>
      <c r="F79" s="6">
        <v>1</v>
      </c>
      <c r="G79" s="6" t="s">
        <v>10</v>
      </c>
      <c r="H79" s="6">
        <v>2</v>
      </c>
    </row>
    <row r="80" spans="1:8" hidden="1" x14ac:dyDescent="0.25">
      <c r="A80" s="6" t="s">
        <v>140</v>
      </c>
      <c r="B80" s="7" t="s">
        <v>141</v>
      </c>
      <c r="C80" s="6" t="s">
        <v>142</v>
      </c>
      <c r="D80" s="6"/>
      <c r="E80" s="6"/>
      <c r="F80" s="6">
        <v>1</v>
      </c>
      <c r="G80" s="6" t="s">
        <v>10</v>
      </c>
      <c r="H80" s="6">
        <v>2</v>
      </c>
    </row>
    <row r="81" spans="1:8" hidden="1" x14ac:dyDescent="0.25">
      <c r="A81" s="6" t="s">
        <v>151</v>
      </c>
      <c r="B81" s="7" t="s">
        <v>152</v>
      </c>
      <c r="C81" s="6" t="s">
        <v>153</v>
      </c>
      <c r="D81" s="6"/>
      <c r="E81" s="6"/>
      <c r="F81" s="6">
        <v>1</v>
      </c>
      <c r="G81" s="6" t="s">
        <v>10</v>
      </c>
      <c r="H81" s="6">
        <v>2</v>
      </c>
    </row>
    <row r="82" spans="1:8" hidden="1" x14ac:dyDescent="0.25">
      <c r="A82" s="6" t="s">
        <v>144</v>
      </c>
      <c r="B82" s="7" t="s">
        <v>250</v>
      </c>
      <c r="C82" s="6"/>
      <c r="D82" s="6"/>
      <c r="E82" s="6"/>
      <c r="F82" s="6">
        <v>1</v>
      </c>
      <c r="G82" s="6" t="s">
        <v>10</v>
      </c>
      <c r="H82" s="6">
        <v>2</v>
      </c>
    </row>
    <row r="83" spans="1:8" hidden="1" x14ac:dyDescent="0.25">
      <c r="A83" s="6" t="s">
        <v>144</v>
      </c>
      <c r="B83" s="7" t="s">
        <v>145</v>
      </c>
      <c r="C83" s="6"/>
      <c r="D83" s="6"/>
      <c r="E83" s="6"/>
      <c r="F83" s="6">
        <v>1</v>
      </c>
      <c r="G83" s="6" t="s">
        <v>10</v>
      </c>
      <c r="H83" s="6">
        <v>2</v>
      </c>
    </row>
    <row r="84" spans="1:8" hidden="1" x14ac:dyDescent="0.25">
      <c r="A84" s="6" t="s">
        <v>144</v>
      </c>
      <c r="B84" s="7" t="s">
        <v>251</v>
      </c>
      <c r="C84" s="6"/>
      <c r="D84" s="6"/>
      <c r="E84" s="6"/>
      <c r="F84" s="6">
        <v>1</v>
      </c>
      <c r="G84" s="6" t="s">
        <v>10</v>
      </c>
      <c r="H84" s="6">
        <v>2</v>
      </c>
    </row>
    <row r="85" spans="1:8" hidden="1" x14ac:dyDescent="0.25">
      <c r="A85" s="6" t="s">
        <v>160</v>
      </c>
      <c r="B85" s="7" t="s">
        <v>161</v>
      </c>
      <c r="C85" s="6" t="s">
        <v>162</v>
      </c>
      <c r="D85" s="6" t="s">
        <v>163</v>
      </c>
      <c r="E85" s="6"/>
      <c r="F85" s="6">
        <v>2</v>
      </c>
      <c r="G85" s="6" t="s">
        <v>10</v>
      </c>
      <c r="H85" s="6">
        <v>3</v>
      </c>
    </row>
    <row r="86" spans="1:8" hidden="1" x14ac:dyDescent="0.25">
      <c r="A86" s="6" t="s">
        <v>160</v>
      </c>
      <c r="B86" s="7" t="s">
        <v>164</v>
      </c>
      <c r="C86" s="6" t="s">
        <v>162</v>
      </c>
      <c r="D86" s="6" t="s">
        <v>163</v>
      </c>
      <c r="E86" s="6"/>
      <c r="F86" s="6">
        <v>1</v>
      </c>
      <c r="G86" s="6" t="s">
        <v>10</v>
      </c>
      <c r="H86" s="6">
        <v>3</v>
      </c>
    </row>
    <row r="87" spans="1:8" hidden="1" x14ac:dyDescent="0.25">
      <c r="A87" s="6" t="s">
        <v>156</v>
      </c>
      <c r="B87" s="7" t="s">
        <v>157</v>
      </c>
      <c r="C87" s="6" t="s">
        <v>158</v>
      </c>
      <c r="D87" s="6"/>
      <c r="E87" s="6"/>
      <c r="F87" s="6">
        <v>1</v>
      </c>
      <c r="G87" s="6" t="s">
        <v>10</v>
      </c>
      <c r="H87" s="6">
        <v>3</v>
      </c>
    </row>
    <row r="88" spans="1:8" hidden="1" x14ac:dyDescent="0.25">
      <c r="A88" s="6" t="s">
        <v>156</v>
      </c>
      <c r="B88" s="7" t="s">
        <v>157</v>
      </c>
      <c r="C88" s="6" t="s">
        <v>249</v>
      </c>
      <c r="D88" s="6"/>
      <c r="E88" s="6"/>
      <c r="F88" s="6">
        <v>1</v>
      </c>
      <c r="G88" s="6" t="s">
        <v>10</v>
      </c>
      <c r="H88" s="6">
        <v>3</v>
      </c>
    </row>
    <row r="89" spans="1:8" hidden="1" x14ac:dyDescent="0.25">
      <c r="A89" s="6" t="s">
        <v>156</v>
      </c>
      <c r="B89" s="7" t="s">
        <v>248</v>
      </c>
      <c r="C89" s="6"/>
      <c r="D89" s="6"/>
      <c r="E89" s="6"/>
      <c r="F89" s="6">
        <v>1</v>
      </c>
      <c r="G89" s="6" t="s">
        <v>10</v>
      </c>
      <c r="H89" s="6">
        <v>3</v>
      </c>
    </row>
    <row r="90" spans="1:8" hidden="1"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hidden="1"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hidden="1" x14ac:dyDescent="0.25">
      <c r="A106" s="6" t="s">
        <v>215</v>
      </c>
      <c r="B106" s="7"/>
      <c r="C106" s="6"/>
      <c r="D106" s="6" t="s">
        <v>216</v>
      </c>
      <c r="E106" s="6">
        <v>8321127</v>
      </c>
      <c r="F106" s="6">
        <v>1</v>
      </c>
      <c r="G106" s="6" t="s">
        <v>7</v>
      </c>
      <c r="H106" s="6" t="s">
        <v>235</v>
      </c>
    </row>
    <row r="107" spans="1:8" hidden="1" x14ac:dyDescent="0.25">
      <c r="A107" s="6" t="s">
        <v>190</v>
      </c>
      <c r="B107" s="7"/>
      <c r="C107" s="6"/>
      <c r="D107" s="6"/>
      <c r="E107" s="6"/>
      <c r="F107" s="6">
        <v>6</v>
      </c>
      <c r="G107" s="6" t="s">
        <v>7</v>
      </c>
      <c r="H107" s="6" t="s">
        <v>235</v>
      </c>
    </row>
    <row r="108" spans="1:8" ht="45" hidden="1" x14ac:dyDescent="0.25">
      <c r="A108" s="6" t="s">
        <v>242</v>
      </c>
      <c r="B108" s="7"/>
      <c r="C108" s="6"/>
      <c r="D108" s="7" t="s">
        <v>218</v>
      </c>
      <c r="E108" s="6"/>
      <c r="F108" s="6">
        <v>3</v>
      </c>
      <c r="G108" s="6" t="s">
        <v>7</v>
      </c>
      <c r="H108" s="6" t="s">
        <v>235</v>
      </c>
    </row>
    <row r="109" spans="1:8" hidden="1" x14ac:dyDescent="0.25">
      <c r="A109" s="6" t="s">
        <v>192</v>
      </c>
      <c r="B109" s="7"/>
      <c r="C109" s="6"/>
      <c r="D109" s="6"/>
      <c r="E109" s="6"/>
      <c r="F109" s="6">
        <v>1</v>
      </c>
      <c r="G109" s="6" t="s">
        <v>7</v>
      </c>
      <c r="H109" s="6" t="s">
        <v>235</v>
      </c>
    </row>
    <row r="110" spans="1:8" hidden="1" x14ac:dyDescent="0.25">
      <c r="A110" s="6" t="s">
        <v>188</v>
      </c>
      <c r="B110" s="7" t="s">
        <v>189</v>
      </c>
      <c r="C110" s="6"/>
      <c r="D110" s="6" t="s">
        <v>48</v>
      </c>
      <c r="E110" s="6"/>
      <c r="F110" s="6">
        <v>6</v>
      </c>
      <c r="G110" s="6" t="s">
        <v>7</v>
      </c>
      <c r="H110" s="6" t="s">
        <v>235</v>
      </c>
    </row>
    <row r="111" spans="1:8" hidden="1" x14ac:dyDescent="0.25">
      <c r="A111" s="6" t="s">
        <v>210</v>
      </c>
      <c r="B111" s="7" t="s">
        <v>254</v>
      </c>
      <c r="C111" s="6"/>
      <c r="D111" s="6"/>
      <c r="E111" s="6"/>
      <c r="F111" s="6">
        <v>1</v>
      </c>
      <c r="G111" s="6" t="s">
        <v>7</v>
      </c>
      <c r="H111" s="6" t="s">
        <v>235</v>
      </c>
    </row>
    <row r="112" spans="1:8" hidden="1" x14ac:dyDescent="0.25">
      <c r="A112" s="6" t="s">
        <v>212</v>
      </c>
      <c r="B112" s="7" t="s">
        <v>166</v>
      </c>
      <c r="C112" s="6"/>
      <c r="D112" s="6" t="s">
        <v>213</v>
      </c>
      <c r="E112" s="6"/>
      <c r="F112" s="6">
        <v>1</v>
      </c>
      <c r="G112" s="6" t="s">
        <v>7</v>
      </c>
      <c r="H112" s="6" t="s">
        <v>235</v>
      </c>
    </row>
    <row r="113" spans="1:8" hidden="1" x14ac:dyDescent="0.25">
      <c r="A113" s="6" t="s">
        <v>212</v>
      </c>
      <c r="B113" s="7" t="s">
        <v>158</v>
      </c>
      <c r="C113" s="6"/>
      <c r="D113" s="6" t="s">
        <v>214</v>
      </c>
      <c r="E113" s="6"/>
      <c r="F113" s="6">
        <v>1</v>
      </c>
      <c r="G113" s="6" t="s">
        <v>7</v>
      </c>
      <c r="H113" s="6" t="s">
        <v>235</v>
      </c>
    </row>
    <row r="114" spans="1:8" ht="30" hidden="1" x14ac:dyDescent="0.25">
      <c r="A114" s="6" t="s">
        <v>193</v>
      </c>
      <c r="B114" s="7" t="s">
        <v>194</v>
      </c>
      <c r="C114" s="6"/>
      <c r="D114" s="6"/>
      <c r="E114" s="6"/>
      <c r="F114" s="6">
        <v>1</v>
      </c>
      <c r="G114" s="6" t="s">
        <v>7</v>
      </c>
      <c r="H114" s="6" t="s">
        <v>235</v>
      </c>
    </row>
    <row r="115" spans="1:8" hidden="1" x14ac:dyDescent="0.25">
      <c r="A115" s="6" t="s">
        <v>35</v>
      </c>
      <c r="B115" s="7" t="s">
        <v>39</v>
      </c>
      <c r="C115" s="6" t="s">
        <v>37</v>
      </c>
      <c r="D115" s="6" t="s">
        <v>27</v>
      </c>
      <c r="E115" s="6" t="s">
        <v>27</v>
      </c>
      <c r="F115" s="6">
        <v>1</v>
      </c>
      <c r="G115" s="6" t="s">
        <v>36</v>
      </c>
      <c r="H115" s="6" t="s">
        <v>36</v>
      </c>
    </row>
    <row r="116" spans="1:8" hidden="1" x14ac:dyDescent="0.25">
      <c r="A116" s="6" t="s">
        <v>35</v>
      </c>
      <c r="B116" s="7" t="s">
        <v>39</v>
      </c>
      <c r="C116" s="6" t="s">
        <v>38</v>
      </c>
      <c r="D116" s="6" t="s">
        <v>27</v>
      </c>
      <c r="E116" s="6" t="s">
        <v>27</v>
      </c>
      <c r="F116" s="6">
        <v>1</v>
      </c>
      <c r="G116" s="6" t="s">
        <v>36</v>
      </c>
      <c r="H116" s="6" t="s">
        <v>36</v>
      </c>
    </row>
    <row r="117" spans="1:8" hidden="1" x14ac:dyDescent="0.25">
      <c r="A117" s="6" t="s">
        <v>40</v>
      </c>
      <c r="B117" s="7" t="s">
        <v>42</v>
      </c>
      <c r="C117" s="6" t="s">
        <v>41</v>
      </c>
      <c r="D117" s="6" t="s">
        <v>27</v>
      </c>
      <c r="E117" s="6" t="s">
        <v>27</v>
      </c>
      <c r="F117" s="6">
        <v>2</v>
      </c>
      <c r="G117" s="6" t="s">
        <v>36</v>
      </c>
      <c r="H117" s="6" t="s">
        <v>36</v>
      </c>
    </row>
    <row r="118" spans="1:8" hidden="1" x14ac:dyDescent="0.25">
      <c r="A118" s="6" t="s">
        <v>40</v>
      </c>
      <c r="B118" s="7" t="s">
        <v>255</v>
      </c>
      <c r="C118" s="6" t="s">
        <v>256</v>
      </c>
      <c r="D118" s="6" t="s">
        <v>27</v>
      </c>
      <c r="E118" s="6" t="s">
        <v>27</v>
      </c>
      <c r="F118" s="6">
        <v>1</v>
      </c>
      <c r="G118" s="6" t="s">
        <v>36</v>
      </c>
      <c r="H118" s="6" t="s">
        <v>36</v>
      </c>
    </row>
    <row r="119" spans="1:8" ht="30" hidden="1" x14ac:dyDescent="0.25">
      <c r="A119" s="6" t="s">
        <v>92</v>
      </c>
      <c r="B119" s="7" t="str">
        <f>bolso("Caja de tacos 1",Table6[])</f>
        <v xml:space="preserve">Caja de tacos 1 Contiene:  Tacos varios pequeños x20, </v>
      </c>
      <c r="C119" s="6"/>
      <c r="D119" s="6"/>
      <c r="E119" s="6"/>
      <c r="F119" s="6">
        <v>1</v>
      </c>
      <c r="G119" s="6" t="s">
        <v>8</v>
      </c>
      <c r="H119" s="6">
        <v>3</v>
      </c>
    </row>
    <row r="120" spans="1:8" hidden="1" x14ac:dyDescent="0.25">
      <c r="A120" s="6" t="s">
        <v>11</v>
      </c>
      <c r="B120" s="7" t="s">
        <v>534</v>
      </c>
      <c r="C120" s="6" t="s">
        <v>79</v>
      </c>
      <c r="D120" s="6" t="s">
        <v>27</v>
      </c>
      <c r="E120" s="6" t="s">
        <v>27</v>
      </c>
      <c r="F120" s="6">
        <v>1</v>
      </c>
      <c r="G120" s="6" t="s">
        <v>5</v>
      </c>
      <c r="H120" s="6">
        <v>1</v>
      </c>
    </row>
    <row r="121" spans="1:8" hidden="1" x14ac:dyDescent="0.25">
      <c r="A121" s="6" t="s">
        <v>11</v>
      </c>
      <c r="B121" s="7" t="s">
        <v>535</v>
      </c>
      <c r="C121" s="6" t="s">
        <v>30</v>
      </c>
      <c r="D121" s="6" t="s">
        <v>27</v>
      </c>
      <c r="E121" s="6" t="s">
        <v>27</v>
      </c>
      <c r="F121" s="6">
        <v>4</v>
      </c>
      <c r="G121" s="6" t="s">
        <v>5</v>
      </c>
      <c r="H121" s="6">
        <v>1</v>
      </c>
    </row>
    <row r="122" spans="1:8" hidden="1" x14ac:dyDescent="0.25">
      <c r="A122" s="6" t="s">
        <v>12</v>
      </c>
      <c r="B122" s="7" t="s">
        <v>536</v>
      </c>
      <c r="C122" s="6"/>
      <c r="D122" s="6"/>
      <c r="E122" s="6"/>
      <c r="F122" s="6">
        <v>1</v>
      </c>
      <c r="G122" s="6" t="s">
        <v>5</v>
      </c>
      <c r="H122" s="6">
        <v>1</v>
      </c>
    </row>
    <row r="123" spans="1:8" ht="30" hidden="1" x14ac:dyDescent="0.25">
      <c r="A123" s="6" t="s">
        <v>44</v>
      </c>
      <c r="B123" s="7" t="s">
        <v>537</v>
      </c>
      <c r="C123" s="6" t="s">
        <v>64</v>
      </c>
      <c r="D123" s="6"/>
      <c r="E123" s="6"/>
      <c r="F123" s="6">
        <v>1</v>
      </c>
      <c r="G123" s="6" t="s">
        <v>5</v>
      </c>
      <c r="H123" s="6">
        <v>1</v>
      </c>
    </row>
    <row r="124" spans="1:8" hidden="1" x14ac:dyDescent="0.25">
      <c r="A124" s="6" t="s">
        <v>156</v>
      </c>
      <c r="B124" s="7" t="s">
        <v>415</v>
      </c>
      <c r="C124" s="6"/>
      <c r="D124" s="6"/>
      <c r="E124" s="6"/>
      <c r="F124" s="6">
        <v>1</v>
      </c>
      <c r="G124" s="6" t="s">
        <v>10</v>
      </c>
      <c r="H124" s="6">
        <v>2</v>
      </c>
    </row>
    <row r="125" spans="1:8" x14ac:dyDescent="0.25">
      <c r="A125" s="6" t="s">
        <v>175</v>
      </c>
      <c r="B125" s="7"/>
      <c r="C125" s="6" t="s">
        <v>538</v>
      </c>
      <c r="D125" s="6"/>
      <c r="E125" s="6"/>
      <c r="F125" s="6">
        <v>1</v>
      </c>
      <c r="G125" s="6" t="s">
        <v>7</v>
      </c>
      <c r="H125" s="6" t="s">
        <v>233</v>
      </c>
    </row>
    <row r="126" spans="1:8" x14ac:dyDescent="0.25">
      <c r="A126" s="6" t="s">
        <v>116</v>
      </c>
      <c r="B126" s="7"/>
      <c r="C126" s="7" t="s">
        <v>539</v>
      </c>
      <c r="D126" s="6"/>
      <c r="E126" s="6"/>
      <c r="F126" s="6">
        <v>1</v>
      </c>
      <c r="G126" s="6" t="s">
        <v>7</v>
      </c>
      <c r="H126" s="6" t="s">
        <v>234</v>
      </c>
    </row>
    <row r="127" spans="1:8" hidden="1" x14ac:dyDescent="0.25">
      <c r="A127" s="6"/>
      <c r="B127" s="7"/>
      <c r="C127" s="6"/>
      <c r="D127" s="6"/>
      <c r="E127" s="6"/>
      <c r="F127" s="6"/>
      <c r="G127" s="6"/>
      <c r="H127" s="6"/>
    </row>
    <row r="128" spans="1:8" hidden="1" x14ac:dyDescent="0.25">
      <c r="A128" s="6"/>
      <c r="B128" s="7"/>
      <c r="C128" s="6"/>
      <c r="D128" s="6"/>
      <c r="E128" s="6"/>
      <c r="F128" s="6"/>
      <c r="G128" s="6"/>
      <c r="H128" s="6"/>
    </row>
    <row r="129" spans="1:8" hidden="1" x14ac:dyDescent="0.25">
      <c r="A129" s="6"/>
      <c r="B129" s="7"/>
      <c r="C129" s="6"/>
      <c r="D129" s="6"/>
      <c r="E129" s="6"/>
      <c r="F129" s="6"/>
      <c r="G129" s="6"/>
      <c r="H129" s="6"/>
    </row>
    <row r="130" spans="1:8" hidden="1" x14ac:dyDescent="0.25">
      <c r="A130" s="6"/>
      <c r="B130" s="7"/>
      <c r="C130" s="6"/>
      <c r="D130" s="6"/>
      <c r="E130" s="6"/>
      <c r="F130" s="6"/>
      <c r="G130" s="6"/>
      <c r="H130" s="6"/>
    </row>
    <row r="131" spans="1:8" hidden="1"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Configuracion!$A$2:$A$73</xm:f>
          </x14:formula1>
          <xm:sqref>K1:K3 K47:K1048576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workbookViewId="0">
      <selection activeCell="A14" sqref="A14"/>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540</v>
      </c>
      <c r="C2" s="6"/>
      <c r="D2" s="6"/>
      <c r="E2" s="6"/>
      <c r="F2" s="6">
        <v>1</v>
      </c>
      <c r="G2" s="6" t="s">
        <v>303</v>
      </c>
      <c r="H2" s="6">
        <v>1</v>
      </c>
    </row>
    <row r="3" spans="1:30" x14ac:dyDescent="0.25">
      <c r="A3" s="6" t="s">
        <v>88</v>
      </c>
      <c r="B3" s="7" t="s">
        <v>541</v>
      </c>
      <c r="C3" s="6"/>
      <c r="D3" s="6"/>
      <c r="E3" s="6"/>
      <c r="F3" s="6">
        <v>3</v>
      </c>
      <c r="G3" s="6" t="s">
        <v>303</v>
      </c>
      <c r="H3" s="6">
        <v>1</v>
      </c>
      <c r="J3" t="s">
        <v>0</v>
      </c>
      <c r="K3" t="s">
        <v>1</v>
      </c>
      <c r="L3" t="s">
        <v>2</v>
      </c>
      <c r="M3" t="s">
        <v>660</v>
      </c>
      <c r="N3" s="4" t="s">
        <v>4</v>
      </c>
      <c r="O3" t="s">
        <v>18</v>
      </c>
      <c r="P3" t="s">
        <v>14</v>
      </c>
      <c r="T3" t="s">
        <v>28</v>
      </c>
      <c r="V3" s="14" t="s">
        <v>230</v>
      </c>
      <c r="W3" s="14"/>
      <c r="X3" s="14"/>
      <c r="Y3" s="14"/>
      <c r="Z3" s="14"/>
      <c r="AA3" s="14"/>
    </row>
    <row r="4" spans="1:30" x14ac:dyDescent="0.25">
      <c r="A4" s="6" t="s">
        <v>242</v>
      </c>
      <c r="B4" s="7"/>
      <c r="C4" s="6"/>
      <c r="D4" s="6" t="s">
        <v>354</v>
      </c>
      <c r="E4" s="6"/>
      <c r="F4" s="6">
        <v>1</v>
      </c>
      <c r="G4" s="6" t="s">
        <v>303</v>
      </c>
      <c r="H4" s="6">
        <v>1</v>
      </c>
      <c r="J4" t="s">
        <v>156</v>
      </c>
      <c r="K4" t="s">
        <v>566</v>
      </c>
      <c r="O4">
        <v>3</v>
      </c>
      <c r="P4" t="s">
        <v>15</v>
      </c>
      <c r="T4" t="s">
        <v>15</v>
      </c>
      <c r="V4" t="s">
        <v>8</v>
      </c>
      <c r="W4" t="s">
        <v>5</v>
      </c>
      <c r="X4" t="s">
        <v>6</v>
      </c>
      <c r="Y4" t="s">
        <v>9</v>
      </c>
      <c r="Z4" t="s">
        <v>10</v>
      </c>
      <c r="AA4" t="s">
        <v>257</v>
      </c>
      <c r="AB4" t="s">
        <v>303</v>
      </c>
      <c r="AC4" t="s">
        <v>7</v>
      </c>
      <c r="AD4" t="s">
        <v>36</v>
      </c>
    </row>
    <row r="5" spans="1:30" x14ac:dyDescent="0.25">
      <c r="A5" s="6" t="s">
        <v>100</v>
      </c>
      <c r="B5" s="7" t="s">
        <v>542</v>
      </c>
      <c r="C5" s="6"/>
      <c r="D5" s="6"/>
      <c r="E5" s="6"/>
      <c r="F5" s="6">
        <v>1</v>
      </c>
      <c r="G5" s="6" t="s">
        <v>303</v>
      </c>
      <c r="H5" s="6">
        <v>1</v>
      </c>
      <c r="J5" t="s">
        <v>156</v>
      </c>
      <c r="K5" t="s">
        <v>567</v>
      </c>
      <c r="O5">
        <v>1</v>
      </c>
      <c r="P5" t="s">
        <v>15</v>
      </c>
      <c r="T5" t="s">
        <v>572</v>
      </c>
      <c r="V5">
        <v>1</v>
      </c>
      <c r="W5">
        <v>1</v>
      </c>
      <c r="X5">
        <v>1</v>
      </c>
      <c r="Y5">
        <v>1</v>
      </c>
      <c r="Z5">
        <v>1</v>
      </c>
      <c r="AA5">
        <v>1</v>
      </c>
      <c r="AB5">
        <v>1</v>
      </c>
      <c r="AC5" t="s">
        <v>231</v>
      </c>
      <c r="AD5" t="s">
        <v>36</v>
      </c>
    </row>
    <row r="6" spans="1:30" x14ac:dyDescent="0.25">
      <c r="A6" s="6" t="s">
        <v>83</v>
      </c>
      <c r="B6" s="7"/>
      <c r="C6" s="6"/>
      <c r="D6" s="6" t="s">
        <v>543</v>
      </c>
      <c r="E6" s="6">
        <v>1813</v>
      </c>
      <c r="F6" s="6">
        <v>1</v>
      </c>
      <c r="G6" s="6" t="s">
        <v>303</v>
      </c>
      <c r="H6" s="6">
        <v>1</v>
      </c>
      <c r="J6" t="s">
        <v>156</v>
      </c>
      <c r="K6" t="s">
        <v>444</v>
      </c>
      <c r="O6">
        <v>3</v>
      </c>
      <c r="P6" t="s">
        <v>15</v>
      </c>
      <c r="T6" t="s">
        <v>575</v>
      </c>
      <c r="V6">
        <v>2</v>
      </c>
      <c r="Z6">
        <v>2</v>
      </c>
      <c r="AC6" t="s">
        <v>233</v>
      </c>
    </row>
    <row r="7" spans="1:30" x14ac:dyDescent="0.25">
      <c r="A7" s="6" t="s">
        <v>544</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543</v>
      </c>
      <c r="E8" s="6">
        <v>851</v>
      </c>
      <c r="F8" s="6">
        <v>1</v>
      </c>
      <c r="G8" s="6" t="s">
        <v>303</v>
      </c>
      <c r="H8" s="6">
        <v>1</v>
      </c>
      <c r="J8" t="s">
        <v>156</v>
      </c>
      <c r="K8" t="s">
        <v>568</v>
      </c>
      <c r="O8">
        <v>1</v>
      </c>
      <c r="P8" t="s">
        <v>15</v>
      </c>
      <c r="T8" t="s">
        <v>615</v>
      </c>
      <c r="V8">
        <v>4</v>
      </c>
    </row>
    <row r="9" spans="1:30" x14ac:dyDescent="0.25">
      <c r="A9" s="6" t="s">
        <v>362</v>
      </c>
      <c r="B9" s="7"/>
      <c r="C9" s="6"/>
      <c r="D9" s="6" t="s">
        <v>543</v>
      </c>
      <c r="E9" s="6">
        <v>722</v>
      </c>
      <c r="F9" s="6">
        <v>1</v>
      </c>
      <c r="G9" s="6" t="s">
        <v>303</v>
      </c>
      <c r="H9" s="6">
        <v>1</v>
      </c>
      <c r="J9" t="s">
        <v>156</v>
      </c>
      <c r="K9" t="s">
        <v>569</v>
      </c>
      <c r="O9">
        <v>1</v>
      </c>
      <c r="P9" t="s">
        <v>15</v>
      </c>
      <c r="T9" t="s">
        <v>618</v>
      </c>
    </row>
    <row r="10" spans="1:30" x14ac:dyDescent="0.25">
      <c r="A10" s="6" t="s">
        <v>80</v>
      </c>
      <c r="B10" s="7"/>
      <c r="C10" s="6"/>
      <c r="D10" s="6" t="s">
        <v>543</v>
      </c>
      <c r="E10" s="6">
        <v>1626</v>
      </c>
      <c r="F10" s="6">
        <v>1</v>
      </c>
      <c r="G10" s="6" t="s">
        <v>303</v>
      </c>
      <c r="H10" s="6">
        <v>1</v>
      </c>
      <c r="J10" t="s">
        <v>156</v>
      </c>
      <c r="K10" t="s">
        <v>23</v>
      </c>
      <c r="O10">
        <v>1</v>
      </c>
      <c r="P10" t="s">
        <v>15</v>
      </c>
      <c r="T10" t="s">
        <v>388</v>
      </c>
    </row>
    <row r="11" spans="1:30" x14ac:dyDescent="0.25">
      <c r="A11" s="6" t="s">
        <v>95</v>
      </c>
      <c r="B11" s="7"/>
      <c r="C11" s="6"/>
      <c r="D11" s="6" t="s">
        <v>543</v>
      </c>
      <c r="E11" s="6">
        <v>1110</v>
      </c>
      <c r="F11" s="6">
        <v>1</v>
      </c>
      <c r="G11" s="6" t="s">
        <v>303</v>
      </c>
      <c r="H11" s="6">
        <v>1</v>
      </c>
      <c r="J11" t="s">
        <v>156</v>
      </c>
      <c r="K11" t="s">
        <v>570</v>
      </c>
      <c r="O11">
        <v>2</v>
      </c>
      <c r="P11" t="s">
        <v>15</v>
      </c>
      <c r="T11" t="s">
        <v>368</v>
      </c>
    </row>
    <row r="12" spans="1:30" x14ac:dyDescent="0.25">
      <c r="A12" s="6" t="s">
        <v>346</v>
      </c>
      <c r="B12" s="7" t="s">
        <v>545</v>
      </c>
      <c r="C12" s="6"/>
      <c r="D12" s="6" t="s">
        <v>546</v>
      </c>
      <c r="E12" s="6"/>
      <c r="F12" s="6">
        <v>1</v>
      </c>
      <c r="G12" s="6" t="s">
        <v>303</v>
      </c>
      <c r="H12" s="6">
        <v>1</v>
      </c>
      <c r="J12" t="s">
        <v>156</v>
      </c>
      <c r="K12" t="s">
        <v>571</v>
      </c>
      <c r="O12">
        <v>1</v>
      </c>
      <c r="P12" t="s">
        <v>15</v>
      </c>
      <c r="T12" t="s">
        <v>621</v>
      </c>
    </row>
    <row r="13" spans="1:30" x14ac:dyDescent="0.25">
      <c r="A13" s="6" t="s">
        <v>471</v>
      </c>
      <c r="B13" s="7" t="s">
        <v>547</v>
      </c>
      <c r="C13" s="6"/>
      <c r="D13" s="6"/>
      <c r="E13" s="6"/>
      <c r="F13" s="6">
        <v>2</v>
      </c>
      <c r="G13" s="6" t="s">
        <v>303</v>
      </c>
      <c r="H13" s="6">
        <v>1</v>
      </c>
      <c r="J13" t="s">
        <v>90</v>
      </c>
      <c r="K13" t="s">
        <v>573</v>
      </c>
      <c r="O13">
        <v>3</v>
      </c>
      <c r="P13" t="s">
        <v>572</v>
      </c>
      <c r="T13" t="s">
        <v>29</v>
      </c>
    </row>
    <row r="14" spans="1:30" x14ac:dyDescent="0.25">
      <c r="A14" s="6" t="s">
        <v>87</v>
      </c>
      <c r="B14" s="7"/>
      <c r="C14" s="6"/>
      <c r="D14" s="6"/>
      <c r="E14" s="6"/>
      <c r="F14" s="6">
        <v>4</v>
      </c>
      <c r="G14" s="6" t="s">
        <v>303</v>
      </c>
      <c r="H14" s="6">
        <v>1</v>
      </c>
      <c r="J14" t="s">
        <v>472</v>
      </c>
      <c r="K14" t="s">
        <v>574</v>
      </c>
      <c r="O14">
        <v>1</v>
      </c>
      <c r="P14" t="s">
        <v>572</v>
      </c>
    </row>
    <row r="15" spans="1:30" x14ac:dyDescent="0.25">
      <c r="A15" s="6" t="s">
        <v>12</v>
      </c>
      <c r="B15" s="7" t="s">
        <v>548</v>
      </c>
      <c r="C15" s="6" t="s">
        <v>461</v>
      </c>
      <c r="D15" s="6" t="s">
        <v>549</v>
      </c>
      <c r="E15" s="6"/>
      <c r="F15" s="6">
        <v>1</v>
      </c>
      <c r="G15" s="6" t="s">
        <v>257</v>
      </c>
      <c r="H15" s="6">
        <v>1</v>
      </c>
      <c r="J15" t="s">
        <v>395</v>
      </c>
      <c r="K15" t="s">
        <v>395</v>
      </c>
      <c r="L15" t="s">
        <v>397</v>
      </c>
      <c r="O15">
        <v>2</v>
      </c>
      <c r="P15" t="s">
        <v>575</v>
      </c>
    </row>
    <row r="16" spans="1:30" x14ac:dyDescent="0.25">
      <c r="A16" s="6" t="s">
        <v>12</v>
      </c>
      <c r="B16" s="7" t="s">
        <v>550</v>
      </c>
      <c r="C16" s="6"/>
      <c r="D16" s="6" t="s">
        <v>182</v>
      </c>
      <c r="E16" s="6" t="s">
        <v>551</v>
      </c>
      <c r="F16" s="6">
        <v>1</v>
      </c>
      <c r="G16" s="6" t="s">
        <v>257</v>
      </c>
      <c r="H16" s="6">
        <v>1</v>
      </c>
      <c r="J16" t="s">
        <v>395</v>
      </c>
      <c r="K16" t="s">
        <v>395</v>
      </c>
      <c r="L16" t="s">
        <v>576</v>
      </c>
      <c r="O16">
        <v>1</v>
      </c>
      <c r="P16" t="s">
        <v>575</v>
      </c>
    </row>
    <row r="17" spans="1:16" x14ac:dyDescent="0.25">
      <c r="A17" s="6" t="s">
        <v>12</v>
      </c>
      <c r="B17" s="7" t="s">
        <v>552</v>
      </c>
      <c r="C17" s="6"/>
      <c r="D17" s="6" t="s">
        <v>181</v>
      </c>
      <c r="E17" s="6" t="s">
        <v>553</v>
      </c>
      <c r="F17" s="6">
        <v>1</v>
      </c>
      <c r="G17" s="6" t="s">
        <v>257</v>
      </c>
      <c r="H17" s="6">
        <v>1</v>
      </c>
      <c r="J17" t="s">
        <v>468</v>
      </c>
      <c r="K17" t="s">
        <v>468</v>
      </c>
      <c r="O17">
        <v>1</v>
      </c>
      <c r="P17" t="s">
        <v>575</v>
      </c>
    </row>
    <row r="18" spans="1:16" x14ac:dyDescent="0.25">
      <c r="A18" s="6" t="s">
        <v>554</v>
      </c>
      <c r="B18" s="7" t="s">
        <v>555</v>
      </c>
      <c r="C18" s="6"/>
      <c r="D18" s="6" t="s">
        <v>556</v>
      </c>
      <c r="E18" s="6"/>
      <c r="F18" s="6">
        <v>1</v>
      </c>
      <c r="G18" s="6" t="s">
        <v>10</v>
      </c>
      <c r="H18" s="6">
        <v>1</v>
      </c>
      <c r="J18" t="s">
        <v>468</v>
      </c>
      <c r="K18" t="s">
        <v>577</v>
      </c>
      <c r="O18">
        <v>1</v>
      </c>
      <c r="P18" t="s">
        <v>575</v>
      </c>
    </row>
    <row r="19" spans="1:16" x14ac:dyDescent="0.25">
      <c r="A19" s="6" t="s">
        <v>151</v>
      </c>
      <c r="B19" s="7" t="s">
        <v>557</v>
      </c>
      <c r="C19" s="6"/>
      <c r="D19" s="6"/>
      <c r="E19" s="6"/>
      <c r="F19" s="6">
        <v>2</v>
      </c>
      <c r="G19" s="6" t="s">
        <v>10</v>
      </c>
      <c r="H19" s="6">
        <v>1</v>
      </c>
      <c r="J19" t="s">
        <v>469</v>
      </c>
      <c r="K19" t="s">
        <v>578</v>
      </c>
      <c r="O19">
        <v>1</v>
      </c>
      <c r="P19" t="s">
        <v>575</v>
      </c>
    </row>
    <row r="20" spans="1:16" x14ac:dyDescent="0.25">
      <c r="A20" s="6" t="s">
        <v>11</v>
      </c>
      <c r="B20" s="7" t="s">
        <v>558</v>
      </c>
      <c r="C20" s="6" t="s">
        <v>123</v>
      </c>
      <c r="D20" s="6"/>
      <c r="E20" s="6"/>
      <c r="F20" s="6">
        <v>3</v>
      </c>
      <c r="G20" s="6" t="s">
        <v>10</v>
      </c>
      <c r="H20" s="6">
        <v>1</v>
      </c>
      <c r="J20" t="s">
        <v>611</v>
      </c>
      <c r="K20" t="s">
        <v>612</v>
      </c>
      <c r="O20">
        <v>1</v>
      </c>
      <c r="P20" t="s">
        <v>387</v>
      </c>
    </row>
    <row r="21" spans="1:16" x14ac:dyDescent="0.25">
      <c r="A21" s="6" t="s">
        <v>32</v>
      </c>
      <c r="B21" s="7" t="s">
        <v>559</v>
      </c>
      <c r="C21" s="6" t="s">
        <v>52</v>
      </c>
      <c r="D21" s="6" t="s">
        <v>560</v>
      </c>
      <c r="E21" s="6"/>
      <c r="F21" s="6">
        <v>1</v>
      </c>
      <c r="G21" s="6" t="s">
        <v>10</v>
      </c>
      <c r="H21" s="6">
        <v>1</v>
      </c>
      <c r="J21" t="s">
        <v>90</v>
      </c>
      <c r="K21" t="s">
        <v>614</v>
      </c>
      <c r="O21">
        <v>2</v>
      </c>
      <c r="P21" t="s">
        <v>387</v>
      </c>
    </row>
    <row r="22" spans="1:16" x14ac:dyDescent="0.25">
      <c r="A22" s="6" t="s">
        <v>11</v>
      </c>
      <c r="B22" s="7"/>
      <c r="C22" s="6" t="s">
        <v>121</v>
      </c>
      <c r="D22" s="6"/>
      <c r="E22" s="6"/>
      <c r="F22" s="6">
        <v>5</v>
      </c>
      <c r="G22" s="6" t="s">
        <v>10</v>
      </c>
      <c r="H22" s="6">
        <v>1</v>
      </c>
      <c r="J22" t="s">
        <v>611</v>
      </c>
      <c r="K22" t="s">
        <v>613</v>
      </c>
      <c r="O22">
        <v>2</v>
      </c>
      <c r="P22" t="s">
        <v>387</v>
      </c>
    </row>
    <row r="23" spans="1:16" ht="30" x14ac:dyDescent="0.25">
      <c r="A23" s="6" t="s">
        <v>32</v>
      </c>
      <c r="B23" s="7" t="s">
        <v>561</v>
      </c>
      <c r="C23" s="6" t="s">
        <v>52</v>
      </c>
      <c r="D23" s="6" t="s">
        <v>562</v>
      </c>
      <c r="E23" s="6"/>
      <c r="F23" s="6">
        <v>1</v>
      </c>
      <c r="G23" s="6" t="s">
        <v>10</v>
      </c>
      <c r="H23" s="6">
        <v>1</v>
      </c>
      <c r="J23" t="s">
        <v>687</v>
      </c>
      <c r="K23" t="s">
        <v>616</v>
      </c>
      <c r="O23">
        <v>1</v>
      </c>
      <c r="P23" t="s">
        <v>615</v>
      </c>
    </row>
    <row r="24" spans="1:16" x14ac:dyDescent="0.25">
      <c r="A24" s="6" t="s">
        <v>175</v>
      </c>
      <c r="B24" s="7"/>
      <c r="C24" s="6" t="s">
        <v>237</v>
      </c>
      <c r="D24" s="6" t="s">
        <v>298</v>
      </c>
      <c r="E24" s="6"/>
      <c r="F24" s="6">
        <v>1</v>
      </c>
      <c r="G24" s="6" t="s">
        <v>10</v>
      </c>
      <c r="H24" s="6">
        <v>1</v>
      </c>
      <c r="J24" t="s">
        <v>400</v>
      </c>
      <c r="K24" t="s">
        <v>617</v>
      </c>
      <c r="O24">
        <v>6</v>
      </c>
      <c r="P24" t="s">
        <v>615</v>
      </c>
    </row>
    <row r="25" spans="1:16" x14ac:dyDescent="0.25">
      <c r="A25" s="6" t="s">
        <v>156</v>
      </c>
      <c r="B25" s="7" t="s">
        <v>563</v>
      </c>
      <c r="C25" s="6"/>
      <c r="D25" s="6"/>
      <c r="E25" s="6"/>
      <c r="F25" s="6">
        <v>1</v>
      </c>
      <c r="G25" s="6" t="s">
        <v>5</v>
      </c>
      <c r="H25" s="6">
        <v>1</v>
      </c>
      <c r="J25" t="s">
        <v>89</v>
      </c>
      <c r="K25" t="s">
        <v>619</v>
      </c>
      <c r="O25">
        <v>5</v>
      </c>
      <c r="P25" t="s">
        <v>618</v>
      </c>
    </row>
    <row r="26" spans="1:16" x14ac:dyDescent="0.25">
      <c r="A26" s="6" t="s">
        <v>156</v>
      </c>
      <c r="B26" s="7" t="s">
        <v>564</v>
      </c>
      <c r="C26" s="6"/>
      <c r="D26" s="6"/>
      <c r="E26" s="6"/>
      <c r="F26" s="6">
        <v>1</v>
      </c>
      <c r="G26" s="6" t="s">
        <v>5</v>
      </c>
      <c r="H26" s="6">
        <v>1</v>
      </c>
      <c r="J26" t="s">
        <v>90</v>
      </c>
      <c r="K26" t="s">
        <v>383</v>
      </c>
      <c r="O26">
        <v>6</v>
      </c>
      <c r="P26" t="s">
        <v>388</v>
      </c>
    </row>
    <row r="27" spans="1:16" x14ac:dyDescent="0.25">
      <c r="A27" s="6" t="s">
        <v>156</v>
      </c>
      <c r="B27" s="7" t="s">
        <v>565</v>
      </c>
      <c r="C27" s="6"/>
      <c r="D27" s="6"/>
      <c r="E27" s="6"/>
      <c r="F27" s="6">
        <v>1</v>
      </c>
      <c r="G27" s="6" t="s">
        <v>5</v>
      </c>
      <c r="H27" s="6">
        <v>1</v>
      </c>
      <c r="J27" t="s">
        <v>471</v>
      </c>
      <c r="K27" t="s">
        <v>620</v>
      </c>
      <c r="O27">
        <v>20</v>
      </c>
      <c r="P27" t="s">
        <v>368</v>
      </c>
    </row>
    <row r="28" spans="1:16" x14ac:dyDescent="0.25">
      <c r="A28" s="6" t="s">
        <v>154</v>
      </c>
      <c r="B28" s="7" t="s">
        <v>155</v>
      </c>
      <c r="C28" s="6"/>
      <c r="D28" s="6"/>
      <c r="E28" s="6"/>
      <c r="F28" s="6">
        <v>1</v>
      </c>
      <c r="G28" s="6" t="s">
        <v>5</v>
      </c>
      <c r="H28" s="6">
        <v>1</v>
      </c>
      <c r="J28" t="s">
        <v>623</v>
      </c>
      <c r="K28" t="s">
        <v>625</v>
      </c>
      <c r="L28" t="s">
        <v>624</v>
      </c>
      <c r="O28">
        <v>1</v>
      </c>
      <c r="P28" t="s">
        <v>621</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623</v>
      </c>
      <c r="K29" t="s">
        <v>626</v>
      </c>
      <c r="L29" t="s">
        <v>627</v>
      </c>
      <c r="O29">
        <v>1</v>
      </c>
      <c r="P29" t="s">
        <v>621</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623</v>
      </c>
      <c r="K30" t="s">
        <v>622</v>
      </c>
      <c r="L30" t="s">
        <v>628</v>
      </c>
      <c r="O30">
        <v>1</v>
      </c>
      <c r="P30" t="s">
        <v>621</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623</v>
      </c>
      <c r="K31" t="s">
        <v>630</v>
      </c>
      <c r="L31" t="s">
        <v>629</v>
      </c>
      <c r="O31">
        <v>1</v>
      </c>
      <c r="P31" t="s">
        <v>621</v>
      </c>
    </row>
    <row r="32" spans="1:16" x14ac:dyDescent="0.25">
      <c r="A32" s="6" t="s">
        <v>156</v>
      </c>
      <c r="B32" s="7" t="s">
        <v>579</v>
      </c>
      <c r="C32" s="6"/>
      <c r="D32" s="6"/>
      <c r="E32" s="6"/>
      <c r="F32" s="6">
        <v>1</v>
      </c>
      <c r="G32" s="6" t="s">
        <v>5</v>
      </c>
      <c r="H32" s="6">
        <v>1</v>
      </c>
      <c r="J32" t="s">
        <v>623</v>
      </c>
      <c r="K32" t="s">
        <v>630</v>
      </c>
      <c r="L32" t="s">
        <v>631</v>
      </c>
      <c r="O32">
        <v>1</v>
      </c>
      <c r="P32" t="s">
        <v>621</v>
      </c>
    </row>
    <row r="33" spans="1:16" x14ac:dyDescent="0.25">
      <c r="A33" s="6" t="s">
        <v>580</v>
      </c>
      <c r="B33" s="7" t="s">
        <v>581</v>
      </c>
      <c r="C33" s="6" t="s">
        <v>52</v>
      </c>
      <c r="D33" s="6"/>
      <c r="E33" s="6">
        <v>27348635</v>
      </c>
      <c r="F33" s="6">
        <v>1</v>
      </c>
      <c r="G33" s="6" t="s">
        <v>9</v>
      </c>
      <c r="H33" s="6">
        <v>1</v>
      </c>
      <c r="J33" t="s">
        <v>623</v>
      </c>
      <c r="K33" t="s">
        <v>633</v>
      </c>
      <c r="L33" t="s">
        <v>632</v>
      </c>
      <c r="O33">
        <v>1</v>
      </c>
      <c r="P33" t="s">
        <v>621</v>
      </c>
    </row>
    <row r="34" spans="1:16" x14ac:dyDescent="0.25">
      <c r="A34" s="6" t="s">
        <v>59</v>
      </c>
      <c r="B34" s="7" t="s">
        <v>583</v>
      </c>
      <c r="C34" s="6" t="s">
        <v>52</v>
      </c>
      <c r="D34" s="6" t="s">
        <v>582</v>
      </c>
      <c r="E34" s="6"/>
      <c r="F34" s="6">
        <v>1</v>
      </c>
      <c r="G34" s="6" t="s">
        <v>9</v>
      </c>
      <c r="H34" s="6">
        <v>1</v>
      </c>
      <c r="J34" t="s">
        <v>647</v>
      </c>
      <c r="K34" t="s">
        <v>646</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648</v>
      </c>
      <c r="O36">
        <v>2</v>
      </c>
      <c r="P36" t="s">
        <v>29</v>
      </c>
    </row>
    <row r="37" spans="1:16" x14ac:dyDescent="0.25">
      <c r="A37" s="6" t="s">
        <v>44</v>
      </c>
      <c r="B37" s="7" t="s">
        <v>584</v>
      </c>
      <c r="C37" s="6" t="s">
        <v>45</v>
      </c>
      <c r="D37" s="6"/>
      <c r="E37" s="6"/>
      <c r="F37" s="6">
        <v>1</v>
      </c>
      <c r="G37" s="6" t="s">
        <v>9</v>
      </c>
      <c r="H37" s="6">
        <v>1</v>
      </c>
      <c r="J37" t="s">
        <v>156</v>
      </c>
      <c r="K37" t="s">
        <v>649</v>
      </c>
      <c r="O37">
        <v>1</v>
      </c>
      <c r="P37" t="s">
        <v>29</v>
      </c>
    </row>
    <row r="38" spans="1:16" x14ac:dyDescent="0.25">
      <c r="A38" s="6" t="s">
        <v>11</v>
      </c>
      <c r="B38" s="7"/>
      <c r="C38" s="6" t="s">
        <v>123</v>
      </c>
      <c r="D38" s="6"/>
      <c r="E38" s="6"/>
      <c r="F38" s="6">
        <v>2</v>
      </c>
      <c r="G38" s="6" t="s">
        <v>9</v>
      </c>
      <c r="H38" s="6">
        <v>1</v>
      </c>
      <c r="J38" t="s">
        <v>156</v>
      </c>
      <c r="K38" t="s">
        <v>650</v>
      </c>
      <c r="O38">
        <v>1</v>
      </c>
      <c r="P38" t="s">
        <v>29</v>
      </c>
    </row>
    <row r="39" spans="1:16" x14ac:dyDescent="0.25">
      <c r="A39" s="6" t="s">
        <v>160</v>
      </c>
      <c r="B39" s="7" t="s">
        <v>585</v>
      </c>
      <c r="C39" s="6" t="s">
        <v>692</v>
      </c>
      <c r="D39" s="6"/>
      <c r="E39" s="6"/>
      <c r="F39" s="6">
        <v>1</v>
      </c>
      <c r="G39" s="6" t="s">
        <v>9</v>
      </c>
      <c r="H39" s="6">
        <v>1</v>
      </c>
      <c r="J39" t="s">
        <v>156</v>
      </c>
      <c r="K39" t="s">
        <v>651</v>
      </c>
      <c r="O39">
        <v>1</v>
      </c>
      <c r="P39" t="s">
        <v>29</v>
      </c>
    </row>
    <row r="40" spans="1:16" x14ac:dyDescent="0.25">
      <c r="A40" s="6" t="s">
        <v>54</v>
      </c>
      <c r="B40" s="7" t="s">
        <v>586</v>
      </c>
      <c r="C40" s="6" t="s">
        <v>225</v>
      </c>
      <c r="D40" s="6" t="s">
        <v>587</v>
      </c>
      <c r="E40" s="6"/>
      <c r="F40" s="6">
        <v>1</v>
      </c>
      <c r="G40" s="6" t="s">
        <v>9</v>
      </c>
      <c r="H40" s="6">
        <v>1</v>
      </c>
      <c r="J40" t="s">
        <v>652</v>
      </c>
      <c r="K40" t="s">
        <v>653</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654</v>
      </c>
      <c r="O42">
        <v>1</v>
      </c>
      <c r="P42" t="s">
        <v>29</v>
      </c>
    </row>
    <row r="43" spans="1:16" x14ac:dyDescent="0.25">
      <c r="A43" s="6" t="s">
        <v>174</v>
      </c>
      <c r="B43" s="7"/>
      <c r="C43" s="6" t="s">
        <v>236</v>
      </c>
      <c r="D43" s="6"/>
      <c r="E43" s="6"/>
      <c r="F43" s="6">
        <v>1</v>
      </c>
      <c r="G43" s="6" t="s">
        <v>9</v>
      </c>
      <c r="H43" s="6">
        <v>1</v>
      </c>
      <c r="J43" t="s">
        <v>156</v>
      </c>
      <c r="K43" t="s">
        <v>655</v>
      </c>
      <c r="O43">
        <v>3</v>
      </c>
      <c r="P43" t="s">
        <v>29</v>
      </c>
    </row>
    <row r="44" spans="1:16" x14ac:dyDescent="0.25">
      <c r="A44" s="6" t="s">
        <v>44</v>
      </c>
      <c r="B44" s="7" t="s">
        <v>588</v>
      </c>
      <c r="C44" s="6" t="s">
        <v>45</v>
      </c>
      <c r="D44" s="6"/>
      <c r="E44" s="6"/>
      <c r="F44" s="6">
        <v>1</v>
      </c>
      <c r="G44" s="6" t="s">
        <v>9</v>
      </c>
      <c r="H44" s="6">
        <v>1</v>
      </c>
      <c r="J44" t="s">
        <v>156</v>
      </c>
      <c r="K44" t="s">
        <v>570</v>
      </c>
      <c r="O44">
        <v>2</v>
      </c>
      <c r="P44" t="s">
        <v>29</v>
      </c>
    </row>
    <row r="45" spans="1:16" ht="30" x14ac:dyDescent="0.25">
      <c r="A45" s="6" t="s">
        <v>32</v>
      </c>
      <c r="B45" s="7" t="s">
        <v>561</v>
      </c>
      <c r="C45" s="6" t="s">
        <v>52</v>
      </c>
      <c r="D45" s="6"/>
      <c r="E45" s="6"/>
      <c r="F45" s="6">
        <v>2</v>
      </c>
      <c r="G45" s="6" t="s">
        <v>6</v>
      </c>
      <c r="H45" s="6">
        <v>1</v>
      </c>
      <c r="J45" t="s">
        <v>156</v>
      </c>
      <c r="K45" t="s">
        <v>23</v>
      </c>
      <c r="O45">
        <v>1</v>
      </c>
      <c r="P45" t="s">
        <v>29</v>
      </c>
    </row>
    <row r="46" spans="1:16" x14ac:dyDescent="0.25">
      <c r="A46" s="6" t="s">
        <v>243</v>
      </c>
      <c r="B46" s="7"/>
      <c r="C46" s="6"/>
      <c r="D46" s="6" t="s">
        <v>589</v>
      </c>
      <c r="E46" s="6" t="s">
        <v>590</v>
      </c>
      <c r="F46" s="6">
        <v>1</v>
      </c>
      <c r="G46" s="6" t="s">
        <v>6</v>
      </c>
      <c r="H46" s="6">
        <v>1</v>
      </c>
      <c r="J46" t="s">
        <v>156</v>
      </c>
      <c r="K46" t="s">
        <v>656</v>
      </c>
      <c r="O46">
        <v>1</v>
      </c>
      <c r="P46" t="s">
        <v>29</v>
      </c>
    </row>
    <row r="47" spans="1:16" x14ac:dyDescent="0.25">
      <c r="A47" s="6" t="s">
        <v>591</v>
      </c>
      <c r="B47" s="7"/>
      <c r="C47" s="6"/>
      <c r="D47" s="6" t="s">
        <v>182</v>
      </c>
      <c r="E47" s="6" t="s">
        <v>592</v>
      </c>
      <c r="F47" s="6">
        <v>1</v>
      </c>
      <c r="G47" s="6" t="s">
        <v>6</v>
      </c>
      <c r="H47" s="6">
        <v>1</v>
      </c>
    </row>
    <row r="48" spans="1:16" x14ac:dyDescent="0.25">
      <c r="A48" s="6" t="s">
        <v>59</v>
      </c>
      <c r="B48" s="7" t="s">
        <v>593</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559</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595</v>
      </c>
      <c r="C55" s="6" t="s">
        <v>103</v>
      </c>
      <c r="D55" s="6"/>
      <c r="E55" s="6"/>
      <c r="F55" s="6">
        <v>1</v>
      </c>
      <c r="G55" s="6" t="s">
        <v>36</v>
      </c>
      <c r="H55" s="6" t="s">
        <v>36</v>
      </c>
    </row>
    <row r="56" spans="1:9" x14ac:dyDescent="0.25">
      <c r="A56" s="6" t="s">
        <v>35</v>
      </c>
      <c r="B56" s="7" t="s">
        <v>594</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596</v>
      </c>
      <c r="C58" s="6" t="s">
        <v>597</v>
      </c>
      <c r="D58" s="6"/>
      <c r="E58" s="6"/>
      <c r="F58" s="6">
        <v>1</v>
      </c>
      <c r="G58" s="6" t="s">
        <v>36</v>
      </c>
      <c r="H58" s="6" t="s">
        <v>36</v>
      </c>
    </row>
    <row r="59" spans="1:9" x14ac:dyDescent="0.25">
      <c r="A59" s="6" t="s">
        <v>156</v>
      </c>
      <c r="B59" s="7" t="s">
        <v>598</v>
      </c>
      <c r="C59" s="6" t="s">
        <v>539</v>
      </c>
      <c r="D59" s="6"/>
      <c r="E59" s="6"/>
      <c r="F59" s="6">
        <v>1</v>
      </c>
      <c r="G59" s="6" t="s">
        <v>36</v>
      </c>
      <c r="H59" s="6" t="s">
        <v>36</v>
      </c>
    </row>
    <row r="60" spans="1:9" x14ac:dyDescent="0.25">
      <c r="A60" s="6" t="s">
        <v>156</v>
      </c>
      <c r="B60" s="7" t="s">
        <v>599</v>
      </c>
      <c r="C60" s="6"/>
      <c r="D60" s="6"/>
      <c r="E60" s="6"/>
      <c r="F60" s="6">
        <v>1</v>
      </c>
      <c r="G60" s="6" t="s">
        <v>8</v>
      </c>
      <c r="H60" s="6">
        <v>1</v>
      </c>
      <c r="I60" s="6"/>
    </row>
    <row r="61" spans="1:9" x14ac:dyDescent="0.25">
      <c r="A61" s="6" t="s">
        <v>156</v>
      </c>
      <c r="B61" s="7" t="s">
        <v>600</v>
      </c>
      <c r="C61" s="6"/>
      <c r="D61" s="6"/>
      <c r="E61" s="6"/>
      <c r="F61" s="6">
        <v>1</v>
      </c>
      <c r="G61" s="6" t="s">
        <v>8</v>
      </c>
      <c r="H61" s="6">
        <v>1</v>
      </c>
    </row>
    <row r="62" spans="1:9" x14ac:dyDescent="0.25">
      <c r="A62" s="6" t="s">
        <v>156</v>
      </c>
      <c r="B62" s="7" t="s">
        <v>601</v>
      </c>
      <c r="C62" s="6"/>
      <c r="D62" s="6"/>
      <c r="E62" s="6"/>
      <c r="F62" s="6">
        <v>1</v>
      </c>
      <c r="G62" s="6" t="s">
        <v>8</v>
      </c>
      <c r="H62" s="6">
        <v>1</v>
      </c>
    </row>
    <row r="63" spans="1:9" x14ac:dyDescent="0.25">
      <c r="A63" s="6" t="s">
        <v>156</v>
      </c>
      <c r="B63" s="7" t="s">
        <v>602</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603</v>
      </c>
      <c r="C65" s="6"/>
      <c r="D65" s="6"/>
      <c r="E65" s="6"/>
      <c r="F65" s="6">
        <v>1</v>
      </c>
      <c r="G65" s="6" t="s">
        <v>8</v>
      </c>
      <c r="H65" s="6">
        <v>1</v>
      </c>
    </row>
    <row r="66" spans="1:8" x14ac:dyDescent="0.25">
      <c r="A66" s="6" t="s">
        <v>156</v>
      </c>
      <c r="B66" s="7" t="s">
        <v>604</v>
      </c>
      <c r="C66" s="6"/>
      <c r="D66" s="6"/>
      <c r="E66" s="6"/>
      <c r="F66" s="6">
        <v>2</v>
      </c>
      <c r="G66" s="6" t="s">
        <v>8</v>
      </c>
      <c r="H66" s="6">
        <v>1</v>
      </c>
    </row>
    <row r="67" spans="1:8" x14ac:dyDescent="0.25">
      <c r="A67" s="6" t="s">
        <v>156</v>
      </c>
      <c r="B67" s="7" t="s">
        <v>605</v>
      </c>
      <c r="C67" s="6"/>
      <c r="D67" s="6"/>
      <c r="E67" s="6"/>
      <c r="F67" s="6">
        <v>3</v>
      </c>
      <c r="G67" s="6" t="s">
        <v>8</v>
      </c>
      <c r="H67" s="6">
        <v>1</v>
      </c>
    </row>
    <row r="68" spans="1:8" x14ac:dyDescent="0.25">
      <c r="A68" s="6" t="s">
        <v>606</v>
      </c>
      <c r="B68" s="7"/>
      <c r="C68" s="6"/>
      <c r="D68" s="6"/>
      <c r="E68" s="6"/>
      <c r="F68" s="6">
        <v>1</v>
      </c>
      <c r="G68" s="6" t="s">
        <v>8</v>
      </c>
      <c r="H68" s="6">
        <v>1</v>
      </c>
    </row>
    <row r="69" spans="1:8" x14ac:dyDescent="0.25">
      <c r="A69" s="6" t="s">
        <v>156</v>
      </c>
      <c r="B69" s="7" t="s">
        <v>607</v>
      </c>
      <c r="C69" s="6"/>
      <c r="D69" s="6"/>
      <c r="E69" s="6"/>
      <c r="F69" s="6">
        <v>4</v>
      </c>
      <c r="G69" s="6" t="s">
        <v>8</v>
      </c>
      <c r="H69" s="6">
        <v>1</v>
      </c>
    </row>
    <row r="70" spans="1:8" x14ac:dyDescent="0.25">
      <c r="A70" s="6" t="s">
        <v>156</v>
      </c>
      <c r="B70" s="7" t="s">
        <v>608</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609</v>
      </c>
      <c r="C72" s="6"/>
      <c r="D72" s="6"/>
      <c r="E72" s="6"/>
      <c r="F72" s="6">
        <v>1</v>
      </c>
      <c r="G72" s="6" t="s">
        <v>8</v>
      </c>
      <c r="H72" s="6">
        <v>1</v>
      </c>
    </row>
    <row r="73" spans="1:8" x14ac:dyDescent="0.25">
      <c r="A73" s="6" t="s">
        <v>156</v>
      </c>
      <c r="B73" s="10" t="s">
        <v>610</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634</v>
      </c>
      <c r="C80" s="6"/>
      <c r="D80" s="6"/>
      <c r="E80" s="6"/>
      <c r="F80" s="6">
        <v>1</v>
      </c>
      <c r="G80" s="6" t="s">
        <v>7</v>
      </c>
      <c r="H80" s="6" t="s">
        <v>231</v>
      </c>
    </row>
    <row r="81" spans="1:8" x14ac:dyDescent="0.25">
      <c r="A81" s="6" t="s">
        <v>506</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635</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526</v>
      </c>
      <c r="D85" s="6"/>
      <c r="E85" s="6"/>
      <c r="F85" s="6">
        <v>1</v>
      </c>
      <c r="G85" s="6" t="s">
        <v>7</v>
      </c>
      <c r="H85" s="6" t="s">
        <v>231</v>
      </c>
    </row>
    <row r="86" spans="1:8" x14ac:dyDescent="0.25">
      <c r="A86" s="6" t="s">
        <v>638</v>
      </c>
      <c r="B86" s="7"/>
      <c r="C86" s="6"/>
      <c r="D86" s="6"/>
      <c r="E86" s="6"/>
      <c r="F86" s="6">
        <v>2</v>
      </c>
      <c r="G86" s="6" t="s">
        <v>7</v>
      </c>
      <c r="H86" s="6" t="s">
        <v>231</v>
      </c>
    </row>
    <row r="87" spans="1:8" x14ac:dyDescent="0.25">
      <c r="A87" s="6" t="s">
        <v>468</v>
      </c>
      <c r="B87" s="7" t="s">
        <v>491</v>
      </c>
      <c r="C87" s="6"/>
      <c r="D87" s="6"/>
      <c r="E87" s="6"/>
      <c r="F87" s="6">
        <v>1</v>
      </c>
      <c r="G87" s="6" t="s">
        <v>7</v>
      </c>
      <c r="H87" s="6" t="s">
        <v>231</v>
      </c>
    </row>
    <row r="88" spans="1:8" x14ac:dyDescent="0.25">
      <c r="A88" s="6" t="s">
        <v>258</v>
      </c>
      <c r="B88" s="7" t="s">
        <v>639</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640</v>
      </c>
      <c r="C90" s="6"/>
      <c r="D90" s="6" t="s">
        <v>641</v>
      </c>
      <c r="E90" s="6">
        <v>27309</v>
      </c>
      <c r="F90" s="6">
        <v>1</v>
      </c>
      <c r="G90" s="6" t="s">
        <v>7</v>
      </c>
      <c r="H90" s="6" t="s">
        <v>231</v>
      </c>
    </row>
    <row r="91" spans="1:8" x14ac:dyDescent="0.25">
      <c r="A91" s="6" t="s">
        <v>217</v>
      </c>
      <c r="B91" s="7"/>
      <c r="C91" s="6"/>
      <c r="D91" s="6"/>
      <c r="E91" s="6" t="s">
        <v>642</v>
      </c>
      <c r="F91" s="6">
        <v>1</v>
      </c>
      <c r="G91" s="6" t="s">
        <v>7</v>
      </c>
      <c r="H91" s="6" t="s">
        <v>231</v>
      </c>
    </row>
    <row r="92" spans="1:8" x14ac:dyDescent="0.25">
      <c r="A92" s="6" t="s">
        <v>217</v>
      </c>
      <c r="B92" s="7"/>
      <c r="C92" s="6"/>
      <c r="D92" s="6"/>
      <c r="E92" s="6" t="s">
        <v>643</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585</v>
      </c>
      <c r="C95" s="6" t="s">
        <v>644</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D9CFBB2-B4D8-4C31-B989-AE13787D42CF}">
          <x14:formula1>
            <xm:f>Configuracion!$I$2:$I$7</xm:f>
          </x14:formula1>
          <xm:sqref>C118 C57</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14A3BCEF-3DC8-4C4C-A3DE-EC553E18ABDD}">
          <x14:formula1>
            <xm:f>Configuracion!$A:$A</xm:f>
          </x14:formula1>
          <xm:sqref>J1:J1048576</xm:sqref>
        </x14:dataValidation>
        <x14:dataValidation type="list" allowBlank="1" showInputMessage="1" showErrorMessage="1" xr:uid="{CC19D81C-26B7-4A5E-91B9-CE0CECAC3715}">
          <x14:formula1>
            <xm:f>Configuracion!$V$2:$V$4</xm:f>
          </x14:formula1>
          <xm:sqref>C39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P21" workbookViewId="0">
      <selection activeCell="R27" sqref="R27"/>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14" t="s">
        <v>230</v>
      </c>
      <c r="U3" s="14"/>
      <c r="V3" s="14"/>
      <c r="W3" s="14"/>
      <c r="X3" s="14"/>
      <c r="Y3" s="14"/>
    </row>
    <row r="4" spans="1:26" x14ac:dyDescent="0.25">
      <c r="A4" s="6" t="s">
        <v>375</v>
      </c>
      <c r="B4" s="7" t="s">
        <v>377</v>
      </c>
      <c r="C4" s="6"/>
      <c r="D4" s="6"/>
      <c r="E4" s="6"/>
      <c r="F4" s="6">
        <v>1</v>
      </c>
      <c r="G4" s="6" t="s">
        <v>8</v>
      </c>
      <c r="H4" s="6">
        <v>1</v>
      </c>
      <c r="J4" t="s">
        <v>12</v>
      </c>
      <c r="K4" t="s">
        <v>662</v>
      </c>
      <c r="M4" t="s">
        <v>661</v>
      </c>
      <c r="N4" t="s">
        <v>663</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664</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665</v>
      </c>
      <c r="M6" t="s">
        <v>661</v>
      </c>
      <c r="N6" t="s">
        <v>666</v>
      </c>
      <c r="O6">
        <v>1</v>
      </c>
      <c r="P6" t="s">
        <v>263</v>
      </c>
      <c r="R6" t="s">
        <v>274</v>
      </c>
      <c r="T6">
        <v>2</v>
      </c>
      <c r="U6">
        <v>2</v>
      </c>
      <c r="X6" t="s">
        <v>401</v>
      </c>
    </row>
    <row r="7" spans="1:26" x14ac:dyDescent="0.25">
      <c r="A7" s="6" t="s">
        <v>53</v>
      </c>
      <c r="B7" s="7" t="s">
        <v>238</v>
      </c>
      <c r="C7" s="6"/>
      <c r="D7" s="6"/>
      <c r="E7" s="6"/>
      <c r="F7" s="6">
        <v>8</v>
      </c>
      <c r="G7" s="6" t="s">
        <v>8</v>
      </c>
      <c r="H7" s="6">
        <v>2</v>
      </c>
      <c r="J7" t="s">
        <v>664</v>
      </c>
      <c r="K7" t="s">
        <v>264</v>
      </c>
      <c r="O7">
        <v>2</v>
      </c>
      <c r="P7" t="s">
        <v>263</v>
      </c>
      <c r="R7" t="s">
        <v>352</v>
      </c>
      <c r="T7">
        <v>3</v>
      </c>
    </row>
    <row r="8" spans="1:26" x14ac:dyDescent="0.25">
      <c r="A8" s="6" t="s">
        <v>381</v>
      </c>
      <c r="B8" s="7" t="s">
        <v>382</v>
      </c>
      <c r="C8" s="6"/>
      <c r="D8" s="6"/>
      <c r="E8" s="6">
        <v>10023961</v>
      </c>
      <c r="F8" s="6">
        <v>1</v>
      </c>
      <c r="G8" s="6" t="s">
        <v>8</v>
      </c>
      <c r="H8" s="6">
        <v>2</v>
      </c>
      <c r="J8" t="s">
        <v>664</v>
      </c>
      <c r="K8" t="s">
        <v>262</v>
      </c>
      <c r="O8">
        <v>2</v>
      </c>
      <c r="P8" t="s">
        <v>263</v>
      </c>
      <c r="R8" t="s">
        <v>353</v>
      </c>
    </row>
    <row r="9" spans="1:26" x14ac:dyDescent="0.25">
      <c r="A9" s="6" t="s">
        <v>394</v>
      </c>
      <c r="B9" s="7"/>
      <c r="C9" s="6"/>
      <c r="D9" s="6"/>
      <c r="E9" s="6"/>
      <c r="F9" s="6">
        <v>1</v>
      </c>
      <c r="G9" s="6" t="s">
        <v>8</v>
      </c>
      <c r="H9" s="6">
        <v>2</v>
      </c>
      <c r="J9" t="s">
        <v>12</v>
      </c>
      <c r="K9" t="s">
        <v>668</v>
      </c>
      <c r="M9" t="s">
        <v>667</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671</v>
      </c>
      <c r="K10" t="s">
        <v>669</v>
      </c>
      <c r="M10" t="s">
        <v>670</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672</v>
      </c>
      <c r="K11" t="s">
        <v>674</v>
      </c>
      <c r="M11" t="s">
        <v>673</v>
      </c>
      <c r="N11" t="s">
        <v>675</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676</v>
      </c>
      <c r="M13" t="s">
        <v>667</v>
      </c>
      <c r="N13">
        <v>959421</v>
      </c>
      <c r="O13">
        <v>1</v>
      </c>
      <c r="P13" t="s">
        <v>270</v>
      </c>
      <c r="R13" t="s">
        <v>357</v>
      </c>
    </row>
    <row r="14" spans="1:26" x14ac:dyDescent="0.25">
      <c r="A14" s="6" t="s">
        <v>392</v>
      </c>
      <c r="B14" s="7"/>
      <c r="C14" s="6"/>
      <c r="D14" s="6"/>
      <c r="E14" s="6"/>
      <c r="F14" s="6">
        <v>2</v>
      </c>
      <c r="G14" s="6" t="s">
        <v>8</v>
      </c>
      <c r="H14" s="6">
        <v>3</v>
      </c>
      <c r="J14" t="s">
        <v>671</v>
      </c>
      <c r="K14" t="s">
        <v>669</v>
      </c>
      <c r="M14" t="s">
        <v>670</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677</v>
      </c>
      <c r="K20" t="s">
        <v>276</v>
      </c>
      <c r="O20">
        <v>1</v>
      </c>
      <c r="P20" t="s">
        <v>275</v>
      </c>
      <c r="R20" t="s">
        <v>368</v>
      </c>
    </row>
    <row r="21" spans="1:18" ht="30" x14ac:dyDescent="0.25">
      <c r="A21" s="6" t="s">
        <v>151</v>
      </c>
      <c r="B21" s="7" t="s">
        <v>336</v>
      </c>
      <c r="C21" s="6" t="s">
        <v>337</v>
      </c>
      <c r="D21" s="6"/>
      <c r="E21" s="6"/>
      <c r="F21" s="6">
        <v>1</v>
      </c>
      <c r="G21" s="6" t="s">
        <v>9</v>
      </c>
      <c r="H21" s="6">
        <v>1</v>
      </c>
      <c r="J21" t="s">
        <v>677</v>
      </c>
      <c r="K21" t="s">
        <v>277</v>
      </c>
      <c r="O21">
        <v>1</v>
      </c>
      <c r="P21" t="s">
        <v>275</v>
      </c>
      <c r="R21" t="s">
        <v>370</v>
      </c>
    </row>
    <row r="22" spans="1:18" ht="30" x14ac:dyDescent="0.25">
      <c r="A22" s="6" t="s">
        <v>151</v>
      </c>
      <c r="B22" s="7" t="s">
        <v>338</v>
      </c>
      <c r="C22" s="6" t="s">
        <v>339</v>
      </c>
      <c r="D22" s="6"/>
      <c r="E22" s="6"/>
      <c r="F22" s="6">
        <v>1</v>
      </c>
      <c r="G22" s="6" t="s">
        <v>9</v>
      </c>
      <c r="H22" s="6">
        <v>1</v>
      </c>
      <c r="J22" t="s">
        <v>677</v>
      </c>
      <c r="K22" t="s">
        <v>278</v>
      </c>
      <c r="O22">
        <v>1</v>
      </c>
      <c r="P22" t="s">
        <v>275</v>
      </c>
      <c r="R22" t="s">
        <v>404</v>
      </c>
    </row>
    <row r="23" spans="1:18" ht="45" x14ac:dyDescent="0.25">
      <c r="A23" s="6" t="s">
        <v>151</v>
      </c>
      <c r="B23" s="7" t="s">
        <v>340</v>
      </c>
      <c r="C23" s="6" t="s">
        <v>341</v>
      </c>
      <c r="D23" s="6"/>
      <c r="E23" s="6"/>
      <c r="F23" s="6">
        <v>1</v>
      </c>
      <c r="G23" s="6" t="s">
        <v>9</v>
      </c>
      <c r="H23" s="6">
        <v>1</v>
      </c>
      <c r="J23" t="s">
        <v>677</v>
      </c>
      <c r="K23" t="s">
        <v>279</v>
      </c>
      <c r="O23">
        <v>1</v>
      </c>
      <c r="P23" t="s">
        <v>275</v>
      </c>
      <c r="R23" t="s">
        <v>430</v>
      </c>
    </row>
    <row r="24" spans="1:18" x14ac:dyDescent="0.25">
      <c r="A24" s="6" t="s">
        <v>151</v>
      </c>
      <c r="B24" s="7" t="s">
        <v>344</v>
      </c>
      <c r="C24" s="6" t="s">
        <v>345</v>
      </c>
      <c r="D24" s="6"/>
      <c r="E24" s="6"/>
      <c r="F24" s="6">
        <v>1</v>
      </c>
      <c r="G24" s="6" t="s">
        <v>9</v>
      </c>
      <c r="H24" s="6">
        <v>1</v>
      </c>
      <c r="J24" t="s">
        <v>677</v>
      </c>
      <c r="K24" t="s">
        <v>281</v>
      </c>
      <c r="O24">
        <v>1</v>
      </c>
      <c r="P24" t="s">
        <v>280</v>
      </c>
      <c r="R24" t="s">
        <v>432</v>
      </c>
    </row>
    <row r="25" spans="1:18" x14ac:dyDescent="0.25">
      <c r="A25" s="6" t="s">
        <v>11</v>
      </c>
      <c r="B25" s="7" t="s">
        <v>417</v>
      </c>
      <c r="C25" s="6" t="s">
        <v>123</v>
      </c>
      <c r="D25" s="6"/>
      <c r="E25" s="6"/>
      <c r="F25" s="6">
        <v>2</v>
      </c>
      <c r="G25" s="6" t="s">
        <v>9</v>
      </c>
      <c r="H25" s="6">
        <v>1</v>
      </c>
      <c r="J25" t="s">
        <v>677</v>
      </c>
      <c r="K25" t="s">
        <v>282</v>
      </c>
      <c r="O25">
        <v>1</v>
      </c>
      <c r="P25" t="s">
        <v>280</v>
      </c>
      <c r="R25" t="s">
        <v>435</v>
      </c>
    </row>
    <row r="26" spans="1:18" ht="30" x14ac:dyDescent="0.25">
      <c r="A26" s="6" t="s">
        <v>151</v>
      </c>
      <c r="B26" s="7" t="s">
        <v>342</v>
      </c>
      <c r="C26" s="6"/>
      <c r="D26" s="6"/>
      <c r="E26" s="6"/>
      <c r="F26" s="6">
        <v>1</v>
      </c>
      <c r="G26" s="6" t="s">
        <v>9</v>
      </c>
      <c r="H26" s="6">
        <v>2</v>
      </c>
      <c r="J26" t="s">
        <v>677</v>
      </c>
      <c r="K26" t="s">
        <v>283</v>
      </c>
      <c r="O26">
        <v>2</v>
      </c>
      <c r="P26" t="s">
        <v>280</v>
      </c>
      <c r="R26" t="s">
        <v>437</v>
      </c>
    </row>
    <row r="27" spans="1:18" ht="30" x14ac:dyDescent="0.25">
      <c r="A27" s="6" t="s">
        <v>151</v>
      </c>
      <c r="B27" s="7" t="s">
        <v>343</v>
      </c>
      <c r="C27" s="6"/>
      <c r="D27" s="6"/>
      <c r="E27" s="6"/>
      <c r="F27" s="6">
        <v>1</v>
      </c>
      <c r="G27" s="6" t="s">
        <v>9</v>
      </c>
      <c r="H27" s="6">
        <v>2</v>
      </c>
      <c r="J27" t="s">
        <v>678</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678</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678</v>
      </c>
      <c r="K29" t="s">
        <v>286</v>
      </c>
      <c r="L29" t="s">
        <v>108</v>
      </c>
      <c r="O29">
        <v>2</v>
      </c>
      <c r="P29" t="s">
        <v>280</v>
      </c>
    </row>
    <row r="30" spans="1:18" x14ac:dyDescent="0.25">
      <c r="A30" s="6" t="s">
        <v>381</v>
      </c>
      <c r="B30" s="7" t="s">
        <v>423</v>
      </c>
      <c r="C30" s="6"/>
      <c r="D30" s="6"/>
      <c r="E30" s="6"/>
      <c r="F30" s="6">
        <v>2</v>
      </c>
      <c r="G30" s="6" t="s">
        <v>9</v>
      </c>
      <c r="H30" s="6">
        <v>1</v>
      </c>
      <c r="J30" t="s">
        <v>678</v>
      </c>
      <c r="K30" t="s">
        <v>287</v>
      </c>
      <c r="L30" t="s">
        <v>467</v>
      </c>
      <c r="O30">
        <v>1</v>
      </c>
      <c r="P30" t="s">
        <v>280</v>
      </c>
    </row>
    <row r="31" spans="1:18" x14ac:dyDescent="0.25">
      <c r="A31" s="6" t="s">
        <v>381</v>
      </c>
      <c r="B31" s="7" t="s">
        <v>424</v>
      </c>
      <c r="C31" s="6"/>
      <c r="D31" s="6" t="s">
        <v>354</v>
      </c>
      <c r="E31" s="6"/>
      <c r="F31" s="6">
        <v>2</v>
      </c>
      <c r="G31" s="6" t="s">
        <v>9</v>
      </c>
      <c r="H31" s="6">
        <v>1</v>
      </c>
      <c r="J31" t="s">
        <v>679</v>
      </c>
      <c r="K31" t="s">
        <v>326</v>
      </c>
      <c r="O31">
        <v>1</v>
      </c>
      <c r="P31" t="s">
        <v>352</v>
      </c>
    </row>
    <row r="32" spans="1:18" x14ac:dyDescent="0.25">
      <c r="A32" s="6" t="s">
        <v>381</v>
      </c>
      <c r="B32" s="7" t="s">
        <v>425</v>
      </c>
      <c r="C32" s="6"/>
      <c r="D32" s="6"/>
      <c r="E32" s="6"/>
      <c r="F32" s="6">
        <v>2</v>
      </c>
      <c r="G32" s="6" t="s">
        <v>9</v>
      </c>
      <c r="H32" s="6">
        <v>1</v>
      </c>
      <c r="J32" t="s">
        <v>679</v>
      </c>
      <c r="K32" t="s">
        <v>327</v>
      </c>
      <c r="O32">
        <v>1</v>
      </c>
      <c r="P32" t="s">
        <v>352</v>
      </c>
    </row>
    <row r="33" spans="1:16" x14ac:dyDescent="0.25">
      <c r="A33" s="6" t="s">
        <v>100</v>
      </c>
      <c r="B33" s="7" t="s">
        <v>360</v>
      </c>
      <c r="C33" s="6"/>
      <c r="D33" s="6" t="s">
        <v>354</v>
      </c>
      <c r="E33" s="6"/>
      <c r="F33" s="6">
        <v>3</v>
      </c>
      <c r="G33" s="6" t="s">
        <v>10</v>
      </c>
      <c r="H33" s="6">
        <v>1</v>
      </c>
      <c r="J33" t="s">
        <v>679</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679</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679</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679</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680</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680</v>
      </c>
      <c r="K40" t="s">
        <v>359</v>
      </c>
      <c r="O40">
        <v>6</v>
      </c>
      <c r="P40" t="s">
        <v>357</v>
      </c>
    </row>
    <row r="41" spans="1:16" x14ac:dyDescent="0.25">
      <c r="A41" s="6" t="s">
        <v>362</v>
      </c>
      <c r="B41" s="7" t="s">
        <v>363</v>
      </c>
      <c r="C41" s="6"/>
      <c r="D41" s="6" t="s">
        <v>354</v>
      </c>
      <c r="E41" s="6">
        <v>58115</v>
      </c>
      <c r="F41" s="6">
        <v>1</v>
      </c>
      <c r="G41" s="6" t="s">
        <v>10</v>
      </c>
      <c r="H41" s="6">
        <v>1</v>
      </c>
      <c r="J41" t="s">
        <v>681</v>
      </c>
      <c r="K41" t="s">
        <v>682</v>
      </c>
      <c r="M41" t="s">
        <v>683</v>
      </c>
      <c r="O41">
        <v>4</v>
      </c>
      <c r="P41" t="s">
        <v>367</v>
      </c>
    </row>
    <row r="42" spans="1:16" x14ac:dyDescent="0.25">
      <c r="A42" s="6" t="s">
        <v>83</v>
      </c>
      <c r="B42" s="7" t="s">
        <v>363</v>
      </c>
      <c r="C42" s="6"/>
      <c r="D42" s="6" t="s">
        <v>354</v>
      </c>
      <c r="E42" s="6">
        <v>114947</v>
      </c>
      <c r="F42" s="6">
        <v>1</v>
      </c>
      <c r="G42" s="6" t="s">
        <v>10</v>
      </c>
      <c r="H42" s="6">
        <v>1</v>
      </c>
      <c r="J42" t="s">
        <v>681</v>
      </c>
      <c r="K42" t="s">
        <v>684</v>
      </c>
      <c r="M42" t="s">
        <v>685</v>
      </c>
      <c r="O42">
        <v>1</v>
      </c>
      <c r="P42" t="s">
        <v>367</v>
      </c>
    </row>
    <row r="43" spans="1:16" x14ac:dyDescent="0.25">
      <c r="A43" s="6" t="s">
        <v>242</v>
      </c>
      <c r="B43" s="7"/>
      <c r="C43" s="6"/>
      <c r="D43" s="6" t="s">
        <v>354</v>
      </c>
      <c r="E43" s="6"/>
      <c r="F43" s="6">
        <v>2</v>
      </c>
      <c r="G43" s="6" t="s">
        <v>10</v>
      </c>
      <c r="H43" s="6">
        <v>1</v>
      </c>
      <c r="J43" t="s">
        <v>686</v>
      </c>
      <c r="K43" t="s">
        <v>369</v>
      </c>
      <c r="O43">
        <v>12</v>
      </c>
      <c r="P43" t="s">
        <v>368</v>
      </c>
    </row>
    <row r="44" spans="1:16" x14ac:dyDescent="0.25">
      <c r="A44" s="6" t="s">
        <v>242</v>
      </c>
      <c r="B44" s="7"/>
      <c r="C44" s="6"/>
      <c r="D44" s="6" t="s">
        <v>356</v>
      </c>
      <c r="E44" s="6"/>
      <c r="F44" s="6">
        <v>2</v>
      </c>
      <c r="G44" s="6" t="s">
        <v>10</v>
      </c>
      <c r="H44" s="6">
        <v>1</v>
      </c>
      <c r="J44" t="s">
        <v>686</v>
      </c>
      <c r="K44" t="s">
        <v>371</v>
      </c>
      <c r="O44">
        <v>11</v>
      </c>
      <c r="P44" t="s">
        <v>370</v>
      </c>
    </row>
    <row r="45" spans="1:16" x14ac:dyDescent="0.25">
      <c r="A45" s="6" t="s">
        <v>242</v>
      </c>
      <c r="B45" s="7"/>
      <c r="C45" s="6"/>
      <c r="D45" s="6"/>
      <c r="E45" s="6"/>
      <c r="F45" s="6">
        <v>1</v>
      </c>
      <c r="G45" s="6" t="s">
        <v>10</v>
      </c>
      <c r="H45" s="6">
        <v>1</v>
      </c>
      <c r="J45" t="s">
        <v>686</v>
      </c>
      <c r="K45" t="s">
        <v>372</v>
      </c>
      <c r="O45">
        <v>5</v>
      </c>
      <c r="P45" t="s">
        <v>370</v>
      </c>
    </row>
    <row r="46" spans="1:16" ht="30" x14ac:dyDescent="0.25">
      <c r="A46" s="6" t="s">
        <v>80</v>
      </c>
      <c r="B46" s="7" t="s">
        <v>366</v>
      </c>
      <c r="C46" s="6"/>
      <c r="D46" s="6" t="s">
        <v>354</v>
      </c>
      <c r="E46" s="6">
        <v>122054</v>
      </c>
      <c r="F46" s="6">
        <v>1</v>
      </c>
      <c r="G46" s="6" t="s">
        <v>10</v>
      </c>
      <c r="H46" s="6">
        <v>1</v>
      </c>
      <c r="J46" t="s">
        <v>686</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686</v>
      </c>
      <c r="K52" t="s">
        <v>405</v>
      </c>
      <c r="O52">
        <v>9</v>
      </c>
      <c r="P52" t="s">
        <v>404</v>
      </c>
    </row>
    <row r="53" spans="1:16" x14ac:dyDescent="0.25">
      <c r="A53" s="6" t="s">
        <v>100</v>
      </c>
      <c r="B53" s="7" t="s">
        <v>414</v>
      </c>
      <c r="C53" s="6"/>
      <c r="D53" s="6"/>
      <c r="E53" s="6"/>
      <c r="F53" s="6">
        <v>1</v>
      </c>
      <c r="G53" s="6" t="s">
        <v>10</v>
      </c>
      <c r="H53" t="s">
        <v>401</v>
      </c>
      <c r="J53" t="s">
        <v>686</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686</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687</v>
      </c>
      <c r="K56" t="s">
        <v>433</v>
      </c>
      <c r="O56">
        <v>1</v>
      </c>
      <c r="P56" t="s">
        <v>432</v>
      </c>
    </row>
    <row r="57" spans="1:16" x14ac:dyDescent="0.25">
      <c r="A57" s="6" t="s">
        <v>226</v>
      </c>
      <c r="B57" s="7" t="s">
        <v>409</v>
      </c>
      <c r="C57" s="6"/>
      <c r="D57" s="6" t="s">
        <v>412</v>
      </c>
      <c r="E57" s="6" t="s">
        <v>413</v>
      </c>
      <c r="F57" s="6">
        <v>1</v>
      </c>
      <c r="G57" s="6" t="s">
        <v>10</v>
      </c>
      <c r="H57" t="s">
        <v>401</v>
      </c>
      <c r="J57" t="s">
        <v>687</v>
      </c>
      <c r="K57" t="s">
        <v>434</v>
      </c>
      <c r="O57">
        <v>1</v>
      </c>
      <c r="P57" t="s">
        <v>432</v>
      </c>
    </row>
    <row r="58" spans="1:16" x14ac:dyDescent="0.25">
      <c r="A58" s="6" t="s">
        <v>111</v>
      </c>
      <c r="B58" s="7" t="s">
        <v>402</v>
      </c>
      <c r="C58" s="6"/>
      <c r="D58" s="6"/>
      <c r="E58" s="6"/>
      <c r="F58" s="6">
        <v>4</v>
      </c>
      <c r="G58" s="6" t="s">
        <v>10</v>
      </c>
      <c r="H58" t="s">
        <v>401</v>
      </c>
      <c r="J58" t="s">
        <v>687</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687</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611</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221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645</v>
      </c>
      <c r="D80" s="6"/>
      <c r="E80" s="6"/>
      <c r="F80" s="6">
        <v>2</v>
      </c>
      <c r="G80" s="6" t="s">
        <v>5</v>
      </c>
      <c r="H80" s="6">
        <v>1</v>
      </c>
    </row>
    <row r="81" spans="1:8" x14ac:dyDescent="0.25">
      <c r="A81" s="6" t="s">
        <v>160</v>
      </c>
      <c r="B81" s="7" t="s">
        <v>164</v>
      </c>
      <c r="C81" s="6" t="s">
        <v>645</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J61:J75 A112:A117 A119:A128 A130:A133 A1 A3:A5 A7:A23 A25:A35 A37 A39:A50 A53:A55 A57:A58 A60 A63:A64 A66:A67 A104:A108 J4 J6 J9:J30 J35:J36 J43:J55 A71:A100 A101:A103"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 C81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14" t="s">
        <v>230</v>
      </c>
      <c r="U3" s="14"/>
      <c r="V3" s="14"/>
      <c r="W3" s="14"/>
      <c r="X3" s="14"/>
      <c r="Y3" s="14"/>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568</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14" t="s">
        <v>230</v>
      </c>
      <c r="U3" s="14"/>
      <c r="V3" s="14"/>
      <c r="W3" s="14"/>
      <c r="X3" s="14"/>
      <c r="Y3" s="14"/>
    </row>
    <row r="4" spans="1:25" x14ac:dyDescent="0.25">
      <c r="A4" s="6" t="s">
        <v>43</v>
      </c>
      <c r="B4" s="7"/>
      <c r="C4" s="6" t="s">
        <v>65</v>
      </c>
      <c r="D4" s="6"/>
      <c r="E4" s="6"/>
      <c r="F4" s="6">
        <v>1</v>
      </c>
      <c r="G4" s="6" t="s">
        <v>8</v>
      </c>
      <c r="H4" s="6">
        <v>1</v>
      </c>
      <c r="T4" t="s">
        <v>8</v>
      </c>
      <c r="U4" t="s">
        <v>5</v>
      </c>
      <c r="V4" t="s">
        <v>7</v>
      </c>
    </row>
    <row r="5" spans="1:25" x14ac:dyDescent="0.25">
      <c r="A5" s="6" t="s">
        <v>32</v>
      </c>
      <c r="B5" s="7" t="s">
        <v>657</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658</v>
      </c>
      <c r="C7" s="6" t="s">
        <v>33</v>
      </c>
      <c r="D7" s="6"/>
      <c r="E7" s="6"/>
      <c r="F7" s="6">
        <v>1</v>
      </c>
      <c r="G7" s="6" t="s">
        <v>8</v>
      </c>
      <c r="H7" s="6">
        <v>1</v>
      </c>
    </row>
    <row r="8" spans="1:25" x14ac:dyDescent="0.25">
      <c r="A8" s="6" t="s">
        <v>32</v>
      </c>
      <c r="B8" s="7" t="s">
        <v>659</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A13" sqref="A13"/>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14" t="s">
        <v>230</v>
      </c>
      <c r="U3" s="14"/>
      <c r="V3" s="14"/>
      <c r="W3" s="14"/>
      <c r="X3" s="14"/>
      <c r="Y3" s="14"/>
    </row>
    <row r="4" spans="1:28" x14ac:dyDescent="0.25">
      <c r="A4" s="6" t="s">
        <v>307</v>
      </c>
      <c r="B4" s="7" t="s">
        <v>310</v>
      </c>
      <c r="C4" s="6"/>
      <c r="D4" s="6" t="s">
        <v>311</v>
      </c>
      <c r="E4" s="6"/>
      <c r="F4" s="6">
        <v>1</v>
      </c>
      <c r="G4" s="6" t="s">
        <v>6</v>
      </c>
      <c r="H4" s="6">
        <v>1</v>
      </c>
      <c r="R4" t="s">
        <v>688</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644</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E1" workbookViewId="0">
      <pane ySplit="1" topLeftCell="A2" activePane="bottomLeft" state="frozen"/>
      <selection pane="bottomLeft" activeCell="H2" sqref="H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474</v>
      </c>
    </row>
    <row r="3" spans="1:27" x14ac:dyDescent="0.25">
      <c r="A3" s="6" t="s">
        <v>475</v>
      </c>
      <c r="B3" s="7" t="s">
        <v>476</v>
      </c>
      <c r="C3" s="6"/>
      <c r="D3" s="6"/>
      <c r="E3" s="6"/>
      <c r="F3" s="6">
        <v>1</v>
      </c>
      <c r="G3" s="6" t="s">
        <v>235</v>
      </c>
      <c r="H3" s="6" t="s">
        <v>474</v>
      </c>
      <c r="J3" t="s">
        <v>0</v>
      </c>
      <c r="K3" t="s">
        <v>1</v>
      </c>
      <c r="L3" t="s">
        <v>2</v>
      </c>
      <c r="M3" s="4" t="s">
        <v>3</v>
      </c>
      <c r="N3" s="4" t="s">
        <v>4</v>
      </c>
      <c r="O3" s="4" t="s">
        <v>240</v>
      </c>
      <c r="P3" t="s">
        <v>14</v>
      </c>
      <c r="Q3" t="s">
        <v>689</v>
      </c>
      <c r="R3" t="s">
        <v>690</v>
      </c>
      <c r="T3" t="s">
        <v>28</v>
      </c>
      <c r="V3" s="14" t="s">
        <v>230</v>
      </c>
      <c r="W3" s="14"/>
      <c r="X3" s="14"/>
      <c r="Y3" s="14"/>
      <c r="Z3" s="14"/>
      <c r="AA3" s="14"/>
    </row>
    <row r="4" spans="1:27" x14ac:dyDescent="0.25">
      <c r="A4" s="6" t="s">
        <v>92</v>
      </c>
      <c r="B4" s="7" t="str">
        <f>bolso("Bolso de RCP",Table621[])</f>
        <v xml:space="preserve">Bolso de RCP Contiene:  BVM x1, </v>
      </c>
      <c r="C4" s="6"/>
      <c r="D4" s="6"/>
      <c r="E4" s="6"/>
      <c r="F4" s="6">
        <v>1</v>
      </c>
      <c r="G4" t="s">
        <v>488</v>
      </c>
      <c r="H4" s="6" t="s">
        <v>474</v>
      </c>
      <c r="J4" t="s">
        <v>468</v>
      </c>
      <c r="K4" t="s">
        <v>479</v>
      </c>
      <c r="O4">
        <v>1</v>
      </c>
      <c r="P4" t="s">
        <v>477</v>
      </c>
      <c r="T4" t="s">
        <v>477</v>
      </c>
      <c r="V4" t="s">
        <v>488</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488</v>
      </c>
      <c r="H5" s="6" t="s">
        <v>474</v>
      </c>
      <c r="J5" t="s">
        <v>468</v>
      </c>
      <c r="K5" t="s">
        <v>479</v>
      </c>
      <c r="O5">
        <v>1</v>
      </c>
      <c r="P5" t="s">
        <v>478</v>
      </c>
      <c r="T5" t="s">
        <v>478</v>
      </c>
      <c r="V5">
        <v>1</v>
      </c>
      <c r="W5" t="s">
        <v>474</v>
      </c>
      <c r="X5">
        <v>1</v>
      </c>
      <c r="Y5">
        <v>1</v>
      </c>
    </row>
    <row r="6" spans="1:27" x14ac:dyDescent="0.25">
      <c r="A6" s="6" t="s">
        <v>92</v>
      </c>
      <c r="B6" s="7" t="str">
        <f>bolso("Bolso trauma liviano",Table621[])</f>
        <v xml:space="preserve">Bolso trauma liviano Contiene:  Mascara oxigeno x1,  Mascara rcp x1, </v>
      </c>
      <c r="C6" s="6"/>
      <c r="D6" s="6"/>
      <c r="E6" s="6"/>
      <c r="F6" s="6">
        <v>1</v>
      </c>
      <c r="G6" t="s">
        <v>488</v>
      </c>
      <c r="H6" s="6" t="s">
        <v>474</v>
      </c>
      <c r="J6" t="s">
        <v>480</v>
      </c>
      <c r="K6" t="s">
        <v>481</v>
      </c>
      <c r="O6">
        <v>5</v>
      </c>
      <c r="P6" t="s">
        <v>478</v>
      </c>
      <c r="T6" t="s">
        <v>485</v>
      </c>
      <c r="V6">
        <v>2</v>
      </c>
    </row>
    <row r="7" spans="1:27" x14ac:dyDescent="0.25">
      <c r="A7" s="6" t="s">
        <v>400</v>
      </c>
      <c r="B7" s="7"/>
      <c r="C7" s="6"/>
      <c r="D7" s="6"/>
      <c r="E7" s="6"/>
      <c r="F7" s="6">
        <v>1</v>
      </c>
      <c r="G7" t="s">
        <v>488</v>
      </c>
      <c r="H7" s="6" t="s">
        <v>474</v>
      </c>
      <c r="J7" t="s">
        <v>482</v>
      </c>
      <c r="K7" t="s">
        <v>482</v>
      </c>
      <c r="O7">
        <v>1</v>
      </c>
      <c r="P7" t="s">
        <v>478</v>
      </c>
      <c r="T7" t="s">
        <v>507</v>
      </c>
      <c r="V7">
        <v>3</v>
      </c>
    </row>
    <row r="8" spans="1:27" x14ac:dyDescent="0.25">
      <c r="A8" s="6" t="s">
        <v>468</v>
      </c>
      <c r="B8" s="7"/>
      <c r="C8" s="6"/>
      <c r="D8" s="6"/>
      <c r="E8" s="6"/>
      <c r="F8" s="6">
        <v>2</v>
      </c>
      <c r="G8" t="s">
        <v>488</v>
      </c>
      <c r="H8" s="6">
        <v>1</v>
      </c>
      <c r="J8" t="s">
        <v>483</v>
      </c>
      <c r="K8" t="s">
        <v>484</v>
      </c>
      <c r="O8">
        <v>1</v>
      </c>
      <c r="P8" t="s">
        <v>478</v>
      </c>
      <c r="T8" t="s">
        <v>509</v>
      </c>
      <c r="V8">
        <v>4</v>
      </c>
    </row>
    <row r="9" spans="1:27" x14ac:dyDescent="0.25">
      <c r="A9" s="6" t="s">
        <v>210</v>
      </c>
      <c r="B9" s="7">
        <v>2008</v>
      </c>
      <c r="C9" s="6"/>
      <c r="D9" s="6"/>
      <c r="E9" s="6"/>
      <c r="F9" s="6">
        <v>1</v>
      </c>
      <c r="G9" t="s">
        <v>488</v>
      </c>
      <c r="H9" s="6">
        <v>1</v>
      </c>
      <c r="J9" t="s">
        <v>470</v>
      </c>
      <c r="K9" t="s">
        <v>486</v>
      </c>
      <c r="O9">
        <v>1</v>
      </c>
      <c r="P9" t="s">
        <v>485</v>
      </c>
      <c r="T9" t="s">
        <v>518</v>
      </c>
      <c r="V9">
        <v>5</v>
      </c>
    </row>
    <row r="10" spans="1:27" x14ac:dyDescent="0.25">
      <c r="A10" s="6" t="s">
        <v>469</v>
      </c>
      <c r="B10" s="7" t="s">
        <v>489</v>
      </c>
      <c r="C10" s="6"/>
      <c r="D10" s="6"/>
      <c r="E10" s="6"/>
      <c r="F10" s="6">
        <v>1</v>
      </c>
      <c r="G10" t="s">
        <v>488</v>
      </c>
      <c r="H10" s="6">
        <v>1</v>
      </c>
      <c r="J10" t="s">
        <v>487</v>
      </c>
      <c r="K10" t="s">
        <v>487</v>
      </c>
      <c r="O10">
        <v>1</v>
      </c>
      <c r="P10" t="s">
        <v>485</v>
      </c>
      <c r="T10" t="s">
        <v>93</v>
      </c>
      <c r="V10">
        <v>6</v>
      </c>
    </row>
    <row r="11" spans="1:27" x14ac:dyDescent="0.25">
      <c r="A11" s="6" t="s">
        <v>470</v>
      </c>
      <c r="B11" s="7" t="s">
        <v>490</v>
      </c>
      <c r="C11" s="6"/>
      <c r="D11" s="6"/>
      <c r="E11" s="6"/>
      <c r="F11" s="6">
        <v>1</v>
      </c>
      <c r="G11" t="s">
        <v>488</v>
      </c>
      <c r="H11" s="6">
        <v>1</v>
      </c>
      <c r="J11" t="s">
        <v>480</v>
      </c>
      <c r="K11" t="s">
        <v>510</v>
      </c>
      <c r="O11">
        <v>1</v>
      </c>
      <c r="P11" t="s">
        <v>509</v>
      </c>
      <c r="V11">
        <v>7</v>
      </c>
    </row>
    <row r="12" spans="1:27" x14ac:dyDescent="0.25">
      <c r="A12" s="6" t="s">
        <v>470</v>
      </c>
      <c r="B12" s="7" t="s">
        <v>491</v>
      </c>
      <c r="C12" s="6"/>
      <c r="D12" s="6"/>
      <c r="E12" s="6"/>
      <c r="F12" s="6">
        <v>1</v>
      </c>
      <c r="G12" s="6" t="s">
        <v>488</v>
      </c>
      <c r="H12" s="6">
        <v>1</v>
      </c>
      <c r="J12" t="s">
        <v>395</v>
      </c>
      <c r="K12" t="s">
        <v>395</v>
      </c>
      <c r="L12" t="s">
        <v>576</v>
      </c>
      <c r="O12">
        <v>3</v>
      </c>
      <c r="P12" t="s">
        <v>509</v>
      </c>
      <c r="V12" t="s">
        <v>474</v>
      </c>
    </row>
    <row r="13" spans="1:27" x14ac:dyDescent="0.25">
      <c r="A13" s="6" t="s">
        <v>492</v>
      </c>
      <c r="B13" s="7"/>
      <c r="C13" s="6"/>
      <c r="D13" s="6"/>
      <c r="E13" s="6"/>
      <c r="F13" s="6">
        <v>5</v>
      </c>
      <c r="G13" s="6" t="s">
        <v>488</v>
      </c>
      <c r="H13" s="6">
        <v>1</v>
      </c>
      <c r="J13" t="s">
        <v>468</v>
      </c>
      <c r="K13" t="s">
        <v>691</v>
      </c>
      <c r="O13">
        <v>2</v>
      </c>
      <c r="P13" t="s">
        <v>509</v>
      </c>
    </row>
    <row r="14" spans="1:27" x14ac:dyDescent="0.25">
      <c r="A14" s="6" t="s">
        <v>493</v>
      </c>
      <c r="B14" s="7"/>
      <c r="C14" s="6"/>
      <c r="D14" s="6"/>
      <c r="E14" s="6"/>
      <c r="F14" s="6">
        <v>1</v>
      </c>
      <c r="G14" s="6" t="s">
        <v>488</v>
      </c>
      <c r="H14" s="6">
        <v>2</v>
      </c>
      <c r="J14" t="s">
        <v>511</v>
      </c>
      <c r="K14" t="s">
        <v>512</v>
      </c>
      <c r="O14">
        <v>5</v>
      </c>
      <c r="P14" t="s">
        <v>509</v>
      </c>
    </row>
    <row r="15" spans="1:27" x14ac:dyDescent="0.25">
      <c r="A15" s="6" t="s">
        <v>494</v>
      </c>
      <c r="B15" s="7"/>
      <c r="C15" s="6"/>
      <c r="D15" s="6"/>
      <c r="E15" s="6"/>
      <c r="F15" s="6">
        <v>1</v>
      </c>
      <c r="G15" s="6" t="s">
        <v>488</v>
      </c>
      <c r="H15" s="6">
        <v>2</v>
      </c>
      <c r="J15" t="s">
        <v>513</v>
      </c>
      <c r="K15" t="s">
        <v>514</v>
      </c>
      <c r="O15">
        <v>1</v>
      </c>
      <c r="P15" t="s">
        <v>509</v>
      </c>
    </row>
    <row r="16" spans="1:27" x14ac:dyDescent="0.25">
      <c r="A16" s="6" t="s">
        <v>496</v>
      </c>
      <c r="B16" s="7"/>
      <c r="C16" s="6"/>
      <c r="D16" s="6" t="s">
        <v>497</v>
      </c>
      <c r="E16" s="6" t="s">
        <v>498</v>
      </c>
      <c r="F16" s="6">
        <v>1</v>
      </c>
      <c r="G16" s="6" t="s">
        <v>488</v>
      </c>
      <c r="H16" s="6">
        <v>2</v>
      </c>
      <c r="J16" t="s">
        <v>469</v>
      </c>
      <c r="K16" t="s">
        <v>515</v>
      </c>
      <c r="O16">
        <v>1</v>
      </c>
      <c r="P16" t="s">
        <v>509</v>
      </c>
    </row>
    <row r="17" spans="1:16" x14ac:dyDescent="0.25">
      <c r="A17" s="6" t="s">
        <v>211</v>
      </c>
      <c r="B17" s="7" t="s">
        <v>499</v>
      </c>
      <c r="C17" s="6"/>
      <c r="D17" s="6"/>
      <c r="E17" s="6"/>
      <c r="F17" s="6">
        <v>1</v>
      </c>
      <c r="G17" s="6" t="s">
        <v>488</v>
      </c>
      <c r="H17" s="6">
        <v>2</v>
      </c>
      <c r="J17" t="s">
        <v>147</v>
      </c>
      <c r="K17" t="s">
        <v>147</v>
      </c>
      <c r="O17">
        <v>1</v>
      </c>
      <c r="P17" t="s">
        <v>509</v>
      </c>
    </row>
    <row r="18" spans="1:16" x14ac:dyDescent="0.25">
      <c r="A18" s="6" t="s">
        <v>500</v>
      </c>
      <c r="B18" s="7"/>
      <c r="C18" s="6"/>
      <c r="D18" s="6" t="s">
        <v>501</v>
      </c>
      <c r="E18" s="6" t="s">
        <v>502</v>
      </c>
      <c r="F18" s="6">
        <v>1</v>
      </c>
      <c r="G18" s="6" t="s">
        <v>488</v>
      </c>
      <c r="H18" s="6">
        <v>2</v>
      </c>
      <c r="J18" t="s">
        <v>493</v>
      </c>
      <c r="K18" t="s">
        <v>516</v>
      </c>
      <c r="O18">
        <v>1</v>
      </c>
      <c r="P18" t="s">
        <v>509</v>
      </c>
    </row>
    <row r="19" spans="1:16" x14ac:dyDescent="0.25">
      <c r="A19" s="6" t="s">
        <v>503</v>
      </c>
      <c r="B19" s="7"/>
      <c r="C19" s="6"/>
      <c r="D19" s="6"/>
      <c r="E19" s="6"/>
      <c r="F19" s="6">
        <v>1</v>
      </c>
      <c r="G19" s="6" t="s">
        <v>488</v>
      </c>
      <c r="H19" s="6">
        <v>4</v>
      </c>
      <c r="J19" t="s">
        <v>487</v>
      </c>
      <c r="K19" t="s">
        <v>146</v>
      </c>
      <c r="O19">
        <v>1</v>
      </c>
      <c r="P19" t="s">
        <v>518</v>
      </c>
    </row>
    <row r="20" spans="1:16" x14ac:dyDescent="0.25">
      <c r="A20" s="6" t="s">
        <v>504</v>
      </c>
      <c r="B20" s="7"/>
      <c r="C20" s="6"/>
      <c r="D20" s="6"/>
      <c r="E20" s="6"/>
      <c r="F20" s="6">
        <v>1</v>
      </c>
      <c r="G20" s="6" t="s">
        <v>488</v>
      </c>
      <c r="H20" s="6">
        <v>5</v>
      </c>
      <c r="J20" t="s">
        <v>395</v>
      </c>
      <c r="K20" t="s">
        <v>395</v>
      </c>
      <c r="L20" t="s">
        <v>576</v>
      </c>
      <c r="O20">
        <v>3</v>
      </c>
      <c r="P20" t="s">
        <v>93</v>
      </c>
    </row>
    <row r="21" spans="1:16" x14ac:dyDescent="0.25">
      <c r="A21" s="6" t="s">
        <v>505</v>
      </c>
      <c r="B21" s="7"/>
      <c r="C21" s="6"/>
      <c r="D21" s="6"/>
      <c r="E21" s="6"/>
      <c r="F21" s="6">
        <v>4</v>
      </c>
      <c r="G21" s="6" t="s">
        <v>488</v>
      </c>
      <c r="H21" s="6">
        <v>5</v>
      </c>
      <c r="J21" t="s">
        <v>395</v>
      </c>
      <c r="K21" t="s">
        <v>395</v>
      </c>
      <c r="L21" t="s">
        <v>524</v>
      </c>
      <c r="O21">
        <v>2</v>
      </c>
      <c r="P21" t="s">
        <v>93</v>
      </c>
    </row>
    <row r="22" spans="1:16" x14ac:dyDescent="0.25">
      <c r="A22" s="6" t="s">
        <v>506</v>
      </c>
      <c r="B22" s="7"/>
      <c r="C22" s="6"/>
      <c r="D22" s="6"/>
      <c r="E22" s="6"/>
      <c r="F22" s="6">
        <v>12</v>
      </c>
      <c r="G22" s="6" t="s">
        <v>488</v>
      </c>
      <c r="H22" s="6">
        <v>6</v>
      </c>
      <c r="J22" t="s">
        <v>395</v>
      </c>
      <c r="K22" t="s">
        <v>525</v>
      </c>
      <c r="L22" t="s">
        <v>526</v>
      </c>
      <c r="O22">
        <v>1</v>
      </c>
      <c r="P22" t="s">
        <v>93</v>
      </c>
    </row>
    <row r="23" spans="1:16" x14ac:dyDescent="0.25">
      <c r="A23" s="6" t="s">
        <v>400</v>
      </c>
      <c r="B23" s="7"/>
      <c r="C23" s="6"/>
      <c r="D23" s="6"/>
      <c r="E23" s="6"/>
      <c r="F23" s="6">
        <v>1</v>
      </c>
      <c r="G23" s="6" t="s">
        <v>488</v>
      </c>
      <c r="H23" s="6">
        <v>7</v>
      </c>
      <c r="J23" t="s">
        <v>395</v>
      </c>
      <c r="K23" t="s">
        <v>527</v>
      </c>
      <c r="L23" t="s">
        <v>396</v>
      </c>
      <c r="O23">
        <v>1</v>
      </c>
      <c r="P23" t="s">
        <v>93</v>
      </c>
    </row>
    <row r="24" spans="1:16" x14ac:dyDescent="0.25">
      <c r="A24" s="6" t="s">
        <v>92</v>
      </c>
      <c r="B24" s="7" t="s">
        <v>508</v>
      </c>
      <c r="C24" s="6"/>
      <c r="D24" s="6"/>
      <c r="E24" s="6"/>
      <c r="F24" s="6">
        <v>1</v>
      </c>
      <c r="G24" s="6" t="s">
        <v>488</v>
      </c>
      <c r="H24" s="6">
        <v>7</v>
      </c>
      <c r="J24" t="s">
        <v>395</v>
      </c>
      <c r="K24" t="s">
        <v>528</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row>
    <row r="26" spans="1:16" x14ac:dyDescent="0.25">
      <c r="A26" s="6" t="s">
        <v>88</v>
      </c>
      <c r="B26" s="7" t="s">
        <v>517</v>
      </c>
      <c r="C26" s="6"/>
      <c r="D26" s="6"/>
      <c r="E26" s="6"/>
      <c r="F26" s="6">
        <v>2</v>
      </c>
      <c r="G26" s="6" t="s">
        <v>8</v>
      </c>
      <c r="H26" s="6">
        <v>1</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519</v>
      </c>
      <c r="B30" s="7" t="s">
        <v>520</v>
      </c>
      <c r="C30" s="6"/>
      <c r="D30" s="6"/>
      <c r="E30" s="6"/>
      <c r="F30" s="6">
        <v>1</v>
      </c>
      <c r="G30" s="6" t="s">
        <v>5</v>
      </c>
      <c r="H30" s="6">
        <v>1</v>
      </c>
    </row>
    <row r="31" spans="1:16" x14ac:dyDescent="0.25">
      <c r="A31" s="6" t="s">
        <v>519</v>
      </c>
      <c r="B31" s="7" t="s">
        <v>521</v>
      </c>
      <c r="C31" s="6"/>
      <c r="D31" s="6"/>
      <c r="E31" s="6"/>
      <c r="F31" s="6">
        <v>1</v>
      </c>
      <c r="G31" s="6" t="s">
        <v>5</v>
      </c>
      <c r="H31" s="6">
        <v>1</v>
      </c>
    </row>
    <row r="32" spans="1:16" x14ac:dyDescent="0.25">
      <c r="A32" s="6" t="s">
        <v>519</v>
      </c>
      <c r="B32" s="7" t="s">
        <v>522</v>
      </c>
      <c r="C32" s="6"/>
      <c r="D32" s="6"/>
      <c r="E32" s="6"/>
      <c r="F32" s="6">
        <v>5</v>
      </c>
      <c r="G32" s="6" t="s">
        <v>5</v>
      </c>
      <c r="H32" s="6">
        <v>1</v>
      </c>
    </row>
    <row r="33" spans="1:8" x14ac:dyDescent="0.25">
      <c r="A33" s="6" t="s">
        <v>519</v>
      </c>
      <c r="B33" s="7" t="s">
        <v>523</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33 G35: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J10:J1048576 A1:A21 A23:A33 A35:A99"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Configuracion!$A$2:$A$73</xm:f>
          </x14:formula1>
          <xm:sqref>J1:J3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9"/>
  <sheetViews>
    <sheetView workbookViewId="0">
      <selection activeCell="T8" sqref="T8"/>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row>
    <row r="2" spans="1:22" x14ac:dyDescent="0.25">
      <c r="A2" t="s">
        <v>100</v>
      </c>
      <c r="F2" t="s">
        <v>119</v>
      </c>
      <c r="G2" t="s">
        <v>225</v>
      </c>
      <c r="H2" t="s">
        <v>37</v>
      </c>
      <c r="I2" t="s">
        <v>256</v>
      </c>
      <c r="J2" t="s">
        <v>66</v>
      </c>
      <c r="K2" t="s">
        <v>70</v>
      </c>
      <c r="L2" t="s">
        <v>225</v>
      </c>
      <c r="M2" t="s">
        <v>597</v>
      </c>
      <c r="N2" t="s">
        <v>52</v>
      </c>
      <c r="P2" t="s">
        <v>107</v>
      </c>
      <c r="Q2" t="s">
        <v>127</v>
      </c>
      <c r="R2" t="s">
        <v>236</v>
      </c>
      <c r="S2" t="s">
        <v>237</v>
      </c>
      <c r="T2" t="s">
        <v>526</v>
      </c>
      <c r="U2" t="s">
        <v>461</v>
      </c>
      <c r="V2" t="s">
        <v>644</v>
      </c>
    </row>
    <row r="3" spans="1:22" x14ac:dyDescent="0.25">
      <c r="A3" t="s">
        <v>664</v>
      </c>
      <c r="F3" s="3" t="s">
        <v>50</v>
      </c>
      <c r="G3" t="s">
        <v>72</v>
      </c>
      <c r="H3" t="s">
        <v>38</v>
      </c>
      <c r="J3" t="s">
        <v>65</v>
      </c>
      <c r="K3" t="s">
        <v>69</v>
      </c>
      <c r="P3" t="s">
        <v>108</v>
      </c>
      <c r="Q3" t="s">
        <v>128</v>
      </c>
      <c r="S3" t="s">
        <v>538</v>
      </c>
      <c r="T3" t="s">
        <v>635</v>
      </c>
      <c r="U3" t="s">
        <v>108</v>
      </c>
      <c r="V3" t="s">
        <v>645</v>
      </c>
    </row>
    <row r="4" spans="1:22" x14ac:dyDescent="0.25">
      <c r="A4" t="s">
        <v>320</v>
      </c>
      <c r="F4" t="s">
        <v>79</v>
      </c>
      <c r="G4" t="s">
        <v>288</v>
      </c>
      <c r="H4" t="s">
        <v>103</v>
      </c>
      <c r="K4" t="s">
        <v>67</v>
      </c>
      <c r="P4" t="s">
        <v>106</v>
      </c>
      <c r="Q4" t="s">
        <v>129</v>
      </c>
      <c r="T4" t="s">
        <v>636</v>
      </c>
      <c r="V4" t="s">
        <v>692</v>
      </c>
    </row>
    <row r="5" spans="1:22" x14ac:dyDescent="0.25">
      <c r="A5" t="s">
        <v>680</v>
      </c>
      <c r="F5" t="s">
        <v>30</v>
      </c>
      <c r="G5" t="s">
        <v>33</v>
      </c>
      <c r="K5" t="s">
        <v>45</v>
      </c>
      <c r="P5" t="s">
        <v>467</v>
      </c>
      <c r="Q5" t="s">
        <v>130</v>
      </c>
      <c r="T5" t="s">
        <v>637</v>
      </c>
    </row>
    <row r="6" spans="1:22" x14ac:dyDescent="0.25">
      <c r="A6" t="s">
        <v>43</v>
      </c>
      <c r="F6" t="s">
        <v>77</v>
      </c>
      <c r="G6" t="s">
        <v>52</v>
      </c>
      <c r="K6" t="s">
        <v>64</v>
      </c>
      <c r="Q6" t="s">
        <v>125</v>
      </c>
      <c r="T6" t="s">
        <v>576</v>
      </c>
    </row>
    <row r="7" spans="1:22" x14ac:dyDescent="0.25">
      <c r="A7" t="s">
        <v>307</v>
      </c>
      <c r="F7" t="s">
        <v>58</v>
      </c>
      <c r="I7" t="s">
        <v>41</v>
      </c>
      <c r="K7" t="s">
        <v>301</v>
      </c>
      <c r="Q7" t="s">
        <v>126</v>
      </c>
      <c r="T7" t="s">
        <v>694</v>
      </c>
    </row>
    <row r="8" spans="1:22" x14ac:dyDescent="0.25">
      <c r="A8" t="s">
        <v>671</v>
      </c>
      <c r="F8" t="s">
        <v>121</v>
      </c>
    </row>
    <row r="9" spans="1:22" x14ac:dyDescent="0.25">
      <c r="A9" t="s">
        <v>139</v>
      </c>
      <c r="F9" t="s">
        <v>31</v>
      </c>
      <c r="L9" t="s">
        <v>55</v>
      </c>
      <c r="M9" t="s">
        <v>63</v>
      </c>
      <c r="N9" t="s">
        <v>33</v>
      </c>
      <c r="O9" t="s">
        <v>52</v>
      </c>
    </row>
    <row r="10" spans="1:22" x14ac:dyDescent="0.25">
      <c r="A10" t="s">
        <v>109</v>
      </c>
      <c r="F10" t="s">
        <v>123</v>
      </c>
    </row>
    <row r="11" spans="1:22" x14ac:dyDescent="0.25">
      <c r="A11" t="s">
        <v>468</v>
      </c>
      <c r="F11" t="s">
        <v>290</v>
      </c>
    </row>
    <row r="12" spans="1:22" x14ac:dyDescent="0.25">
      <c r="A12" t="s">
        <v>468</v>
      </c>
    </row>
    <row r="13" spans="1:22" x14ac:dyDescent="0.25">
      <c r="A13" t="s">
        <v>466</v>
      </c>
    </row>
    <row r="14" spans="1:22" x14ac:dyDescent="0.25">
      <c r="A14" t="s">
        <v>116</v>
      </c>
    </row>
    <row r="15" spans="1:22" x14ac:dyDescent="0.25">
      <c r="A15" s="1" t="s">
        <v>92</v>
      </c>
    </row>
    <row r="16" spans="1:22" x14ac:dyDescent="0.25">
      <c r="A16" t="s">
        <v>215</v>
      </c>
    </row>
    <row r="17" spans="1:1" x14ac:dyDescent="0.25">
      <c r="A17" t="s">
        <v>480</v>
      </c>
    </row>
    <row r="18" spans="1:1" x14ac:dyDescent="0.25">
      <c r="A18" t="s">
        <v>672</v>
      </c>
    </row>
    <row r="19" spans="1:1" x14ac:dyDescent="0.25">
      <c r="A19" t="s">
        <v>374</v>
      </c>
    </row>
    <row r="20" spans="1:1" x14ac:dyDescent="0.25">
      <c r="A20" t="s">
        <v>143</v>
      </c>
    </row>
    <row r="21" spans="1:1" x14ac:dyDescent="0.25">
      <c r="A21" t="s">
        <v>400</v>
      </c>
    </row>
    <row r="22" spans="1:1" x14ac:dyDescent="0.25">
      <c r="A22" t="s">
        <v>89</v>
      </c>
    </row>
    <row r="23" spans="1:1" x14ac:dyDescent="0.25">
      <c r="A23" t="s">
        <v>253</v>
      </c>
    </row>
    <row r="24" spans="1:1" x14ac:dyDescent="0.25">
      <c r="A24" t="s">
        <v>46</v>
      </c>
    </row>
    <row r="25" spans="1:1" x14ac:dyDescent="0.25">
      <c r="A25" t="s">
        <v>362</v>
      </c>
    </row>
    <row r="26" spans="1:1" x14ac:dyDescent="0.25">
      <c r="A26" t="s">
        <v>427</v>
      </c>
    </row>
    <row r="27" spans="1:1" x14ac:dyDescent="0.25">
      <c r="A27" t="s">
        <v>395</v>
      </c>
    </row>
    <row r="28" spans="1:1" x14ac:dyDescent="0.25">
      <c r="A28" t="s">
        <v>173</v>
      </c>
    </row>
    <row r="29" spans="1:1" x14ac:dyDescent="0.25">
      <c r="A29" t="s">
        <v>53</v>
      </c>
    </row>
    <row r="30" spans="1:1" x14ac:dyDescent="0.25">
      <c r="A30" t="s">
        <v>503</v>
      </c>
    </row>
    <row r="31" spans="1:1" x14ac:dyDescent="0.25">
      <c r="A31" t="s">
        <v>83</v>
      </c>
    </row>
    <row r="32" spans="1:1" x14ac:dyDescent="0.25">
      <c r="A32" t="s">
        <v>242</v>
      </c>
    </row>
    <row r="33" spans="1:1" x14ac:dyDescent="0.25">
      <c r="A33" t="s">
        <v>191</v>
      </c>
    </row>
    <row r="34" spans="1:1" x14ac:dyDescent="0.25">
      <c r="A34" t="s">
        <v>495</v>
      </c>
    </row>
    <row r="35" spans="1:1" x14ac:dyDescent="0.25">
      <c r="A35" t="s">
        <v>174</v>
      </c>
    </row>
    <row r="36" spans="1:1" x14ac:dyDescent="0.25">
      <c r="A36" t="s">
        <v>418</v>
      </c>
    </row>
    <row r="37" spans="1:1" x14ac:dyDescent="0.25">
      <c r="A37" t="s">
        <v>687</v>
      </c>
    </row>
    <row r="38" spans="1:1" x14ac:dyDescent="0.25">
      <c r="A38" t="s">
        <v>188</v>
      </c>
    </row>
    <row r="39" spans="1:1" x14ac:dyDescent="0.25">
      <c r="A39" t="s">
        <v>80</v>
      </c>
    </row>
    <row r="40" spans="1:1" x14ac:dyDescent="0.25">
      <c r="A40" t="s">
        <v>697</v>
      </c>
    </row>
    <row r="41" spans="1:1" x14ac:dyDescent="0.25">
      <c r="A41" t="s">
        <v>35</v>
      </c>
    </row>
    <row r="42" spans="1:1" x14ac:dyDescent="0.25">
      <c r="A42" t="s">
        <v>623</v>
      </c>
    </row>
    <row r="43" spans="1:1" x14ac:dyDescent="0.25">
      <c r="A43" t="s">
        <v>346</v>
      </c>
    </row>
    <row r="44" spans="1:1" x14ac:dyDescent="0.25">
      <c r="A44" t="s">
        <v>378</v>
      </c>
    </row>
    <row r="45" spans="1:1" x14ac:dyDescent="0.25">
      <c r="A45" t="s">
        <v>494</v>
      </c>
    </row>
    <row r="46" spans="1:1" x14ac:dyDescent="0.25">
      <c r="A46" t="s">
        <v>365</v>
      </c>
    </row>
    <row r="47" spans="1:1" x14ac:dyDescent="0.25">
      <c r="A47" t="s">
        <v>160</v>
      </c>
    </row>
    <row r="48" spans="1:1" x14ac:dyDescent="0.25">
      <c r="A48" t="s">
        <v>511</v>
      </c>
    </row>
    <row r="49" spans="1:1" x14ac:dyDescent="0.25">
      <c r="A49" t="s">
        <v>61</v>
      </c>
    </row>
    <row r="50" spans="1:1" x14ac:dyDescent="0.25">
      <c r="A50" t="s">
        <v>135</v>
      </c>
    </row>
    <row r="51" spans="1:1" x14ac:dyDescent="0.25">
      <c r="A51" t="s">
        <v>226</v>
      </c>
    </row>
    <row r="52" spans="1:1" x14ac:dyDescent="0.25">
      <c r="A52" t="s">
        <v>496</v>
      </c>
    </row>
    <row r="53" spans="1:1" x14ac:dyDescent="0.25">
      <c r="A53" t="s">
        <v>105</v>
      </c>
    </row>
    <row r="54" spans="1:1" x14ac:dyDescent="0.25">
      <c r="A54" t="s">
        <v>472</v>
      </c>
    </row>
    <row r="55" spans="1:1" x14ac:dyDescent="0.25">
      <c r="A55" t="s">
        <v>210</v>
      </c>
    </row>
    <row r="56" spans="1:1" x14ac:dyDescent="0.25">
      <c r="A56" t="s">
        <v>97</v>
      </c>
    </row>
    <row r="57" spans="1:1" x14ac:dyDescent="0.25">
      <c r="A57" t="s">
        <v>154</v>
      </c>
    </row>
    <row r="58" spans="1:1" x14ac:dyDescent="0.25">
      <c r="A58" t="s">
        <v>156</v>
      </c>
    </row>
    <row r="59" spans="1:1" x14ac:dyDescent="0.25">
      <c r="A59" t="s">
        <v>12</v>
      </c>
    </row>
    <row r="60" spans="1:1" x14ac:dyDescent="0.25">
      <c r="A60" t="s">
        <v>506</v>
      </c>
    </row>
    <row r="61" spans="1:1" x14ac:dyDescent="0.25">
      <c r="A61" t="s">
        <v>32</v>
      </c>
    </row>
    <row r="62" spans="1:1" x14ac:dyDescent="0.25">
      <c r="A62" t="s">
        <v>59</v>
      </c>
    </row>
    <row r="63" spans="1:1" x14ac:dyDescent="0.25">
      <c r="A63" t="s">
        <v>483</v>
      </c>
    </row>
    <row r="64" spans="1:1" x14ac:dyDescent="0.25">
      <c r="A64" t="s">
        <v>473</v>
      </c>
    </row>
    <row r="65" spans="1:1" x14ac:dyDescent="0.25">
      <c r="A65" t="s">
        <v>211</v>
      </c>
    </row>
    <row r="66" spans="1:1" x14ac:dyDescent="0.25">
      <c r="A66" t="s">
        <v>111</v>
      </c>
    </row>
    <row r="67" spans="1:1" x14ac:dyDescent="0.25">
      <c r="A67" t="s">
        <v>241</v>
      </c>
    </row>
    <row r="68" spans="1:1" x14ac:dyDescent="0.25">
      <c r="A68" t="s">
        <v>40</v>
      </c>
    </row>
    <row r="69" spans="1:1" x14ac:dyDescent="0.25">
      <c r="A69" t="s">
        <v>195</v>
      </c>
    </row>
    <row r="70" spans="1:1" x14ac:dyDescent="0.25">
      <c r="A70" t="s">
        <v>513</v>
      </c>
    </row>
    <row r="71" spans="1:1" x14ac:dyDescent="0.25">
      <c r="A71" t="s">
        <v>492</v>
      </c>
    </row>
    <row r="72" spans="1:1" x14ac:dyDescent="0.25">
      <c r="A72" t="s">
        <v>470</v>
      </c>
    </row>
    <row r="73" spans="1:1" x14ac:dyDescent="0.25">
      <c r="A73" t="s">
        <v>146</v>
      </c>
    </row>
    <row r="74" spans="1:1" x14ac:dyDescent="0.25">
      <c r="A74" t="s">
        <v>314</v>
      </c>
    </row>
    <row r="75" spans="1:1" x14ac:dyDescent="0.25">
      <c r="A75" t="s">
        <v>140</v>
      </c>
    </row>
    <row r="76" spans="1:1" x14ac:dyDescent="0.25">
      <c r="A76" t="s">
        <v>151</v>
      </c>
    </row>
    <row r="77" spans="1:1" x14ac:dyDescent="0.25">
      <c r="A77" t="s">
        <v>144</v>
      </c>
    </row>
    <row r="78" spans="1:1" x14ac:dyDescent="0.25">
      <c r="A78" t="s">
        <v>611</v>
      </c>
    </row>
    <row r="79" spans="1:1" x14ac:dyDescent="0.25">
      <c r="A79" t="s">
        <v>679</v>
      </c>
    </row>
    <row r="80" spans="1:1" x14ac:dyDescent="0.25">
      <c r="A80" t="s">
        <v>380</v>
      </c>
    </row>
    <row r="81" spans="1:1" x14ac:dyDescent="0.25">
      <c r="A81" t="s">
        <v>258</v>
      </c>
    </row>
    <row r="82" spans="1:1" x14ac:dyDescent="0.25">
      <c r="A82" t="s">
        <v>86</v>
      </c>
    </row>
    <row r="83" spans="1:1" x14ac:dyDescent="0.25">
      <c r="A83" t="s">
        <v>131</v>
      </c>
    </row>
    <row r="84" spans="1:1" x14ac:dyDescent="0.25">
      <c r="A84" t="s">
        <v>243</v>
      </c>
    </row>
    <row r="85" spans="1:1" x14ac:dyDescent="0.25">
      <c r="A85" t="s">
        <v>244</v>
      </c>
    </row>
    <row r="86" spans="1:1" x14ac:dyDescent="0.25">
      <c r="A86" t="s">
        <v>500</v>
      </c>
    </row>
    <row r="87" spans="1:1" x14ac:dyDescent="0.25">
      <c r="A87" t="s">
        <v>482</v>
      </c>
    </row>
    <row r="88" spans="1:1" x14ac:dyDescent="0.25">
      <c r="A88" t="s">
        <v>391</v>
      </c>
    </row>
    <row r="89" spans="1:1" x14ac:dyDescent="0.25">
      <c r="A89" t="s">
        <v>386</v>
      </c>
    </row>
    <row r="90" spans="1:1" x14ac:dyDescent="0.25">
      <c r="A90" t="s">
        <v>217</v>
      </c>
    </row>
    <row r="91" spans="1:1" x14ac:dyDescent="0.25">
      <c r="A91" t="s">
        <v>95</v>
      </c>
    </row>
    <row r="92" spans="1:1" x14ac:dyDescent="0.25">
      <c r="A92" t="s">
        <v>44</v>
      </c>
    </row>
    <row r="93" spans="1:1" x14ac:dyDescent="0.25">
      <c r="A93" t="s">
        <v>554</v>
      </c>
    </row>
    <row r="94" spans="1:1" x14ac:dyDescent="0.25">
      <c r="A94" t="s">
        <v>193</v>
      </c>
    </row>
    <row r="95" spans="1:1" x14ac:dyDescent="0.25">
      <c r="A95" t="s">
        <v>681</v>
      </c>
    </row>
    <row r="96" spans="1:1" x14ac:dyDescent="0.25">
      <c r="A96" t="s">
        <v>475</v>
      </c>
    </row>
    <row r="97" spans="1:1" x14ac:dyDescent="0.25">
      <c r="A97" t="s">
        <v>504</v>
      </c>
    </row>
    <row r="98" spans="1:1" x14ac:dyDescent="0.25">
      <c r="A98" t="s">
        <v>505</v>
      </c>
    </row>
    <row r="99" spans="1:1" x14ac:dyDescent="0.25">
      <c r="A99" t="s">
        <v>469</v>
      </c>
    </row>
    <row r="100" spans="1:1" x14ac:dyDescent="0.25">
      <c r="A100" t="s">
        <v>88</v>
      </c>
    </row>
    <row r="101" spans="1:1" x14ac:dyDescent="0.25">
      <c r="A101" t="s">
        <v>471</v>
      </c>
    </row>
    <row r="102" spans="1:1" x14ac:dyDescent="0.25">
      <c r="A102" t="s">
        <v>87</v>
      </c>
    </row>
    <row r="103" spans="1:1" x14ac:dyDescent="0.25">
      <c r="A103" t="s">
        <v>394</v>
      </c>
    </row>
    <row r="104" spans="1:1" x14ac:dyDescent="0.25">
      <c r="A104" t="s">
        <v>493</v>
      </c>
    </row>
    <row r="105" spans="1:1" x14ac:dyDescent="0.25">
      <c r="A105" t="s">
        <v>147</v>
      </c>
    </row>
    <row r="106" spans="1:1" x14ac:dyDescent="0.25">
      <c r="A106" t="s">
        <v>90</v>
      </c>
    </row>
    <row r="107" spans="1:1" x14ac:dyDescent="0.25">
      <c r="A107" t="s">
        <v>11</v>
      </c>
    </row>
    <row r="108" spans="1:1" x14ac:dyDescent="0.25">
      <c r="A108" t="s">
        <v>54</v>
      </c>
    </row>
    <row r="109" spans="1:1" x14ac:dyDescent="0.25">
      <c r="A109" t="s">
        <v>175</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J1" workbookViewId="0">
      <selection activeCell="P4" sqref="P4"/>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693</v>
      </c>
      <c r="C2" s="6" t="s">
        <v>38</v>
      </c>
      <c r="D2" s="6"/>
      <c r="E2" s="6"/>
      <c r="F2" s="6">
        <v>1</v>
      </c>
      <c r="G2" s="13" t="s">
        <v>694</v>
      </c>
      <c r="H2" s="13" t="s">
        <v>474</v>
      </c>
    </row>
    <row r="3" spans="1:27" x14ac:dyDescent="0.25">
      <c r="A3" s="6" t="s">
        <v>154</v>
      </c>
      <c r="B3" s="7" t="s">
        <v>155</v>
      </c>
      <c r="C3" s="6"/>
      <c r="D3" s="6"/>
      <c r="E3" s="6"/>
      <c r="F3" s="6">
        <v>1</v>
      </c>
      <c r="G3" s="13" t="s">
        <v>694</v>
      </c>
      <c r="H3" s="13" t="s">
        <v>474</v>
      </c>
      <c r="J3" t="s">
        <v>0</v>
      </c>
      <c r="K3" t="s">
        <v>1</v>
      </c>
      <c r="L3" t="s">
        <v>2</v>
      </c>
      <c r="M3" s="4" t="s">
        <v>3</v>
      </c>
      <c r="N3" s="4" t="s">
        <v>4</v>
      </c>
      <c r="O3" s="4" t="s">
        <v>240</v>
      </c>
      <c r="P3" t="s">
        <v>14</v>
      </c>
      <c r="T3" t="s">
        <v>28</v>
      </c>
      <c r="V3" s="14" t="s">
        <v>230</v>
      </c>
      <c r="W3" s="14"/>
      <c r="X3" s="14"/>
      <c r="Y3" s="14"/>
      <c r="Z3" s="14"/>
      <c r="AA3" s="14"/>
    </row>
    <row r="4" spans="1:27" x14ac:dyDescent="0.25">
      <c r="A4" s="6" t="s">
        <v>253</v>
      </c>
      <c r="B4" s="7"/>
      <c r="C4" s="6"/>
      <c r="D4" s="6"/>
      <c r="E4" s="6"/>
      <c r="F4" s="6">
        <v>3</v>
      </c>
      <c r="G4" s="13"/>
      <c r="H4" s="13"/>
      <c r="V4" t="s">
        <v>694</v>
      </c>
      <c r="W4" t="s">
        <v>235</v>
      </c>
      <c r="X4" t="s">
        <v>8</v>
      </c>
      <c r="Y4" t="s">
        <v>5</v>
      </c>
    </row>
    <row r="5" spans="1:27" x14ac:dyDescent="0.25">
      <c r="A5" s="6" t="s">
        <v>210</v>
      </c>
      <c r="B5" s="7">
        <v>2012</v>
      </c>
      <c r="C5" s="6"/>
      <c r="D5" s="6"/>
      <c r="E5" s="6"/>
      <c r="F5" s="6">
        <v>1</v>
      </c>
      <c r="G5" s="13"/>
      <c r="H5" s="13"/>
      <c r="V5" t="s">
        <v>694</v>
      </c>
    </row>
    <row r="6" spans="1:27" x14ac:dyDescent="0.25">
      <c r="A6" s="6" t="s">
        <v>212</v>
      </c>
      <c r="B6" s="7"/>
      <c r="C6" s="6" t="s">
        <v>461</v>
      </c>
      <c r="D6" s="6" t="s">
        <v>695</v>
      </c>
      <c r="E6" s="6"/>
      <c r="F6" s="6">
        <v>1</v>
      </c>
      <c r="G6" s="13"/>
      <c r="H6" s="13"/>
    </row>
    <row r="7" spans="1:27" x14ac:dyDescent="0.25">
      <c r="A7" s="6" t="s">
        <v>591</v>
      </c>
      <c r="B7" s="7"/>
      <c r="C7" s="6"/>
      <c r="D7" s="6" t="s">
        <v>696</v>
      </c>
      <c r="E7" s="6"/>
      <c r="F7" s="6">
        <v>1</v>
      </c>
      <c r="G7" s="13"/>
      <c r="H7" s="13"/>
    </row>
    <row r="8" spans="1:27" x14ac:dyDescent="0.25">
      <c r="A8" s="6" t="s">
        <v>697</v>
      </c>
      <c r="B8" s="7"/>
      <c r="C8" s="6"/>
      <c r="D8" s="6" t="s">
        <v>698</v>
      </c>
      <c r="E8" s="6" t="s">
        <v>699</v>
      </c>
      <c r="F8" s="6">
        <v>1</v>
      </c>
      <c r="G8" s="13"/>
      <c r="H8" s="13"/>
    </row>
    <row r="9" spans="1:27" x14ac:dyDescent="0.25">
      <c r="A9" s="6" t="s">
        <v>88</v>
      </c>
      <c r="B9" s="7" t="s">
        <v>522</v>
      </c>
      <c r="C9" s="6"/>
      <c r="D9" s="6"/>
      <c r="E9" s="6"/>
      <c r="F9" s="6">
        <v>3</v>
      </c>
      <c r="G9" s="13"/>
      <c r="H9" s="13"/>
    </row>
    <row r="10" spans="1:27" x14ac:dyDescent="0.25">
      <c r="A10" s="6" t="s">
        <v>139</v>
      </c>
      <c r="B10" s="7"/>
      <c r="C10" s="6"/>
      <c r="D10" s="6"/>
      <c r="E10" s="6"/>
      <c r="F10" s="6">
        <v>3</v>
      </c>
      <c r="G10" s="13"/>
      <c r="H10" s="13"/>
    </row>
    <row r="11" spans="1:27" x14ac:dyDescent="0.25">
      <c r="A11" s="6" t="s">
        <v>156</v>
      </c>
      <c r="B11" s="7" t="s">
        <v>700</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701</v>
      </c>
      <c r="C13" s="6"/>
      <c r="D13" s="6"/>
      <c r="E13" s="6"/>
      <c r="F13" s="6">
        <v>1</v>
      </c>
      <c r="G13" s="13"/>
      <c r="H13" s="13"/>
    </row>
    <row r="14" spans="1:27" x14ac:dyDescent="0.25">
      <c r="A14" s="6" t="s">
        <v>156</v>
      </c>
      <c r="B14" s="7" t="s">
        <v>702</v>
      </c>
      <c r="C14" s="6"/>
      <c r="D14" s="6"/>
      <c r="E14" s="6"/>
      <c r="F14" s="6">
        <v>1</v>
      </c>
      <c r="G14" s="13"/>
      <c r="H14" s="13"/>
    </row>
    <row r="15" spans="1:27" x14ac:dyDescent="0.25">
      <c r="A15" s="6" t="s">
        <v>156</v>
      </c>
      <c r="B15" s="7" t="s">
        <v>703</v>
      </c>
      <c r="C15" s="6"/>
      <c r="D15" s="6"/>
      <c r="E15" s="6"/>
      <c r="F15" s="6">
        <v>1</v>
      </c>
      <c r="G15" s="13"/>
      <c r="H15" s="13"/>
    </row>
    <row r="16" spans="1:27" x14ac:dyDescent="0.25">
      <c r="A16" s="6" t="s">
        <v>156</v>
      </c>
      <c r="B16" s="7" t="s">
        <v>704</v>
      </c>
      <c r="C16" s="6"/>
      <c r="D16" s="6"/>
      <c r="E16" s="6"/>
      <c r="F16" s="6">
        <v>1</v>
      </c>
      <c r="G16" s="13"/>
      <c r="H16" s="13"/>
    </row>
    <row r="17" spans="1:8" x14ac:dyDescent="0.25">
      <c r="A17" s="6" t="s">
        <v>156</v>
      </c>
      <c r="B17" s="7" t="s">
        <v>705</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706</v>
      </c>
      <c r="B23" s="12" t="s">
        <v>712</v>
      </c>
      <c r="C23" s="13"/>
      <c r="D23" s="13"/>
      <c r="E23" s="13"/>
      <c r="F23" s="13">
        <v>4</v>
      </c>
      <c r="G23" s="13"/>
      <c r="H23" s="13"/>
    </row>
    <row r="24" spans="1:8" x14ac:dyDescent="0.25">
      <c r="A24" s="6" t="s">
        <v>707</v>
      </c>
      <c r="B24" s="7"/>
      <c r="C24" s="6"/>
      <c r="D24" s="6"/>
      <c r="E24" s="6"/>
      <c r="F24" s="6">
        <v>1</v>
      </c>
      <c r="G24" s="13"/>
      <c r="H24" s="13"/>
    </row>
    <row r="25" spans="1:8" x14ac:dyDescent="0.25">
      <c r="A25" s="6" t="s">
        <v>395</v>
      </c>
      <c r="B25" s="7"/>
      <c r="C25" s="6" t="s">
        <v>694</v>
      </c>
      <c r="D25" s="6"/>
      <c r="E25" s="6"/>
      <c r="F25" s="6">
        <v>6</v>
      </c>
      <c r="G25" s="13"/>
      <c r="H25" s="13"/>
    </row>
    <row r="26" spans="1:8" x14ac:dyDescent="0.25">
      <c r="A26" s="6" t="s">
        <v>506</v>
      </c>
      <c r="B26" s="7"/>
      <c r="C26" s="6"/>
      <c r="D26" s="6"/>
      <c r="E26" s="6"/>
      <c r="F26" s="6">
        <v>2</v>
      </c>
      <c r="G26" s="13"/>
      <c r="H26" s="13"/>
    </row>
    <row r="27" spans="1:8" ht="30" x14ac:dyDescent="0.25">
      <c r="A27" s="13" t="s">
        <v>90</v>
      </c>
      <c r="B27" s="12" t="s">
        <v>711</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708</v>
      </c>
      <c r="C29" s="13" t="s">
        <v>119</v>
      </c>
      <c r="D29" s="13"/>
      <c r="E29" s="13"/>
      <c r="F29" s="13">
        <v>3</v>
      </c>
      <c r="G29" s="13"/>
      <c r="H29" s="13"/>
    </row>
    <row r="30" spans="1:8" x14ac:dyDescent="0.25">
      <c r="A30" s="6" t="s">
        <v>156</v>
      </c>
      <c r="B30" s="7" t="s">
        <v>655</v>
      </c>
      <c r="C30" s="6"/>
      <c r="D30" s="6"/>
      <c r="E30" s="6"/>
      <c r="F30" s="6">
        <v>1</v>
      </c>
      <c r="G30" s="13"/>
      <c r="H30" s="13"/>
    </row>
    <row r="31" spans="1:8" x14ac:dyDescent="0.25">
      <c r="A31" s="6" t="s">
        <v>32</v>
      </c>
      <c r="B31" s="7" t="s">
        <v>709</v>
      </c>
      <c r="C31" s="6" t="s">
        <v>225</v>
      </c>
      <c r="D31" s="6"/>
      <c r="E31" s="6"/>
      <c r="F31" s="6">
        <v>1</v>
      </c>
      <c r="G31" s="13"/>
      <c r="H31" s="13"/>
    </row>
    <row r="32" spans="1:8" x14ac:dyDescent="0.25">
      <c r="A32" s="13" t="s">
        <v>131</v>
      </c>
      <c r="B32" s="12"/>
      <c r="C32" s="13"/>
      <c r="D32" s="13" t="s">
        <v>710</v>
      </c>
      <c r="E32" s="13" t="s">
        <v>710</v>
      </c>
      <c r="F32" s="13">
        <v>1</v>
      </c>
      <c r="G32" s="13"/>
      <c r="H32" s="13"/>
    </row>
    <row r="33" spans="1:8" x14ac:dyDescent="0.25">
      <c r="A33" s="6" t="s">
        <v>258</v>
      </c>
      <c r="B33" s="7" t="s">
        <v>713</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0097D8F5-142E-42BD-A94A-C345A28C4CDA}">
          <x14:formula1>
            <xm:f>Configuracion!$A$2:$A$73</xm:f>
          </x14:formula1>
          <xm:sqref>J1:J3</xm:sqref>
        </x14:dataValidation>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81C5BCD2-640B-4A79-84FC-D3F9033DA3AE}">
          <x14:formula1>
            <xm:f>Configuracion!$I$2:$I$7</xm:f>
          </x14:formula1>
          <xm:sqref>C136</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1AE07A2E-6804-469F-8CC2-779143C49BD4}">
          <x14:formula1>
            <xm:f>Configuracion!$A:$A</xm:f>
          </x14:formula1>
          <xm:sqref>A28</xm:sqref>
        </x14:dataValidation>
        <x14:dataValidation type="list" allowBlank="1" showInputMessage="1" showErrorMessage="1" xr:uid="{C67FD9C4-CAC3-44CA-B2EB-807556A1405B}">
          <x14:formula1>
            <xm:f>Configuracion!$F$2:$F$11</xm:f>
          </x14:formula1>
          <xm:sqref>C29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abSelected="1" workbookViewId="0">
      <selection activeCell="E13" sqref="E1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694</v>
      </c>
      <c r="H2" s="13" t="s">
        <v>694</v>
      </c>
    </row>
    <row r="3" spans="1:27" x14ac:dyDescent="0.25">
      <c r="A3" s="6" t="s">
        <v>714</v>
      </c>
      <c r="B3" s="7"/>
      <c r="C3" s="6"/>
      <c r="D3" s="13" t="s">
        <v>710</v>
      </c>
      <c r="E3" s="13" t="s">
        <v>710</v>
      </c>
      <c r="F3" s="6">
        <v>1</v>
      </c>
      <c r="G3" s="13" t="s">
        <v>694</v>
      </c>
      <c r="H3" s="13" t="s">
        <v>694</v>
      </c>
      <c r="J3" t="s">
        <v>0</v>
      </c>
      <c r="K3" t="s">
        <v>1</v>
      </c>
      <c r="L3" t="s">
        <v>2</v>
      </c>
      <c r="M3" s="4" t="s">
        <v>3</v>
      </c>
      <c r="N3" s="4" t="s">
        <v>4</v>
      </c>
      <c r="O3" s="4" t="s">
        <v>240</v>
      </c>
      <c r="P3" t="s">
        <v>14</v>
      </c>
      <c r="T3" t="s">
        <v>28</v>
      </c>
      <c r="V3" s="14" t="s">
        <v>230</v>
      </c>
      <c r="W3" s="14"/>
      <c r="X3" s="14"/>
      <c r="Y3" s="14"/>
      <c r="Z3" s="14"/>
      <c r="AA3" s="14"/>
    </row>
    <row r="4" spans="1:27" x14ac:dyDescent="0.25">
      <c r="A4" s="6" t="s">
        <v>258</v>
      </c>
      <c r="B4" s="7" t="s">
        <v>715</v>
      </c>
      <c r="C4" s="6"/>
      <c r="D4" s="6"/>
      <c r="E4" s="6"/>
      <c r="F4" s="6">
        <v>1</v>
      </c>
      <c r="G4" s="13" t="s">
        <v>694</v>
      </c>
      <c r="H4" s="13" t="s">
        <v>694</v>
      </c>
      <c r="J4" t="s">
        <v>468</v>
      </c>
      <c r="K4" t="s">
        <v>479</v>
      </c>
      <c r="O4">
        <v>1</v>
      </c>
      <c r="P4" t="s">
        <v>477</v>
      </c>
      <c r="V4" t="s">
        <v>694</v>
      </c>
      <c r="W4" t="s">
        <v>235</v>
      </c>
      <c r="X4" t="s">
        <v>8</v>
      </c>
      <c r="Y4" t="s">
        <v>5</v>
      </c>
    </row>
    <row r="5" spans="1:27" x14ac:dyDescent="0.25">
      <c r="A5" s="6" t="s">
        <v>139</v>
      </c>
      <c r="B5" s="7"/>
      <c r="C5" s="6"/>
      <c r="D5" s="6"/>
      <c r="E5" s="6"/>
      <c r="F5" s="6">
        <v>1</v>
      </c>
      <c r="G5" s="13" t="s">
        <v>694</v>
      </c>
      <c r="H5" s="13" t="s">
        <v>694</v>
      </c>
      <c r="V5" t="s">
        <v>694</v>
      </c>
    </row>
    <row r="6" spans="1:27" x14ac:dyDescent="0.25">
      <c r="A6" s="6" t="s">
        <v>53</v>
      </c>
      <c r="B6" s="7"/>
      <c r="C6" s="6"/>
      <c r="D6" s="6"/>
      <c r="E6" s="6"/>
      <c r="F6" s="6">
        <v>4</v>
      </c>
      <c r="G6" s="13" t="s">
        <v>694</v>
      </c>
      <c r="H6" s="13" t="s">
        <v>694</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5"/>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DC09AEAB-FD0B-40D5-9BFE-337484D19C5A}">
          <x14:formula1>
            <xm:f>Configuracion!$A:$A</xm:f>
          </x14:formula1>
          <xm:sqref>A28</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E4F9FBA5-8137-4638-A891-74988D167A84}">
          <x14:formula1>
            <xm:f>Configuracion!$I$2:$I$7</xm:f>
          </x14:formula1>
          <xm:sqref>C136</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Configuracion!$A$2:$A$73</xm:f>
          </x14:formula1>
          <xm:sqref>J1:J3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48</vt:i4>
      </vt:variant>
    </vt:vector>
  </HeadingPairs>
  <TitlesOfParts>
    <vt:vector size="59" baseType="lpstr">
      <vt:lpstr>Movil 51</vt:lpstr>
      <vt:lpstr>Movil 56</vt:lpstr>
      <vt:lpstr>Movil 41</vt:lpstr>
      <vt:lpstr>Movil 39</vt:lpstr>
      <vt:lpstr>Movil 40</vt:lpstr>
      <vt:lpstr>Movil 52</vt:lpstr>
      <vt:lpstr>Movil 42</vt:lpstr>
      <vt:lpstr>Inventario general</vt:lpstr>
      <vt:lpstr>Configuracion</vt:lpstr>
      <vt:lpstr>Movil 54</vt:lpstr>
      <vt:lpstr>Movil 46</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2019-03-18T23:10:42Z</dcterms:modified>
</cp:coreProperties>
</file>