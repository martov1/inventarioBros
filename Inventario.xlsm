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filterPrivacy="1" codeName="ThisWorkbook"/>
  <xr:revisionPtr revIDLastSave="0" documentId="13_ncr:1_{A8875FDE-6736-4DBC-BE62-627026D04C5D}" xr6:coauthVersionLast="40" xr6:coauthVersionMax="40" xr10:uidLastSave="{00000000-0000-0000-0000-000000000000}"/>
  <bookViews>
    <workbookView xWindow="-120" yWindow="-120" windowWidth="20730" windowHeight="11160" firstSheet="1" activeTab="1" xr2:uid="{00000000-000D-0000-FFFF-FFFF00000000}"/>
  </bookViews>
  <sheets>
    <sheet name="Movil 51" sheetId="1" r:id="rId1"/>
    <sheet name="Movil 56" sheetId="8" r:id="rId2"/>
    <sheet name="Movil 41" sheetId="4" r:id="rId3"/>
    <sheet name="Movil 39" sheetId="5" r:id="rId4"/>
    <sheet name="Movil 52" sheetId="6" r:id="rId5"/>
    <sheet name="Movil 42" sheetId="7" r:id="rId6"/>
    <sheet name="Inventario general" sheetId="2" r:id="rId7"/>
    <sheet name="Configuracion" sheetId="3" r:id="rId8"/>
  </sheets>
  <functionGroups builtInGroupCount="19"/>
  <definedNames>
    <definedName name="Bolsos" localSheetId="3">Table2[Bolsos]</definedName>
    <definedName name="Bolsos" localSheetId="5">Table222[Bolsos]</definedName>
    <definedName name="Bolsos">Table2[Bolsos]</definedName>
    <definedName name="BolsosM41" localSheetId="3">Table21014[[#All],[Bolsos]]</definedName>
    <definedName name="BolsosM41" localSheetId="5">Table210[[#All],[Bolsos]]</definedName>
    <definedName name="BolsosM41">Table210[[#All],[Bolsos]]</definedName>
    <definedName name="BolsosM52" localSheetId="5">Table21014[[#All],[Bolsos]]</definedName>
    <definedName name="BolsosM52">Table21014[[#All],[Bolsos]]</definedName>
    <definedName name="ca" localSheetId="3">#REF!</definedName>
    <definedName name="ca" localSheetId="5">#REF!</definedName>
    <definedName name="ca">#REF!</definedName>
    <definedName name="Cajoneras" localSheetId="3">Table5[#Headers]</definedName>
    <definedName name="Cajoneras" localSheetId="5">Table523[#Headers]</definedName>
    <definedName name="Cajoneras">Table5[#Headers]</definedName>
    <definedName name="CajonerasM39" localSheetId="3">Table51115[#Headers]</definedName>
    <definedName name="CajonerasM39" localSheetId="5">Table51115[#Headers]</definedName>
    <definedName name="CajonerasM39">Table51115[#Headers]</definedName>
    <definedName name="CajonerasM41" localSheetId="5">Table511[#Headers]</definedName>
    <definedName name="CajonerasM41">Table511[#Headers]</definedName>
    <definedName name="CajonerasM52" localSheetId="5">Table5111519[#Headers]</definedName>
    <definedName name="CajonerasM52">Table5111519[#Headers]</definedName>
    <definedName name="categorias" localSheetId="3">Table4[[#All],[Categorias disponibles]]</definedName>
    <definedName name="categorias" localSheetId="5">Table4[[#All],[Categorias disponibles]]</definedName>
    <definedName name="categorias">Table4[[#All],[Categorias disponibles]]</definedName>
    <definedName name="categoriasDeMedidas" localSheetId="5">Table3[#Headers]</definedName>
    <definedName name="categoriasDeMedidas">Table3[#Headers]</definedName>
    <definedName name="Compartimientos" localSheetId="3">Table5[]</definedName>
    <definedName name="Compartimientos" localSheetId="5">Table523[]</definedName>
    <definedName name="Compartimientos">Table5[]</definedName>
    <definedName name="CompartimientosM39" localSheetId="5">Table51115[]</definedName>
    <definedName name="CompartimientosM39">Table51115[]</definedName>
    <definedName name="CompartimientosM41" localSheetId="3">Table51115[]</definedName>
    <definedName name="CompartimientosM41" localSheetId="5">Table511[]</definedName>
    <definedName name="CompartimientosM41">Table511[]</definedName>
    <definedName name="CompartimientosM52" localSheetId="5">Table5111519[]</definedName>
    <definedName name="CompartimientosM52">Table5111519[]</definedName>
    <definedName name="Medidas" localSheetId="3">Table3[#All]</definedName>
    <definedName name="Medidas" localSheetId="5">Table3[#All]</definedName>
    <definedName name="Medidas">Table3[#All]</definedName>
    <definedName name="medidasDeCategorias" localSheetId="5">Table3[#Headers]</definedName>
    <definedName name="medidasDeCategorias">Table3[#Headers]</definedName>
    <definedName name="_xlnm.Print_Area" localSheetId="5">Table120[#All]</definedName>
    <definedName name="_xlnm.Print_Area" localSheetId="0">Table1[#All]</definedName>
    <definedName name="_xlnm.Print_Titles" localSheetId="5">'Movil 42'!$1:$1</definedName>
    <definedName name="_xlnm.Print_Titles" localSheetId="0">'Movil 51'!$1:$1</definedName>
    <definedName name="validacion" localSheetId="3">Table3[#All]</definedName>
    <definedName name="validacion" localSheetId="5">Table3[#All]</definedName>
    <definedName name="validacion">Table3[#All]</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119" i="1" l="1"/>
  <c r="B90" i="4"/>
  <c r="B87" i="4"/>
  <c r="B40" i="4"/>
  <c r="B67" i="4"/>
  <c r="B12" i="4"/>
  <c r="B61" i="4"/>
  <c r="B63" i="4"/>
  <c r="B89" i="4"/>
  <c r="B85" i="4"/>
  <c r="B35" i="4"/>
  <c r="B64" i="4"/>
  <c r="B10" i="4"/>
  <c r="B37" i="4"/>
  <c r="B69" i="1"/>
  <c r="B30" i="7"/>
  <c r="B6" i="7"/>
  <c r="B26" i="7"/>
  <c r="B88" i="4"/>
  <c r="B54" i="4"/>
  <c r="B65" i="4"/>
  <c r="B60" i="4"/>
  <c r="B38" i="4"/>
  <c r="B66" i="4"/>
  <c r="B105" i="1"/>
  <c r="B27" i="1"/>
  <c r="B86" i="4"/>
  <c r="B11" i="4"/>
  <c r="B39" i="4"/>
  <c r="B59" i="4"/>
  <c r="B34" i="4"/>
  <c r="B62" i="4"/>
  <c r="B29" i="7"/>
  <c r="B4" i="7"/>
  <c r="B5" i="7"/>
  <c r="B77" i="8"/>
  <c r="B32" i="8"/>
  <c r="B76" i="8"/>
  <c r="B78" i="8"/>
  <c r="B31" i="8"/>
  <c r="B30" i="8"/>
</calcChain>
</file>

<file path=xl/sharedStrings.xml><?xml version="1.0" encoding="utf-8"?>
<sst xmlns="http://schemas.openxmlformats.org/spreadsheetml/2006/main" count="2172" uniqueCount="675">
  <si>
    <t>Categoria</t>
  </si>
  <si>
    <t>Descripcion</t>
  </si>
  <si>
    <t>Medidas</t>
  </si>
  <si>
    <t>marca</t>
  </si>
  <si>
    <t>N/ de serie</t>
  </si>
  <si>
    <t>Cajonera 2</t>
  </si>
  <si>
    <t>Cajonera 3</t>
  </si>
  <si>
    <t>Interior</t>
  </si>
  <si>
    <t>Cajonera 1</t>
  </si>
  <si>
    <t>Cajonera 4</t>
  </si>
  <si>
    <t>Cajonera 5</t>
  </si>
  <si>
    <t>Tramos</t>
  </si>
  <si>
    <t>Herramientas electricas</t>
  </si>
  <si>
    <t>Cajonera</t>
  </si>
  <si>
    <t>Bolso</t>
  </si>
  <si>
    <t>Caja de herramientas 1</t>
  </si>
  <si>
    <t>Material</t>
  </si>
  <si>
    <t>Pico de loro</t>
  </si>
  <si>
    <t>Cantidad</t>
  </si>
  <si>
    <t>Martillo</t>
  </si>
  <si>
    <t>Alicate</t>
  </si>
  <si>
    <t>Tijera para chapa</t>
  </si>
  <si>
    <t>llave fija 17mm</t>
  </si>
  <si>
    <t>pinza</t>
  </si>
  <si>
    <t>pinza de punta</t>
  </si>
  <si>
    <t>llave stilson</t>
  </si>
  <si>
    <t>Llave union</t>
  </si>
  <si>
    <t>no aplica</t>
  </si>
  <si>
    <t>Bolsos</t>
  </si>
  <si>
    <t>Bolso de corte</t>
  </si>
  <si>
    <t>45S-45-45S</t>
  </si>
  <si>
    <t>63S-71-63S</t>
  </si>
  <si>
    <t>Lanzas</t>
  </si>
  <si>
    <t>45S</t>
  </si>
  <si>
    <t>Categorias disponibles</t>
  </si>
  <si>
    <t>Escaleras</t>
  </si>
  <si>
    <t>Techo</t>
  </si>
  <si>
    <t>10m</t>
  </si>
  <si>
    <t>6m</t>
  </si>
  <si>
    <t>Escalera extensible</t>
  </si>
  <si>
    <t>Manguerote</t>
  </si>
  <si>
    <t>114S-114-114S</t>
  </si>
  <si>
    <t>manguerote semirigido 6M largo</t>
  </si>
  <si>
    <t>Adaptador</t>
  </si>
  <si>
    <t>Reductor</t>
  </si>
  <si>
    <t>63S-38S</t>
  </si>
  <si>
    <t>Cilindros</t>
  </si>
  <si>
    <t>Scott</t>
  </si>
  <si>
    <t>MSA</t>
  </si>
  <si>
    <t>Caucho Rojo</t>
  </si>
  <si>
    <t>36S-51-63S</t>
  </si>
  <si>
    <t>c/ regulador de cuadal, c/ corte rapido, POK</t>
  </si>
  <si>
    <t>63S</t>
  </si>
  <si>
    <t>Conos</t>
  </si>
  <si>
    <t>Trineo</t>
  </si>
  <si>
    <t>45S-45S</t>
  </si>
  <si>
    <t>kugel-bypp</t>
  </si>
  <si>
    <t>tela</t>
  </si>
  <si>
    <t>63S-38-63S</t>
  </si>
  <si>
    <t>Lanzas especiales</t>
  </si>
  <si>
    <t>lanza de espuma de baja expansion</t>
  </si>
  <si>
    <t>Filtros</t>
  </si>
  <si>
    <t>Filtro para succion</t>
  </si>
  <si>
    <t>63W</t>
  </si>
  <si>
    <t>25S-19D</t>
  </si>
  <si>
    <t>45W-45S</t>
  </si>
  <si>
    <t>63W-63S</t>
  </si>
  <si>
    <t>63S-45S</t>
  </si>
  <si>
    <t>Macho</t>
  </si>
  <si>
    <t>45S-38S</t>
  </si>
  <si>
    <t>45S-25S</t>
  </si>
  <si>
    <t>POK, c/corte rapido, c/reg. De caudal</t>
  </si>
  <si>
    <t>38S</t>
  </si>
  <si>
    <t>lanzas</t>
  </si>
  <si>
    <t>POK, c/corte rapido, s/reg. De caudal</t>
  </si>
  <si>
    <t>Sintetico, amarillo, estiba</t>
  </si>
  <si>
    <t>Sintetico, marron, estiba</t>
  </si>
  <si>
    <t>63S-38-38S</t>
  </si>
  <si>
    <t>SG3012</t>
  </si>
  <si>
    <t>38S-38-38S</t>
  </si>
  <si>
    <t>Equipo de rescate</t>
  </si>
  <si>
    <t>Core</t>
  </si>
  <si>
    <t>briggs</t>
  </si>
  <si>
    <t>corta-pedal</t>
  </si>
  <si>
    <t>Bomba manual para herramientas hidraulicas. No CORE</t>
  </si>
  <si>
    <t>CORE</t>
  </si>
  <si>
    <t>Monitor</t>
  </si>
  <si>
    <t>Taco escalonado</t>
  </si>
  <si>
    <t>Tabla espinal</t>
  </si>
  <si>
    <t>Chaleco salvavidas</t>
  </si>
  <si>
    <t>Traje de aproximacion</t>
  </si>
  <si>
    <t>nivel A</t>
  </si>
  <si>
    <t>Caja o bolso</t>
  </si>
  <si>
    <t>Bolso de collares</t>
  </si>
  <si>
    <t>dual</t>
  </si>
  <si>
    <t>Ram hidraulico</t>
  </si>
  <si>
    <t>holmatro</t>
  </si>
  <si>
    <t>Herr Multiproposito hidraul.</t>
  </si>
  <si>
    <t>2 tiempos</t>
  </si>
  <si>
    <t>still</t>
  </si>
  <si>
    <t>Accesorio EQ. Rescate</t>
  </si>
  <si>
    <t>esquinero para RAM</t>
  </si>
  <si>
    <t>cadenas</t>
  </si>
  <si>
    <t>3m</t>
  </si>
  <si>
    <t>1m</t>
  </si>
  <si>
    <t>Grilletes</t>
  </si>
  <si>
    <t>pequeño</t>
  </si>
  <si>
    <t>mediano</t>
  </si>
  <si>
    <t>grande</t>
  </si>
  <si>
    <t>bidon</t>
  </si>
  <si>
    <t>Para mezcla 2T</t>
  </si>
  <si>
    <t>Lona</t>
  </si>
  <si>
    <t>lona para parque de materiales</t>
  </si>
  <si>
    <t>Accesorio de traccion</t>
  </si>
  <si>
    <t>para Nafta, 5L, con pico vertedor</t>
  </si>
  <si>
    <t>Tabla corta con straps</t>
  </si>
  <si>
    <t>Cable de acero</t>
  </si>
  <si>
    <t>12m</t>
  </si>
  <si>
    <t>amarillo, caucho</t>
  </si>
  <si>
    <t>25S-25-25S</t>
  </si>
  <si>
    <t>Rojo, caucho</t>
  </si>
  <si>
    <t>63S-45-63S</t>
  </si>
  <si>
    <t>Amarillo, caucho</t>
  </si>
  <si>
    <t>63S-63-63S</t>
  </si>
  <si>
    <t>espuma</t>
  </si>
  <si>
    <t>20L</t>
  </si>
  <si>
    <t>25L</t>
  </si>
  <si>
    <t>1L</t>
  </si>
  <si>
    <t>5L</t>
  </si>
  <si>
    <t>10L</t>
  </si>
  <si>
    <t>15L</t>
  </si>
  <si>
    <t>Moto-bomba</t>
  </si>
  <si>
    <t>moto-bomba</t>
  </si>
  <si>
    <t>expulsion willworth macho</t>
  </si>
  <si>
    <t>OHV</t>
  </si>
  <si>
    <t>Forzador de aire</t>
  </si>
  <si>
    <t>modelo GX200</t>
  </si>
  <si>
    <t>Honda</t>
  </si>
  <si>
    <t>M340-0103-0006</t>
  </si>
  <si>
    <t>Bichero</t>
  </si>
  <si>
    <t>Material dielectrico</t>
  </si>
  <si>
    <t>Alfombra dielectrica</t>
  </si>
  <si>
    <t>90cm x 90cm</t>
  </si>
  <si>
    <t>Chaleco de extircacion</t>
  </si>
  <si>
    <t>Material ferroviario</t>
  </si>
  <si>
    <t>Barra de corte electrico para tercer riel</t>
  </si>
  <si>
    <t>Mascara RCP</t>
  </si>
  <si>
    <t>Tijera de trauma</t>
  </si>
  <si>
    <t>Taco 30cm*6cm*4cm</t>
  </si>
  <si>
    <t>Taco cuña 45cm*13cm*47cm</t>
  </si>
  <si>
    <t>Tacos varios</t>
  </si>
  <si>
    <t>Material electrico</t>
  </si>
  <si>
    <t>Alargue en rollo</t>
  </si>
  <si>
    <t>44Mts</t>
  </si>
  <si>
    <t>Herramienta de brecheo</t>
  </si>
  <si>
    <t>Ariete</t>
  </si>
  <si>
    <t>Herramienta manual</t>
  </si>
  <si>
    <t>Cortaperno</t>
  </si>
  <si>
    <t>Grande</t>
  </si>
  <si>
    <t>Pala ancha</t>
  </si>
  <si>
    <t>Extintor</t>
  </si>
  <si>
    <t>Polvo Quimico Seco</t>
  </si>
  <si>
    <t>20kg</t>
  </si>
  <si>
    <t>ASBA</t>
  </si>
  <si>
    <t>Espuma</t>
  </si>
  <si>
    <t xml:space="preserve">Barreta </t>
  </si>
  <si>
    <t>Chica</t>
  </si>
  <si>
    <t>mediana</t>
  </si>
  <si>
    <t>hacha</t>
  </si>
  <si>
    <t>Pala corazon</t>
  </si>
  <si>
    <t>Pala punta</t>
  </si>
  <si>
    <t>Pico</t>
  </si>
  <si>
    <t>Sierra de mano</t>
  </si>
  <si>
    <t>Columna hidrica</t>
  </si>
  <si>
    <t>Divergente</t>
  </si>
  <si>
    <t>Trivergente</t>
  </si>
  <si>
    <t>Sierra para parabrisas manual</t>
  </si>
  <si>
    <t>Corta fierro</t>
  </si>
  <si>
    <t>Masa 10kg</t>
  </si>
  <si>
    <t>Amoladora 220V</t>
  </si>
  <si>
    <t>Sierra sable 220V</t>
  </si>
  <si>
    <t>bosch</t>
  </si>
  <si>
    <t>makita</t>
  </si>
  <si>
    <t>GSA1100E-3-601F4c-8H0</t>
  </si>
  <si>
    <t>180mm</t>
  </si>
  <si>
    <t>KG1820</t>
  </si>
  <si>
    <t xml:space="preserve"> black &amp; decker</t>
  </si>
  <si>
    <t>115mm</t>
  </si>
  <si>
    <t>EPR</t>
  </si>
  <si>
    <t>Atalajes</t>
  </si>
  <si>
    <t>cilindros</t>
  </si>
  <si>
    <t>Cuerda de izado</t>
  </si>
  <si>
    <t>cuerda de izado</t>
  </si>
  <si>
    <t>Sensor de campo electrico</t>
  </si>
  <si>
    <t>Lapiz de deteccion de campo electromagnetico</t>
  </si>
  <si>
    <t>Manta ignifuga</t>
  </si>
  <si>
    <t>Guantes dielectricos</t>
  </si>
  <si>
    <t>Martillo de goma</t>
  </si>
  <si>
    <t>Pinza de punta dielectrica</t>
  </si>
  <si>
    <t>Cuña de madera para gas</t>
  </si>
  <si>
    <t>Pinza dielectrica</t>
  </si>
  <si>
    <t>Alicate dielectrico</t>
  </si>
  <si>
    <t>Destornillador</t>
  </si>
  <si>
    <t>Llave cruz para ascensor</t>
  </si>
  <si>
    <t>Cutter</t>
  </si>
  <si>
    <t>juego de llaves alem</t>
  </si>
  <si>
    <t>Extractor de fusibles NH</t>
  </si>
  <si>
    <t>saca bujia</t>
  </si>
  <si>
    <t>Llave fija 9/16</t>
  </si>
  <si>
    <t>Corta cinturon</t>
  </si>
  <si>
    <t>Guia ciquime</t>
  </si>
  <si>
    <t>linterna</t>
  </si>
  <si>
    <t>Linterna</t>
  </si>
  <si>
    <t>Fire vulcan</t>
  </si>
  <si>
    <t>Algebra</t>
  </si>
  <si>
    <t>Camara termica</t>
  </si>
  <si>
    <t>Dragger</t>
  </si>
  <si>
    <t>Radio handy</t>
  </si>
  <si>
    <t>Octopus x2, zumro x1, Holmatro x1</t>
  </si>
  <si>
    <t>Gancho de carnicero</t>
  </si>
  <si>
    <t>Pantalla protectora</t>
  </si>
  <si>
    <t>herramienta manual</t>
  </si>
  <si>
    <t>Masa de goma grande</t>
  </si>
  <si>
    <t>Tela, en estiba</t>
  </si>
  <si>
    <t>amarillo, caucho, en estiba</t>
  </si>
  <si>
    <t>25S</t>
  </si>
  <si>
    <t>Gato hidraulico</t>
  </si>
  <si>
    <t>Llave fija 22mm</t>
  </si>
  <si>
    <t>llave fija de 27mm y 24mm</t>
  </si>
  <si>
    <t>escobillon con palo</t>
  </si>
  <si>
    <t>Cajoneras y compartimientos</t>
  </si>
  <si>
    <t>cabina</t>
  </si>
  <si>
    <t>Compartimiento</t>
  </si>
  <si>
    <t>Asiento 1</t>
  </si>
  <si>
    <t>Asiento 2</t>
  </si>
  <si>
    <t>Cabina</t>
  </si>
  <si>
    <t>63S a 63S y 63S</t>
  </si>
  <si>
    <t>63S a 63S 63S 63S</t>
  </si>
  <si>
    <t>Conos viales</t>
  </si>
  <si>
    <t>Llave de ruedas</t>
  </si>
  <si>
    <t>cant</t>
  </si>
  <si>
    <t>Manguera hidraulica</t>
  </si>
  <si>
    <t>Cubre air-bag</t>
  </si>
  <si>
    <t>Moto-disco</t>
  </si>
  <si>
    <t>Moto-sierra</t>
  </si>
  <si>
    <t>core dual</t>
  </si>
  <si>
    <t>Sintetico marron, 50Mts, estiba</t>
  </si>
  <si>
    <t>Hembra</t>
  </si>
  <si>
    <t>Holligan</t>
  </si>
  <si>
    <t>Chico</t>
  </si>
  <si>
    <t>Lampara de prueba</t>
  </si>
  <si>
    <t>Pinza de madera para manipular cables</t>
  </si>
  <si>
    <t>Lanza de espuma de baja expansion con pescador</t>
  </si>
  <si>
    <t>Chicotas</t>
  </si>
  <si>
    <t>año 2016</t>
  </si>
  <si>
    <t>manguerote semirigido 6M largo amarillo</t>
  </si>
  <si>
    <t>63S-63S</t>
  </si>
  <si>
    <t>Cajonera 6</t>
  </si>
  <si>
    <t>Miscelaneo de movil</t>
  </si>
  <si>
    <t>Bases de apoyo para estabilizar el movil durante el uso de su grua</t>
  </si>
  <si>
    <t>Negro plastico</t>
  </si>
  <si>
    <t>Bolso de martillo demoledor</t>
  </si>
  <si>
    <t>Martillo demoledor 220v grande BOSCH D70745</t>
  </si>
  <si>
    <t>Mecha</t>
  </si>
  <si>
    <t>Bolso de rotomartillo</t>
  </si>
  <si>
    <t>Rotomartillo 220v BOSCH GBH5470DCE</t>
  </si>
  <si>
    <t>Mecha sincel</t>
  </si>
  <si>
    <t xml:space="preserve">Sierra circular 220v </t>
  </si>
  <si>
    <t>Dewalt</t>
  </si>
  <si>
    <t>3601E480H0</t>
  </si>
  <si>
    <t>Bolso de amoladora</t>
  </si>
  <si>
    <t>Amoladora Dewalt electrica a bateria s/n 580426</t>
  </si>
  <si>
    <t>Bateria DeWalt</t>
  </si>
  <si>
    <t>Cargador de bateria DeWalt DW911-6AR</t>
  </si>
  <si>
    <t>Herramienta para cambio de disco de amoladora</t>
  </si>
  <si>
    <t>Bolso de sierra sable</t>
  </si>
  <si>
    <t xml:space="preserve">Sierra sable Dewalt s/n 959421 </t>
  </si>
  <si>
    <t>Madera</t>
  </si>
  <si>
    <t>Bolso de carpintero 1</t>
  </si>
  <si>
    <t>Pinza</t>
  </si>
  <si>
    <t>Bolso de carpintero 2</t>
  </si>
  <si>
    <t>Caja de eslingas 1</t>
  </si>
  <si>
    <t>Eslinga 3tn año 01/2011</t>
  </si>
  <si>
    <t>Eslinga 3tn año 01/2012</t>
  </si>
  <si>
    <t>Eslinga 6tn año 11/2010</t>
  </si>
  <si>
    <t>Eslinga 6tn Sin año</t>
  </si>
  <si>
    <t>Caja de eslingas 2</t>
  </si>
  <si>
    <t>Eslinga fina</t>
  </si>
  <si>
    <t>Eslinga will 1tn año 02/2013</t>
  </si>
  <si>
    <t>Eslinga grande 6TN año 02/2015</t>
  </si>
  <si>
    <t>Grillete chico</t>
  </si>
  <si>
    <t>Grillete mediano</t>
  </si>
  <si>
    <t>Grillete grande</t>
  </si>
  <si>
    <t>Grillete muy grande</t>
  </si>
  <si>
    <t>38NH</t>
  </si>
  <si>
    <t>0285-98</t>
  </si>
  <si>
    <t>38NH-38-38NH</t>
  </si>
  <si>
    <t>63W y 63S</t>
  </si>
  <si>
    <t>Parte Trasera</t>
  </si>
  <si>
    <t xml:space="preserve">Extensible </t>
  </si>
  <si>
    <t>6M</t>
  </si>
  <si>
    <t>4 metros</t>
  </si>
  <si>
    <t>elkhart</t>
  </si>
  <si>
    <t>Caucho, amarillo</t>
  </si>
  <si>
    <t>AWG</t>
  </si>
  <si>
    <t>Tipo AWG</t>
  </si>
  <si>
    <t>año 2012</t>
  </si>
  <si>
    <t>63W-38W</t>
  </si>
  <si>
    <t>63 macho, 38 hembra</t>
  </si>
  <si>
    <t>Cajonera 7</t>
  </si>
  <si>
    <t>Cajonera 8</t>
  </si>
  <si>
    <t>Plataformas de apoyo para piernas extensibles de estabilizacion del movil</t>
  </si>
  <si>
    <t>Lino, blando</t>
  </si>
  <si>
    <t>Arnes</t>
  </si>
  <si>
    <t>Arnes para altura y chaleco de alta visibilidad</t>
  </si>
  <si>
    <t>Honor-safety</t>
  </si>
  <si>
    <t>Arnes de altura</t>
  </si>
  <si>
    <t>petzer</t>
  </si>
  <si>
    <t xml:space="preserve">Arnes de altura </t>
  </si>
  <si>
    <t>caran</t>
  </si>
  <si>
    <t>Material de altura</t>
  </si>
  <si>
    <t>Cabo de anclaje con absorvedor</t>
  </si>
  <si>
    <t>Lino blanco</t>
  </si>
  <si>
    <t>Atalajes y mascara</t>
  </si>
  <si>
    <t>POK, c/ regulador de caudal, c/ corte rapido</t>
  </si>
  <si>
    <t>Plastica</t>
  </si>
  <si>
    <t>Accesorio para monitor</t>
  </si>
  <si>
    <t>Accesorio de espuma para monitor fijo</t>
  </si>
  <si>
    <t>Task force tips inc.</t>
  </si>
  <si>
    <t>Eslingar</t>
  </si>
  <si>
    <t>polvo quimico seco</t>
  </si>
  <si>
    <t>Radios motorola modelo k76mrcej</t>
  </si>
  <si>
    <t>Comando de minicojines</t>
  </si>
  <si>
    <t>Reductor de presion para minicojines</t>
  </si>
  <si>
    <t>Mangueras de aire comprimido para minicojines</t>
  </si>
  <si>
    <t>Valvula de presion con manometro</t>
  </si>
  <si>
    <t>Cable con ficha "IEC 60309 16Amp 380V trifasica" a cables con pinzas</t>
  </si>
  <si>
    <t>Cable de puesta a tierra con pinza de un lado y terminal del otro</t>
  </si>
  <si>
    <t>14mts</t>
  </si>
  <si>
    <t>11mts</t>
  </si>
  <si>
    <t>Cable con fichas "IEC 60309 16Amp 380V trifasica", una punta macho y la otra hembra</t>
  </si>
  <si>
    <t>10mts</t>
  </si>
  <si>
    <t>Cable con ficha "IEC 60309 16Amp 220V Bifasica" a dos fichas argentinas "Type I"</t>
  </si>
  <si>
    <t>8Mts</t>
  </si>
  <si>
    <t>Cable con ficha "IEC 60309 16Amp 380V Trifasica" a terminales</t>
  </si>
  <si>
    <t>9Mts</t>
  </si>
  <si>
    <t>Adaptador con ficha "IEC 60309 16Amp 220V Bifasica" a ficha europea "Type F" compatible con ficha Argentina "Type C"</t>
  </si>
  <si>
    <t>0,5mts</t>
  </si>
  <si>
    <t>Adaptador con ficha "IEC 60309 16Amp 220V Bifasica" a ficha argentina "Type I"</t>
  </si>
  <si>
    <t>Alargue en rollo con 4 fichas "IEC 60309 16Amp 220V Bifasica"</t>
  </si>
  <si>
    <t>Cable para bateria con pinzas</t>
  </si>
  <si>
    <t>4Mts</t>
  </si>
  <si>
    <t>Estabilizador de vehiculo</t>
  </si>
  <si>
    <t xml:space="preserve">Estabilizador lateral </t>
  </si>
  <si>
    <t>Bolso de corta vidrios</t>
  </si>
  <si>
    <t>Corta vidrios holmatro</t>
  </si>
  <si>
    <t>Corta cinturones</t>
  </si>
  <si>
    <t>Divisor de carga para grua</t>
  </si>
  <si>
    <t>Bolso de comando de minicojines 1</t>
  </si>
  <si>
    <t>Bolso de comando de minicojines 2</t>
  </si>
  <si>
    <t>Holmatro</t>
  </si>
  <si>
    <t>Bolso con accesorios de holmatro no identificables</t>
  </si>
  <si>
    <t>wadra</t>
  </si>
  <si>
    <t>Caja de cubre parantes</t>
  </si>
  <si>
    <t>Cubre parantes chico</t>
  </si>
  <si>
    <t>Cubre parantes grande</t>
  </si>
  <si>
    <t>Extensores de RAM</t>
  </si>
  <si>
    <t>No se distingue</t>
  </si>
  <si>
    <t>Cisalla hidraulica</t>
  </si>
  <si>
    <t>Sistema dual</t>
  </si>
  <si>
    <t>Ram doble, Sistema dual</t>
  </si>
  <si>
    <t>Expansora hidraulica</t>
  </si>
  <si>
    <t>Electrico, Sistema dual, capacidad para dos herramientas</t>
  </si>
  <si>
    <t>Caja de seguridad en la escena</t>
  </si>
  <si>
    <t>lampara vial marca signalite</t>
  </si>
  <si>
    <t>Lampara vial marca tildawn</t>
  </si>
  <si>
    <t>Cajon de tacos 1</t>
  </si>
  <si>
    <t>Tacos varios de madera</t>
  </si>
  <si>
    <t>Cajon de tacos 2</t>
  </si>
  <si>
    <t>Cuña plastica</t>
  </si>
  <si>
    <t>Taco plastico fino</t>
  </si>
  <si>
    <t>Taco plastico ancho</t>
  </si>
  <si>
    <t>casco</t>
  </si>
  <si>
    <t>Casco</t>
  </si>
  <si>
    <t>Casco de obra</t>
  </si>
  <si>
    <t>Casco de obra con protector facial</t>
  </si>
  <si>
    <t>Estacas</t>
  </si>
  <si>
    <t>Estaca de 70cm</t>
  </si>
  <si>
    <t>Minicojin</t>
  </si>
  <si>
    <t>minicojin</t>
  </si>
  <si>
    <t>Mini cojin para obturacion de cisternas</t>
  </si>
  <si>
    <t>Traje de aproximacion clase "C"</t>
  </si>
  <si>
    <t>Traje de aproximacion clase "A"</t>
  </si>
  <si>
    <t>Clase C</t>
  </si>
  <si>
    <t>Protector plastico para extircacion</t>
  </si>
  <si>
    <t>Cajon de hazmat 1</t>
  </si>
  <si>
    <t>Cajon de hazmat 2</t>
  </si>
  <si>
    <t>Bolsa para cadaveres</t>
  </si>
  <si>
    <t>Cajon de hazmat 3</t>
  </si>
  <si>
    <t>20mts</t>
  </si>
  <si>
    <t>polea</t>
  </si>
  <si>
    <t>Polea</t>
  </si>
  <si>
    <t>64KN</t>
  </si>
  <si>
    <t>Tensador de cable de acero</t>
  </si>
  <si>
    <t>Collar cervical</t>
  </si>
  <si>
    <t>M</t>
  </si>
  <si>
    <t>G</t>
  </si>
  <si>
    <t>Botiquin pequeño</t>
  </si>
  <si>
    <t>Mascara para polvo con filtro</t>
  </si>
  <si>
    <t>Chaleco de segridad vial</t>
  </si>
  <si>
    <t>Cajonera inferior</t>
  </si>
  <si>
    <t>Para parque de materiales</t>
  </si>
  <si>
    <t>caja o bolso</t>
  </si>
  <si>
    <t>Cajon de tacos 3</t>
  </si>
  <si>
    <t>Tacos grandes cuadrados</t>
  </si>
  <si>
    <t>Cuñas grandes</t>
  </si>
  <si>
    <t>Cuñas chicas</t>
  </si>
  <si>
    <t>Tacos de madera cuadrados</t>
  </si>
  <si>
    <t>3 Toneladas</t>
  </si>
  <si>
    <t>Rema</t>
  </si>
  <si>
    <t>GM705087</t>
  </si>
  <si>
    <t>Peddinghaus</t>
  </si>
  <si>
    <t>7355/3</t>
  </si>
  <si>
    <t>Esquinero para RA</t>
  </si>
  <si>
    <t>Barreta grande</t>
  </si>
  <si>
    <t>Masa 10k</t>
  </si>
  <si>
    <t xml:space="preserve">Rojo </t>
  </si>
  <si>
    <t>Electrobomba</t>
  </si>
  <si>
    <t>HS020200105</t>
  </si>
  <si>
    <t>Enchufe tipo "C"</t>
  </si>
  <si>
    <t>Vetter</t>
  </si>
  <si>
    <t>2200kg, 6BAR</t>
  </si>
  <si>
    <t>23Ton, 10 BAR Modelo "NT-23"</t>
  </si>
  <si>
    <t>29Ton, 8BAR, modelo HKB</t>
  </si>
  <si>
    <t>58Ton, 10BAR, modelo 58-TN</t>
  </si>
  <si>
    <t xml:space="preserve">pqs </t>
  </si>
  <si>
    <t>Colchon de salvamento</t>
  </si>
  <si>
    <t xml:space="preserve">Electrosierra "fast sharp" </t>
  </si>
  <si>
    <t>remnington</t>
  </si>
  <si>
    <t>Cajon de cuerdas trenzadas</t>
  </si>
  <si>
    <t>Cuerda naranja de salvamento naval</t>
  </si>
  <si>
    <t>Cajon de poda</t>
  </si>
  <si>
    <t>Mameluco de seguridad para motosierras</t>
  </si>
  <si>
    <t>Casco de poda</t>
  </si>
  <si>
    <t>Cajon de botas wader</t>
  </si>
  <si>
    <t>Botas wader</t>
  </si>
  <si>
    <t>cajon de guantes</t>
  </si>
  <si>
    <t>Cajon de guantes</t>
  </si>
  <si>
    <t>Guantes varios</t>
  </si>
  <si>
    <t>Cajon de reservorios de agua</t>
  </si>
  <si>
    <t>Reservorios de auga</t>
  </si>
  <si>
    <t xml:space="preserve">Extractor NH </t>
  </si>
  <si>
    <t>Destornillador plano</t>
  </si>
  <si>
    <t>Destornillador phillips</t>
  </si>
  <si>
    <t>pinza de punta dielectrica</t>
  </si>
  <si>
    <t>Juego de llaves alem</t>
  </si>
  <si>
    <t>llave 19mm</t>
  </si>
  <si>
    <t>Llave 17mm</t>
  </si>
  <si>
    <t>llave 19 y 17mm</t>
  </si>
  <si>
    <t>llave 32mm</t>
  </si>
  <si>
    <t>llave 12mm</t>
  </si>
  <si>
    <t>llave 13mm</t>
  </si>
  <si>
    <t>llave 11 mm</t>
  </si>
  <si>
    <t>Serrucho</t>
  </si>
  <si>
    <t>Corta parabrisas</t>
  </si>
  <si>
    <t>Sierra</t>
  </si>
  <si>
    <t>sachs dollar 123</t>
  </si>
  <si>
    <t>Corta perno</t>
  </si>
  <si>
    <t>barreta</t>
  </si>
  <si>
    <t>Masa</t>
  </si>
  <si>
    <t>chica</t>
  </si>
  <si>
    <t>Masa de goma</t>
  </si>
  <si>
    <t>Clase "A"</t>
  </si>
  <si>
    <t>Gramplin</t>
  </si>
  <si>
    <t>Salvavida</t>
  </si>
  <si>
    <t>Balde de obra</t>
  </si>
  <si>
    <t>Boya</t>
  </si>
  <si>
    <t>Muy grande</t>
  </si>
  <si>
    <t>bolsa valvula mascara</t>
  </si>
  <si>
    <t>Succionador</t>
  </si>
  <si>
    <t>Mascara oxigenoterapia</t>
  </si>
  <si>
    <t>Taco</t>
  </si>
  <si>
    <t>Guantes p/cadaveres</t>
  </si>
  <si>
    <t>Lentes de proteccion ocular</t>
  </si>
  <si>
    <t>ninguno</t>
  </si>
  <si>
    <t>Silla de ruedas</t>
  </si>
  <si>
    <t>Plegable</t>
  </si>
  <si>
    <t>Bolso de RCP</t>
  </si>
  <si>
    <t>ambu</t>
  </si>
  <si>
    <t>Ambu</t>
  </si>
  <si>
    <t>Bolso via aerea</t>
  </si>
  <si>
    <t>BVM</t>
  </si>
  <si>
    <t>Canulas de mayo</t>
  </si>
  <si>
    <t>Kit de canulas de mayo</t>
  </si>
  <si>
    <t>Pinza de maguill</t>
  </si>
  <si>
    <t>Laringoscopio</t>
  </si>
  <si>
    <t>Kit de intubacion c/ larngoscopio</t>
  </si>
  <si>
    <t>Bolso trauma liviano</t>
  </si>
  <si>
    <t>Mascara oxigeno</t>
  </si>
  <si>
    <t>Mascara rcp</t>
  </si>
  <si>
    <t>Habitaculo</t>
  </si>
  <si>
    <t>Manual</t>
  </si>
  <si>
    <t>Con bolsa</t>
  </si>
  <si>
    <t>Sin bolsa</t>
  </si>
  <si>
    <t>Mascara de nebulizacion</t>
  </si>
  <si>
    <t>Tensiometro</t>
  </si>
  <si>
    <t>Estetoscopio</t>
  </si>
  <si>
    <t>Desechador de aguas</t>
  </si>
  <si>
    <t>glucometro</t>
  </si>
  <si>
    <t>Optium xceed</t>
  </si>
  <si>
    <t>xcf796-1066</t>
  </si>
  <si>
    <t>Pequeña de bolsillo</t>
  </si>
  <si>
    <t>oximetro</t>
  </si>
  <si>
    <t>contec</t>
  </si>
  <si>
    <t>j1128g3813</t>
  </si>
  <si>
    <t>corta anillos</t>
  </si>
  <si>
    <t>Spider</t>
  </si>
  <si>
    <t>Straps</t>
  </si>
  <si>
    <t>Inmobilizador p/ cabeza</t>
  </si>
  <si>
    <t>Bolso de triage</t>
  </si>
  <si>
    <t>Bolso de triage con tarjetas de colores</t>
  </si>
  <si>
    <t>Bolso trauma pesado</t>
  </si>
  <si>
    <t>kit canulas de mayo</t>
  </si>
  <si>
    <t>Ferula inflable</t>
  </si>
  <si>
    <t>Collar cervical regulable</t>
  </si>
  <si>
    <t>Ambu Pediatrico y adulto</t>
  </si>
  <si>
    <t>Ferulas inflables pierna, 1/2 pierna, brazo, 1/2 brazo, bota</t>
  </si>
  <si>
    <t>Manta termica</t>
  </si>
  <si>
    <t>Manta termica para victimas</t>
  </si>
  <si>
    <t>Dispositivo manual de succion</t>
  </si>
  <si>
    <t>Tensiometro pediatrico</t>
  </si>
  <si>
    <t>Media tabla pediatrica</t>
  </si>
  <si>
    <t>Bolso quemados</t>
  </si>
  <si>
    <t>tabla espinal</t>
  </si>
  <si>
    <t>1/2 tabla</t>
  </si>
  <si>
    <t>Con spider</t>
  </si>
  <si>
    <t>Con straps</t>
  </si>
  <si>
    <t>Sin straps</t>
  </si>
  <si>
    <t>Collar cervical P</t>
  </si>
  <si>
    <t>P</t>
  </si>
  <si>
    <t>Collar cervical ch</t>
  </si>
  <si>
    <t>ch</t>
  </si>
  <si>
    <t>Collar cervical M</t>
  </si>
  <si>
    <t>Collar cervical G</t>
  </si>
  <si>
    <t>1 con spider, 3 con straps</t>
  </si>
  <si>
    <t>Caja de tacos 1</t>
  </si>
  <si>
    <t>Caja de tacos 2</t>
  </si>
  <si>
    <t>Tacos varios pequeños</t>
  </si>
  <si>
    <t>Color rojo</t>
  </si>
  <si>
    <t>Blanco estiba</t>
  </si>
  <si>
    <t>Amarillo rollo</t>
  </si>
  <si>
    <t>martillo demoledor</t>
  </si>
  <si>
    <t>25S a devanadera. Colocado en la devanadera</t>
  </si>
  <si>
    <t>63S a 38S 38S 38S</t>
  </si>
  <si>
    <t>5m</t>
  </si>
  <si>
    <t>Tipo tijera</t>
  </si>
  <si>
    <t>plastica con straps</t>
  </si>
  <si>
    <t>Esquinero para expansora</t>
  </si>
  <si>
    <t>weber-hydraulik</t>
  </si>
  <si>
    <t>lona</t>
  </si>
  <si>
    <t>Cuña estabilizadora</t>
  </si>
  <si>
    <t>stab-ast</t>
  </si>
  <si>
    <t>chato de goma</t>
  </si>
  <si>
    <t>amoladora 220v</t>
  </si>
  <si>
    <t>skill</t>
  </si>
  <si>
    <t>sierra sable 220v</t>
  </si>
  <si>
    <t>45268E</t>
  </si>
  <si>
    <t>Martillo demoledor</t>
  </si>
  <si>
    <t>A66N35</t>
  </si>
  <si>
    <t>Reflectores</t>
  </si>
  <si>
    <t>220v</t>
  </si>
  <si>
    <t>hijs-specialist</t>
  </si>
  <si>
    <t>Alargue en rollo 16A-220v IEC 60309</t>
  </si>
  <si>
    <t>estibado rojo</t>
  </si>
  <si>
    <t>POK c/ reg caudal c/ corte rapido</t>
  </si>
  <si>
    <t>akron</t>
  </si>
  <si>
    <t>combinada, s/regulador de caudal s/corte rapido</t>
  </si>
  <si>
    <t>unifire</t>
  </si>
  <si>
    <t>sierra</t>
  </si>
  <si>
    <t>Serrucho grande</t>
  </si>
  <si>
    <t>Iman para chapas</t>
  </si>
  <si>
    <t>martillo</t>
  </si>
  <si>
    <t>llave francesa</t>
  </si>
  <si>
    <t>llave union</t>
  </si>
  <si>
    <t>pico de loro</t>
  </si>
  <si>
    <t>alicate</t>
  </si>
  <si>
    <t>llave 1/2 y 9/16</t>
  </si>
  <si>
    <t>Bolso de cadaveres</t>
  </si>
  <si>
    <t>Traje de aprox. Clase C</t>
  </si>
  <si>
    <t>Guantes p cadaver</t>
  </si>
  <si>
    <t>Bolso de trauma 1</t>
  </si>
  <si>
    <t>regulable</t>
  </si>
  <si>
    <t xml:space="preserve">valvula-mascara </t>
  </si>
  <si>
    <t>Disp. Succion manual</t>
  </si>
  <si>
    <t>Corta vidrios</t>
  </si>
  <si>
    <t>trineo</t>
  </si>
  <si>
    <t>Con pescador de 25mm</t>
  </si>
  <si>
    <t>S4</t>
  </si>
  <si>
    <t>lanza de espuma</t>
  </si>
  <si>
    <t>trivergente</t>
  </si>
  <si>
    <t>En el trivergente</t>
  </si>
  <si>
    <t>extintor</t>
  </si>
  <si>
    <t>PQS</t>
  </si>
  <si>
    <t>Dosificador portatil de espuma</t>
  </si>
  <si>
    <t>alpha-mousse</t>
  </si>
  <si>
    <t>En divergente</t>
  </si>
  <si>
    <t>sthil</t>
  </si>
  <si>
    <t>TS-400</t>
  </si>
  <si>
    <t>Moto-Sierra</t>
  </si>
  <si>
    <t>DCS-7301</t>
  </si>
  <si>
    <t>lanza escudo</t>
  </si>
  <si>
    <t>Extensible</t>
  </si>
  <si>
    <t>No extensible</t>
  </si>
  <si>
    <t>filtro para manguerote</t>
  </si>
  <si>
    <t>114S</t>
  </si>
  <si>
    <t>Bichero largo</t>
  </si>
  <si>
    <t>Corta perno chico</t>
  </si>
  <si>
    <t>Corta perno mediano</t>
  </si>
  <si>
    <t>Barreta chica</t>
  </si>
  <si>
    <t>Barreta mediana</t>
  </si>
  <si>
    <t>Masa 5kg</t>
  </si>
  <si>
    <t>Gancho cazador</t>
  </si>
  <si>
    <t>Cabeza de escoba</t>
  </si>
  <si>
    <t>bichero</t>
  </si>
  <si>
    <t>palo de escoba</t>
  </si>
  <si>
    <t>hacha 1/2 tumbo</t>
  </si>
  <si>
    <t>Pala de punta</t>
  </si>
  <si>
    <t>Horquillo </t>
  </si>
  <si>
    <t>Material Hazmat</t>
  </si>
  <si>
    <t>Guantes para hazmat</t>
  </si>
  <si>
    <t>Botas de hazmat phoenix</t>
  </si>
  <si>
    <t>Traje de aprox. Clase B trelleborg</t>
  </si>
  <si>
    <t>Cajon de seguridad en escena 1</t>
  </si>
  <si>
    <t>Protector auditivo sthil</t>
  </si>
  <si>
    <t>chaleco vial</t>
  </si>
  <si>
    <t>Protector auditivo</t>
  </si>
  <si>
    <t>Cajon material nautico 1</t>
  </si>
  <si>
    <t>Chaleco salvavidas secumar</t>
  </si>
  <si>
    <t>tacos</t>
  </si>
  <si>
    <t>Cajon de eslingas 1</t>
  </si>
  <si>
    <t>Eslinga ilegible</t>
  </si>
  <si>
    <t>Eslinga</t>
  </si>
  <si>
    <t>4M</t>
  </si>
  <si>
    <t>2T</t>
  </si>
  <si>
    <t>4,8T</t>
  </si>
  <si>
    <t>2M</t>
  </si>
  <si>
    <t>3M</t>
  </si>
  <si>
    <t>10M</t>
  </si>
  <si>
    <t>Eslinga ilegible con cricket</t>
  </si>
  <si>
    <t>2,5M</t>
  </si>
  <si>
    <t>8,5M</t>
  </si>
  <si>
    <t>10T</t>
  </si>
  <si>
    <t>Hooligan</t>
  </si>
  <si>
    <t>m</t>
  </si>
  <si>
    <t>g</t>
  </si>
  <si>
    <t>p</t>
  </si>
  <si>
    <t>manta ignifuga</t>
  </si>
  <si>
    <t xml:space="preserve">Botiquin </t>
  </si>
  <si>
    <t>Baston</t>
  </si>
  <si>
    <t>HotStick</t>
  </si>
  <si>
    <t>US2013470505</t>
  </si>
  <si>
    <t>17UV875855</t>
  </si>
  <si>
    <t>5kg</t>
  </si>
  <si>
    <t>10kg</t>
  </si>
  <si>
    <t>guantes dielectricos</t>
  </si>
  <si>
    <t>material dielectrico</t>
  </si>
  <si>
    <t>Destornillador dielec. Pala</t>
  </si>
  <si>
    <t>Destornillador dielec. Philliips</t>
  </si>
  <si>
    <t>Destornillador Philliips</t>
  </si>
  <si>
    <t>Extractor NH</t>
  </si>
  <si>
    <t>material hazmat</t>
  </si>
  <si>
    <t>Cinta de obturacion</t>
  </si>
  <si>
    <t>llaves para ascensor</t>
  </si>
  <si>
    <t>Pinza de punta</t>
  </si>
  <si>
    <t>martillo de goma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</si>
</sst>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 x14ac:knownFonts="1">
    <font>
      <sz val="11"/>
      <color theme="1"/>
      <name val="Calibri"/>
      <family val="2"/>
      <scheme val="minor"/>
    </font>
    <font>
      <sz val="11"/>
      <color theme="0"/>
      <name val="Calibri"/>
      <family val="2"/>
      <scheme val="minor"/>
    </font>
    <font>
      <b/>
      <sz val="11"/>
      <color theme="0"/>
      <name val="Calibri"/>
      <family val="2"/>
      <scheme val="minor"/>
    </font>
    <font>
      <sz val="9"/>
      <color rgb="FF222222"/>
      <name val="Arial"/>
      <family val="2"/>
    </font>
  </fonts>
  <fills count="4">
    <fill>
      <patternFill patternType="none"/>
    </fill>
    <fill>
      <patternFill patternType="gray125"/>
    </fill>
    <fill>
      <patternFill patternType="solid">
        <fgColor theme="4"/>
      </patternFill>
    </fill>
    <fill>
      <patternFill patternType="solid">
        <fgColor theme="4"/>
        <bgColor theme="4"/>
      </patternFill>
    </fill>
  </fills>
  <borders count="3">
    <border>
      <left/>
      <right/>
      <top/>
      <bottom/>
      <diagonal/>
    </border>
    <border>
      <left style="thin">
        <color theme="4"/>
      </left>
      <right style="thin">
        <color theme="4"/>
      </right>
      <top style="thin">
        <color theme="4"/>
      </top>
      <bottom/>
      <diagonal/>
    </border>
    <border>
      <left style="thin">
        <color theme="4"/>
      </left>
      <right/>
      <top/>
      <bottom/>
      <diagonal/>
    </border>
  </borders>
  <cellStyleXfs count="2">
    <xf numFmtId="0" fontId="0" fillId="0" borderId="0"/>
    <xf numFmtId="0" fontId="1" fillId="2" borderId="0" applyNumberFormat="0" applyBorder="0" applyAlignment="0" applyProtection="0"/>
  </cellStyleXfs>
  <cellXfs count="14">
    <xf numFmtId="0" fontId="0" fillId="0" borderId="0" xfId="0"/>
    <xf numFmtId="0" fontId="0" fillId="0" borderId="0" xfId="0" applyAlignment="1">
      <alignment horizontal="center" vertical="center"/>
    </xf>
    <xf numFmtId="0" fontId="2" fillId="3" borderId="2" xfId="0" applyFont="1" applyFill="1" applyBorder="1"/>
    <xf numFmtId="0" fontId="0" fillId="0" borderId="0" xfId="0" applyFont="1" applyBorder="1"/>
    <xf numFmtId="0" fontId="0" fillId="0" borderId="1" xfId="0" applyBorder="1"/>
    <xf numFmtId="0" fontId="0" fillId="0" borderId="0" xfId="0" applyBorder="1"/>
    <xf numFmtId="0" fontId="0" fillId="0" borderId="0" xfId="0" applyAlignment="1">
      <alignment horizontal="left"/>
    </xf>
    <xf numFmtId="0" fontId="0" fillId="0" borderId="0" xfId="0" applyAlignment="1">
      <alignment horizontal="left" wrapText="1"/>
    </xf>
    <xf numFmtId="0" fontId="0" fillId="0" borderId="0" xfId="0" applyAlignment="1">
      <alignment horizontal="left" vertical="center"/>
    </xf>
    <xf numFmtId="0" fontId="0" fillId="0" borderId="0" xfId="0" applyAlignment="1">
      <alignment horizontal="left" vertical="center" wrapText="1"/>
    </xf>
    <xf numFmtId="0" fontId="0" fillId="0" borderId="0" xfId="0" applyAlignment="1">
      <alignment wrapText="1"/>
    </xf>
    <xf numFmtId="11" fontId="0" fillId="0" borderId="0" xfId="0" applyNumberFormat="1" applyAlignment="1">
      <alignment horizontal="left" vertical="center"/>
    </xf>
    <xf numFmtId="0" fontId="3" fillId="0" borderId="0" xfId="0" applyFont="1"/>
    <xf numFmtId="0" fontId="1" fillId="2" borderId="0" xfId="1" applyBorder="1" applyAlignment="1">
      <alignment horizontal="center"/>
    </xf>
  </cellXfs>
  <cellStyles count="2">
    <cellStyle name="Accent1" xfId="1" builtinId="29"/>
    <cellStyle name="Normal" xfId="0" builtinId="0"/>
  </cellStyles>
  <dxfs count="62">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border outline="0">
        <top style="thin">
          <color theme="4"/>
        </top>
      </border>
    </dxf>
    <dxf>
      <font>
        <b/>
        <i val="0"/>
        <strike val="0"/>
        <condense val="0"/>
        <extend val="0"/>
        <outline val="0"/>
        <shadow val="0"/>
        <u val="none"/>
        <vertAlign val="baseline"/>
        <sz val="11"/>
        <color theme="0"/>
        <name val="Calibri"/>
        <family val="2"/>
        <scheme val="minor"/>
      </font>
      <fill>
        <patternFill patternType="solid">
          <fgColor theme="4"/>
          <bgColor theme="4"/>
        </patternFill>
      </fill>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
      <alignment horizontal="left" vertical="center" textRotation="0" indent="0" justifyLastLine="0" shrinkToFit="0" readingOrder="0"/>
    </dxf>
    <dxf>
      <alignment horizontal="left" vertical="center" textRotation="0" wrapText="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vertical="center" textRotation="0" wrapText="1" indent="0" justifyLastLine="0" shrinkToFit="0" readingOrder="0"/>
    </dxf>
    <dxf>
      <alignment horizontal="left" vertical="center" textRotation="0" indent="0" justifyLastLine="0" shrinkToFit="0" readingOrder="0"/>
    </dxf>
    <dxf>
      <alignment horizontal="left" vertical="center" textRotation="0" indent="0" justifyLastLine="0" shrinkToFit="0" readingOrder="0"/>
    </dxf>
    <dxf>
      <alignment horizontal="left" textRotation="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H131" totalsRowShown="0" headerRowDxfId="61" dataDxfId="60">
  <autoFilter ref="A1:H131" xr:uid="{00000000-0009-0000-0100-000001000000}"/>
  <sortState ref="A2:H136">
    <sortCondition ref="G2:G136"/>
    <sortCondition ref="H2:H136"/>
  </sortState>
  <tableColumns count="8">
    <tableColumn id="1" xr3:uid="{00000000-0010-0000-0000-000001000000}" name="Categoria" dataDxfId="59"/>
    <tableColumn id="2" xr3:uid="{00000000-0010-0000-0000-000002000000}" name="Descripcion" dataDxfId="58"/>
    <tableColumn id="3" xr3:uid="{00000000-0010-0000-0000-000003000000}" name="Medidas" dataDxfId="57"/>
    <tableColumn id="4" xr3:uid="{00000000-0010-0000-0000-000004000000}" name="marca" dataDxfId="56"/>
    <tableColumn id="5" xr3:uid="{00000000-0010-0000-0000-000005000000}" name="N/ de serie" dataDxfId="55"/>
    <tableColumn id="7" xr3:uid="{20A560DE-96A4-4C20-8E3B-6987DAD27B3D}" name="cant" dataDxfId="54"/>
    <tableColumn id="6" xr3:uid="{00000000-0010-0000-0000-000006000000}" name="Cajonera" dataDxfId="53"/>
    <tableColumn id="8" xr3:uid="{6A730937-5917-4102-A73F-F22FC5E46982}" name="Compartimiento" dataDxfId="5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1000000}" name="Table6" displayName="Table6" ref="J3:N32" totalsRowShown="0">
  <autoFilter ref="J3:N32" xr:uid="{00000000-0009-0000-0100-000006000000}"/>
  <tableColumns count="5">
    <tableColumn id="1" xr3:uid="{00000000-0010-0000-0100-000001000000}" name="Material"/>
    <tableColumn id="2" xr3:uid="{00000000-0010-0000-0100-000002000000}" name="Cantidad"/>
    <tableColumn id="3" xr3:uid="{00000000-0010-0000-0100-000003000000}" name="Bolso"/>
    <tableColumn id="4" xr3:uid="{2AED530D-ACB2-4B5C-929B-D55A51C11C0E}" name="Categoria"/>
    <tableColumn id="5" xr3:uid="{070A8E11-10FA-4FBA-8BBD-1B208B4D8EA2}" name="Medidas"/>
  </tableColumns>
  <tableStyleInfo name="TableStyleLight9"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0D275F-F343-4103-B4F5-0F419099A652}" name="Table2" displayName="Table2" ref="P3:P8" totalsRowShown="0">
  <autoFilter ref="P3:P8" xr:uid="{EE8CA32C-3909-47AF-9D21-A6D698228C0D}"/>
  <tableColumns count="1">
    <tableColumn id="1" xr3:uid="{AF0E4D2D-E1F2-437E-B41B-C134F1A1D409}" name="Bolsos"/>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E0555CA-4B5A-4758-A1E6-B6D30D403239}" name="Table5" displayName="Table5" ref="R4:X8" totalsRowShown="0">
  <autoFilter ref="R4:X8" xr:uid="{5DC523A9-3391-41E7-830A-AF5D4C18358F}"/>
  <tableColumns count="7">
    <tableColumn id="1" xr3:uid="{323DB4CB-889B-426E-AA96-B01B0A3A26FC}" name="Cajonera 1"/>
    <tableColumn id="2" xr3:uid="{83EEB06A-5D1C-4765-9F5E-BF0857B85F37}" name="Cajonera 2"/>
    <tableColumn id="3" xr3:uid="{E14AE627-1C91-4E5C-BB76-3E4A37A9F6D5}" name="Cajonera 3"/>
    <tableColumn id="4" xr3:uid="{8BE821DD-775F-457B-9900-68BA690054BA}" name="Cajonera 4"/>
    <tableColumn id="5" xr3:uid="{182A3590-CACE-4476-95F1-CA2B991BA7D3}" name="Cajonera 5"/>
    <tableColumn id="6" xr3:uid="{E699A6E3-36AE-49E4-BC5D-AA53B6BD23FF}" name="Interior"/>
    <tableColumn id="7" xr3:uid="{AC172C52-06F4-4B17-BCA6-5A562F0E7D89}" name="Techo"/>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D44EC76A-5957-4544-A053-4E91630D6670}" name="Table124" displayName="Table124" ref="A1:H98" totalsRowShown="0" headerRowDxfId="9" dataDxfId="8">
  <autoFilter ref="A1:H98" xr:uid="{4420E20B-53C0-415C-9CB8-8EBBE392DB7E}"/>
  <sortState ref="A2:H136">
    <sortCondition ref="G2:G136"/>
    <sortCondition ref="H2:H136"/>
  </sortState>
  <tableColumns count="8">
    <tableColumn id="1" xr3:uid="{45F247E6-E4F8-4524-8BAC-4E5305BFD4E8}" name="Categoria" dataDxfId="7"/>
    <tableColumn id="2" xr3:uid="{18D75DA7-F382-464D-90FD-E4E0506B8A6E}" name="Descripcion" dataDxfId="6"/>
    <tableColumn id="3" xr3:uid="{E2793599-1DAF-466B-A1AD-A54BA4C6AC06}" name="Medidas" dataDxfId="5"/>
    <tableColumn id="4" xr3:uid="{46F5E322-E424-487F-AE67-B4E3358E403F}" name="marca" dataDxfId="4"/>
    <tableColumn id="5" xr3:uid="{3D283D2B-D541-479C-87FD-6AA3D3CF8E18}" name="N/ de serie" dataDxfId="3"/>
    <tableColumn id="7" xr3:uid="{1D224AAD-0462-40C4-9698-3AD0B9B09F9C}" name="cant" dataDxfId="2"/>
    <tableColumn id="6" xr3:uid="{E962ECD1-4DEF-4678-96D7-81953010DD85}" name="Cajonera" dataDxfId="1"/>
    <tableColumn id="8" xr3:uid="{DDA87DEE-616F-4F4F-B1CF-4AFC1D7DDE80}" name="Compartimiento" dataDxfId="0"/>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A4EB5AF-95DE-41AC-9DF8-1ECC8FB6F65A}" name="Table625" displayName="Table625" ref="J3:N46" totalsRowShown="0">
  <autoFilter ref="J3:N46" xr:uid="{F64C4D09-9588-45B3-A069-41EC67E79E9D}"/>
  <tableColumns count="5">
    <tableColumn id="1" xr3:uid="{E29A2BD3-9958-4292-B6D3-70720983B09F}" name="Material"/>
    <tableColumn id="2" xr3:uid="{A86B4CDB-1ED6-4EAC-BFF8-5B77FA04F67F}" name="Cantidad"/>
    <tableColumn id="3" xr3:uid="{E132B31A-E29A-479E-BA42-A16EC3D24FF8}" name="Bolso"/>
    <tableColumn id="4" xr3:uid="{4D54AC53-8600-4FD8-93B3-26701C4F0C10}" name="Categoria"/>
    <tableColumn id="5" xr3:uid="{0E934890-7DF2-4649-98DA-39F4FE067C9D}" name="Medidas"/>
  </tableColumns>
  <tableStyleInfo name="TableStyleLight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19A59E7C-FA6A-46B0-AB02-E4DEA35A4AED}" name="Table226" displayName="Table226" ref="P3:P13" totalsRowShown="0">
  <autoFilter ref="P3:P13" xr:uid="{EAA07471-0BF2-4F30-B83D-D62DEC42DB21}"/>
  <tableColumns count="1">
    <tableColumn id="1" xr3:uid="{DBDCEFED-F8D7-47FD-8273-8BDE3EC7F04D}" name="Bolsos"/>
  </tableColumns>
  <tableStyleInfo name="TableStyleLight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B5780AF5-6F0F-43FE-B383-72AAE18F5AD8}" name="Table527" displayName="Table527" ref="R4:Z8" totalsRowShown="0">
  <autoFilter ref="R4:Z8" xr:uid="{FB2F1076-82E0-4F75-940F-17CFA7BBD66E}"/>
  <tableColumns count="9">
    <tableColumn id="1" xr3:uid="{E1D1D96C-DA64-4729-A6C1-C8E927290C1F}" name="Cajonera 1"/>
    <tableColumn id="2" xr3:uid="{E7A59C28-02CB-41A1-99AB-9EBDF96EB370}" name="Cajonera 2"/>
    <tableColumn id="3" xr3:uid="{356C6746-C6A0-461A-AB0A-3A9DFAF293E4}" name="Cajonera 3"/>
    <tableColumn id="4" xr3:uid="{5A245069-CFA6-48B5-8FD5-5C91287824AE}" name="Cajonera 4"/>
    <tableColumn id="5" xr3:uid="{C6F43B32-910D-4E22-B33F-EFD9BCD500E3}" name="Cajonera 5"/>
    <tableColumn id="6" xr3:uid="{6A7B089B-2953-4568-B1C3-6B2026C2E4EC}" name="Cajonera 6"/>
    <tableColumn id="7" xr3:uid="{7CFC9A51-A6CE-4D31-89B3-7637BA92FEC8}" name="Cajonera 7"/>
    <tableColumn id="8" xr3:uid="{C192B54E-6CD1-4BA6-BDF9-A4432E8948C7}" name="Interior"/>
    <tableColumn id="9" xr3:uid="{614DB462-5FB7-42EA-B369-14F79E562302}" name="Techo"/>
  </tableColumns>
  <tableStyleInfo name="TableStyleLight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BCA67C0-6A46-4313-ACEB-0BBFE981B973}" name="Table18" displayName="Table18" ref="A1:H108" totalsRowShown="0" headerRowDxfId="51" dataDxfId="50">
  <autoFilter ref="A1:H108" xr:uid="{00254174-483B-40DF-A806-D062C22867F7}"/>
  <sortState ref="A2:H79">
    <sortCondition ref="G1:G79"/>
  </sortState>
  <tableColumns count="8">
    <tableColumn id="1" xr3:uid="{5C129E02-49ED-404D-8803-23BEEE082B13}" name="Categoria" dataDxfId="49"/>
    <tableColumn id="2" xr3:uid="{08752A4C-B745-47BD-916C-8371AA823B30}" name="Descripcion" dataDxfId="48"/>
    <tableColumn id="3" xr3:uid="{D9947D9F-91DC-48F8-80F0-740777B930CC}" name="Medidas" dataDxfId="47"/>
    <tableColumn id="4" xr3:uid="{83541DD3-29AB-4FE0-9DE9-7D8BE5E78196}" name="marca" dataDxfId="46"/>
    <tableColumn id="5" xr3:uid="{9713A367-BEFE-4DF4-8B3D-E3AF8E87D8E7}" name="N/ de serie" dataDxfId="45"/>
    <tableColumn id="7" xr3:uid="{9D266E2D-E8B4-43A5-8816-E295D94D2A54}" name="cant" dataDxfId="44"/>
    <tableColumn id="6" xr3:uid="{4AF3B0F9-84DE-4653-A23E-C2CFBC721A37}" name="Cajonera" dataDxfId="43"/>
    <tableColumn id="8" xr3:uid="{255D225F-46DC-4AF1-9C5F-A6DC06571BC6}" name="Compartimiento" dataDxfId="42"/>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E125EE0-3012-4DA0-A6C3-E24B99F85DD4}" name="Table69" displayName="Table69" ref="J3:L75" totalsRowShown="0">
  <autoFilter ref="J3:L75" xr:uid="{158E7FEF-2530-4B04-8429-AFAE1EE2CCF7}"/>
  <tableColumns count="3">
    <tableColumn id="1" xr3:uid="{9F7B5D30-F8A3-46D8-A4CE-9273971211F6}" name="Material"/>
    <tableColumn id="2" xr3:uid="{14A06F43-7F88-418E-8772-E1441272AE6B}" name="Cantidad"/>
    <tableColumn id="3" xr3:uid="{29A7B3D5-4942-423C-B9B0-94E3114719C2}" name="Bolso"/>
  </tableColumns>
  <tableStyleInfo name="TableStyleLight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EE59F52B-A46D-4BD5-AF21-FE06935019CC}" name="Table210" displayName="Table210" ref="N3:N28" totalsRowShown="0">
  <autoFilter ref="N3:N28" xr:uid="{FB2636B5-DD04-42AA-9889-74DC28C61E72}"/>
  <sortState ref="N4:N22">
    <sortCondition ref="N3:N22"/>
  </sortState>
  <tableColumns count="1">
    <tableColumn id="1" xr3:uid="{D54188B4-D225-4C7D-84F9-4B524F6068D8}" name="Bolsos"/>
  </tableColumns>
  <tableStyleInfo name="TableStyleLight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F8130921-889F-49CA-8729-A568B56CD1C2}" name="Table511" displayName="Table511" ref="P4:V8" totalsRowShown="0">
  <autoFilter ref="P4:V8" xr:uid="{2FBCFBAD-01BE-43D1-BA81-5E73E891A103}"/>
  <tableColumns count="7">
    <tableColumn id="1" xr3:uid="{99A46A38-6E4E-42B2-A15C-38D264A99AE9}" name="Cajonera 1"/>
    <tableColumn id="2" xr3:uid="{3974DFB3-0FB6-479C-8661-CA3F001B2A87}" name="Cajonera 2"/>
    <tableColumn id="3" xr3:uid="{A0731D16-1D2D-44F2-B4F4-EE4437BEACEB}" name="Cajonera 3"/>
    <tableColumn id="4" xr3:uid="{A7DA2D69-5717-4769-9D6B-F67027A12115}" name="Cajonera 4"/>
    <tableColumn id="5" xr3:uid="{6C8A71EB-840F-4199-97F6-EEF90A3CC451}" name="Cajonera 5"/>
    <tableColumn id="6" xr3:uid="{2CDFDDDB-9289-4FEA-AA20-C1999DDE0FCD}" name="Cajonera 6"/>
    <tableColumn id="7" xr3:uid="{5F3EB561-6A82-49D3-8325-08E75BC5E9BF}" name="Interior"/>
  </tableColumns>
  <tableStyleInfo name="TableStyleLight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D330B6-73C8-4E52-93E2-B84DE697BEA0}" name="Table1812" displayName="Table1812" ref="A1:H16" totalsRowShown="0" headerRowDxfId="41" dataDxfId="40">
  <autoFilter ref="A1:H16" xr:uid="{00254174-483B-40DF-A806-D062C22867F7}"/>
  <sortState ref="A2:H135">
    <sortCondition ref="G2:G135"/>
    <sortCondition ref="H2:H135"/>
    <sortCondition ref="A2:A135"/>
  </sortState>
  <tableColumns count="8">
    <tableColumn id="1" xr3:uid="{7762CF18-0359-4492-B4ED-710C2ACA3AD8}" name="Categoria" dataDxfId="39"/>
    <tableColumn id="2" xr3:uid="{982DCC3C-D12D-4640-A32E-79F71F293297}" name="Descripcion" dataDxfId="38"/>
    <tableColumn id="3" xr3:uid="{C74DD3A9-C890-46F2-B066-1E8734A70F10}" name="Medidas" dataDxfId="37"/>
    <tableColumn id="4" xr3:uid="{99E6F613-CBD2-473A-BDCE-1F04B38ED8A1}" name="marca" dataDxfId="36"/>
    <tableColumn id="5" xr3:uid="{D00DBFC2-B0D3-40E1-AACD-2CEA831C5A4A}" name="N/ de serie" dataDxfId="35"/>
    <tableColumn id="7" xr3:uid="{B766F210-A0F3-4E00-BCA4-192046AAC52E}" name="cant" dataDxfId="34"/>
    <tableColumn id="6" xr3:uid="{8D465A67-0F78-40E6-9E8A-323E2CC14EBF}" name="Cajonera" dataDxfId="33"/>
    <tableColumn id="8" xr3:uid="{3E183286-0CB5-4BAA-96D9-64884EE8C037}" name="Compartimiento" dataDxfId="3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CD79AB1B-55F9-4DF1-950C-625C3B240462}" name="Table6913" displayName="Table6913" ref="J3:L6" totalsRowShown="0">
  <autoFilter ref="J3:L6" xr:uid="{158E7FEF-2530-4B04-8429-AFAE1EE2CCF7}"/>
  <tableColumns count="3">
    <tableColumn id="1" xr3:uid="{EC222BC8-CCC9-4E82-8828-E484EEC50271}" name="Material"/>
    <tableColumn id="2" xr3:uid="{38CCC194-8A74-40B9-9DD2-1066122DDB01}" name="Cantidad"/>
    <tableColumn id="3" xr3:uid="{BF3A2573-79D6-4AAE-90F6-E3302D1C8302}" name="Bolso"/>
  </tableColumns>
  <tableStyleInfo name="TableStyleLight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9D6904-1A9C-4F6A-B66E-91BB0B42834F}" name="Table21014" displayName="Table21014" ref="N3:N4" insertRow="1" totalsRowShown="0">
  <autoFilter ref="N3:N4" xr:uid="{FB2636B5-DD04-42AA-9889-74DC28C61E72}"/>
  <tableColumns count="1">
    <tableColumn id="1" xr3:uid="{47146BDE-0FFD-493A-AED1-5AF678F373EF}" name="Bolsos"/>
  </tableColumns>
  <tableStyleInfo name="TableStyleLight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A5DA115-70AB-42AE-9091-CBAAB0D4D323}" name="Table51115" displayName="Table51115" ref="P4:T5" totalsRowShown="0">
  <autoFilter ref="P4:T5" xr:uid="{2FBCFBAD-01BE-43D1-BA81-5E73E891A103}"/>
  <tableColumns count="5">
    <tableColumn id="1" xr3:uid="{D6B80B5F-7A27-4524-A79C-EDF6000A000A}" name="Cajonera 1"/>
    <tableColumn id="2" xr3:uid="{F5CEBAB3-AC1D-4AFA-9EB1-FFA58ECD4A55}" name="Cajonera 2"/>
    <tableColumn id="3" xr3:uid="{B19BBC5F-8120-435B-9FA2-7683ECBC071E}" name="Parte Trasera"/>
    <tableColumn id="4" xr3:uid="{B4318F14-361E-4309-B1B5-994FDA5C5C2B}" name="Techo"/>
    <tableColumn id="5" xr3:uid="{126DDA8E-9383-4DF1-8C63-D97F7C307388}" name="Interior"/>
  </tableColumns>
  <tableStyleInfo name="TableStyleLight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5FBE92A-D706-487B-9BD5-CCCBE35847CE}" name="Table181216" displayName="Table181216" ref="A1:H21" totalsRowShown="0" headerRowDxfId="31" dataDxfId="30">
  <autoFilter ref="A1:H21" xr:uid="{9BEA3E99-12FC-4092-94CA-0CD530761350}"/>
  <sortState ref="A2:H135">
    <sortCondition ref="G2:G135"/>
    <sortCondition ref="H2:H135"/>
    <sortCondition ref="A2:A135"/>
  </sortState>
  <tableColumns count="8">
    <tableColumn id="1" xr3:uid="{59F451BF-799E-467F-87E6-D1A92B2F2F19}" name="Categoria" dataDxfId="29"/>
    <tableColumn id="2" xr3:uid="{7B78AF34-49C2-4BC7-88BB-EB59466AF70E}" name="Descripcion" dataDxfId="28"/>
    <tableColumn id="3" xr3:uid="{91AE2D4D-14E6-4D02-A2AE-5C64C2399D48}" name="Medidas" dataDxfId="27"/>
    <tableColumn id="4" xr3:uid="{5862D588-22B6-471B-9202-79CB070BA9F1}" name="marca" dataDxfId="26"/>
    <tableColumn id="5" xr3:uid="{2E34E0CF-7BE5-4082-9DDE-726BF5669D7D}" name="N/ de serie" dataDxfId="25"/>
    <tableColumn id="7" xr3:uid="{2E9D9731-27A3-4A80-B0FD-D982940A817F}" name="cant" dataDxfId="24"/>
    <tableColumn id="6" xr3:uid="{29E6860E-7FCC-42E5-BD7A-DD1148407EF7}" name="Cajonera" dataDxfId="23"/>
    <tableColumn id="8" xr3:uid="{176739AE-F62A-4931-BD7F-D9296054E437}" name="Compartimiento" dataDxfId="2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B6FCF45F-00D9-4668-8DA1-A2F56B841044}" name="Table691317" displayName="Table691317" ref="J3:L6" totalsRowShown="0">
  <autoFilter ref="J3:L6" xr:uid="{F8DCA1D4-4A78-4BA5-ADAD-D9E0BCFD2A4C}"/>
  <tableColumns count="3">
    <tableColumn id="1" xr3:uid="{87762F9D-EBDA-4807-B307-DA7CF6517637}" name="Material"/>
    <tableColumn id="2" xr3:uid="{68A9B189-897C-455D-B765-89FDB0F0B202}" name="Cantidad"/>
    <tableColumn id="3" xr3:uid="{510A01BA-1AA8-4632-A1B1-67D6F834BC93}" name="Bolso"/>
  </tableColumns>
  <tableStyleInfo name="TableStyleLight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B0A5A78-803B-4FC1-A973-96B992DBEDEA}" name="Table2101418" displayName="Table2101418" ref="N3:N4" insertRow="1" totalsRowShown="0">
  <autoFilter ref="N3:N4" xr:uid="{9AF73587-EB49-4421-B0F7-99EBB9FB5AD3}"/>
  <tableColumns count="1">
    <tableColumn id="1" xr3:uid="{2A4FF841-27B1-4D7C-BB1B-B6EF9280D32C}" name="Bolsos"/>
  </tableColumns>
  <tableStyleInfo name="TableStyleLight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DDCB493-5BEA-4BC7-84EE-4337064DCEDB}" name="Table5111519" displayName="Table5111519" ref="P4:X5" totalsRowShown="0">
  <autoFilter ref="P4:X5" xr:uid="{354E47A3-5B9B-49BD-8587-A79E63CE85B1}"/>
  <tableColumns count="9">
    <tableColumn id="1" xr3:uid="{67CA260E-2786-4D12-91FE-49884F1C8960}" name="Cajonera 1"/>
    <tableColumn id="2" xr3:uid="{2E73DEC5-137D-404F-B404-382232BE272D}" name="Cajonera 2"/>
    <tableColumn id="3" xr3:uid="{4A9E6A73-54FE-4E34-911B-AB4136D4C50E}" name="Cajonera 3"/>
    <tableColumn id="4" xr3:uid="{0BC498A1-3E71-4E91-AF9D-2898F9B346AD}" name="Cajonera 4"/>
    <tableColumn id="5" xr3:uid="{C2B8A303-BF38-46A5-80F4-EE7894CCD26C}" name="Cajonera 5"/>
    <tableColumn id="6" xr3:uid="{4606A3D2-A227-4578-B5FF-17F3288C2C0C}" name="Cajonera 6"/>
    <tableColumn id="7" xr3:uid="{E327959E-5C99-4734-9B75-77334E0E77AA}" name="Cajonera 7"/>
    <tableColumn id="8" xr3:uid="{A8A40B65-EB67-4BCC-9F54-4A0CE3CC89DB}" name="Cajonera 8"/>
    <tableColumn id="9" xr3:uid="{BF218FCC-6141-44B4-BCBB-4DDB18C4EAC0}" name="Interior"/>
  </tableColumns>
  <tableStyleInfo name="TableStyleLight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5B8D23D0-B49E-4982-8595-D29EDB97C5B3}" name="Table120" displayName="Table120" ref="A1:H34" totalsRowShown="0" headerRowDxfId="21" dataDxfId="20">
  <autoFilter ref="A1:H34" xr:uid="{00000000-0009-0000-0100-000001000000}"/>
  <sortState ref="A2:H135">
    <sortCondition ref="G2:G135"/>
    <sortCondition ref="H2:H135"/>
    <sortCondition ref="A2:A135"/>
  </sortState>
  <tableColumns count="8">
    <tableColumn id="1" xr3:uid="{F908C9F5-DD8B-443A-A527-DCABD33B8237}" name="Categoria" dataDxfId="19"/>
    <tableColumn id="2" xr3:uid="{8036B6F2-C43F-461F-A164-185E9010DABA}" name="Descripcion" dataDxfId="18"/>
    <tableColumn id="3" xr3:uid="{4B73C355-844D-4708-8DD2-3BAA3380C699}" name="Medidas" dataDxfId="17"/>
    <tableColumn id="4" xr3:uid="{0D85BE5C-3096-482C-BC13-95741D8C8766}" name="marca" dataDxfId="16"/>
    <tableColumn id="5" xr3:uid="{86876B37-5F66-4B8C-9658-6F4D3F570100}" name="N/ de serie" dataDxfId="15"/>
    <tableColumn id="7" xr3:uid="{DDA2BF92-6F99-4EE6-8D4C-490484E63590}" name="cant" dataDxfId="14"/>
    <tableColumn id="6" xr3:uid="{65BD277E-AD38-49FE-8584-2B2393B38D9E}" name="Cajonera" dataDxfId="13"/>
    <tableColumn id="8" xr3:uid="{1DEC6FAA-BE51-4355-AD37-F311FED3A618}" name="Compartimiento" dataDxfId="12"/>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40E38EC5-7985-43B1-9A7B-263C18AE8B93}" name="Table621" displayName="Table621" ref="J3:N24" totalsRowShown="0">
  <autoFilter ref="J3:N24" xr:uid="{00000000-0009-0000-0100-000006000000}"/>
  <tableColumns count="5">
    <tableColumn id="1" xr3:uid="{71899C2C-3A9F-4FC2-87AD-1FD7A7D345CA}" name="Material"/>
    <tableColumn id="2" xr3:uid="{F6270979-38DA-4E0C-A759-DF5F140DEA96}" name="Cantidad"/>
    <tableColumn id="3" xr3:uid="{45903662-F3E4-423C-9845-CFACB5935F43}" name="Bolso"/>
    <tableColumn id="4" xr3:uid="{DA0CF803-C7EB-4E8B-9E75-AC53FA181AF4}" name="Categoria"/>
    <tableColumn id="5" xr3:uid="{1DD7B5A6-BCB7-46CB-8DDF-1061623E8E5E}" name="Medidas"/>
  </tableColumns>
  <tableStyleInfo name="TableStyleLight9"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BDE27882-472A-43A9-828D-1674ABA673D0}" name="Table222" displayName="Table222" ref="P3:P10" totalsRowShown="0">
  <autoFilter ref="P3:P10" xr:uid="{EE8CA32C-3909-47AF-9D21-A6D698228C0D}"/>
  <tableColumns count="1">
    <tableColumn id="1" xr3:uid="{EDDF6E28-C0AD-496E-806D-0DAA518815F3}" name="Bolsos"/>
  </tableColumns>
  <tableStyleInfo name="TableStyleLight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2846C026-12E3-439B-A4F2-2E77BFF97517}" name="Table523" displayName="Table523" ref="R4:U12" totalsRowShown="0">
  <autoFilter ref="R4:U12" xr:uid="{5DC523A9-3391-41E7-830A-AF5D4C18358F}"/>
  <tableColumns count="4">
    <tableColumn id="1" xr3:uid="{46433AC4-0794-4287-8F2E-65462ECDE0C6}" name="Habitaculo"/>
    <tableColumn id="2" xr3:uid="{A5E72D48-AC9B-475C-AB7B-C8B9445BE531}" name="Cabina"/>
    <tableColumn id="3" xr3:uid="{9B385CB7-47C1-4794-9729-41B4351C3E08}" name="Cajonera 1"/>
    <tableColumn id="4" xr3:uid="{628F14E3-1249-403E-B9F5-AD206F6B0322}" name="Cajonera 2"/>
  </tableColumns>
  <tableStyleInfo name="TableStyleLight9"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388C855C-2090-41EF-BB2D-E6ADA766E784}" name="Table3" displayName="Table3" ref="F1:V11" totalsRowShown="0">
  <autoFilter ref="F1:V11" xr:uid="{1055A59D-20B2-4F59-BA98-5A360C8D58B6}"/>
  <sortState ref="F2:P9">
    <sortCondition ref="F1:F9"/>
  </sortState>
  <tableColumns count="17">
    <tableColumn id="1" xr3:uid="{2544FA51-F8B2-41C3-B812-D5DFF3470881}" name="Tramos"/>
    <tableColumn id="2" xr3:uid="{3FB9FA73-51F1-44CB-918D-228168812748}" name="Lanzas"/>
    <tableColumn id="3" xr3:uid="{B9197608-8A52-4322-860E-30C04ACFC82C}" name="Escaleras"/>
    <tableColumn id="4" xr3:uid="{2AB5406A-92CA-4CE4-A538-514469501972}" name="Manguerote"/>
    <tableColumn id="5" xr3:uid="{3F66F513-0813-4B7C-AE42-683E43F0E320}" name="Adaptador"/>
    <tableColumn id="6" xr3:uid="{64439A83-9719-4FF4-9EC0-5FAAD733C784}" name="Reductor"/>
    <tableColumn id="7" xr3:uid="{8CDFACF5-787D-432D-8E31-5B30E3519924}" name="Trineo"/>
    <tableColumn id="8" xr3:uid="{7DAF3A3A-C3B2-4BA2-A7DB-7ADAB2165F9A}" name="Filtros"/>
    <tableColumn id="9" xr3:uid="{A4D73C16-78F2-4B2E-AD6F-3F67FF8EF8B7}" name="Lanzas especiales"/>
    <tableColumn id="10" xr3:uid="{96EFAB3F-8EFC-47FE-B66E-3E3CDFE12773}" name="Monitor"/>
    <tableColumn id="11" xr3:uid="{D5A15B32-A143-453F-96BE-F84358048289}" name="Grilletes"/>
    <tableColumn id="12" xr3:uid="{D688FD44-2B5A-467B-9512-E0180C4957B3}" name="bidon"/>
    <tableColumn id="13" xr3:uid="{7A9B42C6-864E-46F9-B4BF-BEB257F6FA28}" name="Divergente"/>
    <tableColumn id="14" xr3:uid="{FFD3E5AB-25C1-48C5-94EF-5569051BCCF7}" name="Trivergente"/>
    <tableColumn id="15" xr3:uid="{9AE3089E-9BA9-41E6-A736-EF0C7DD62EA3}" name="Collar cervical"/>
    <tableColumn id="16" xr3:uid="{764F74C8-A735-480B-BFEC-D799858A9C28}" name="Linterna"/>
    <tableColumn id="17" xr3:uid="{EFD95618-EDA6-4DE2-B544-96F4EC38EF5A}" name="Extintor"/>
  </tableColumns>
  <tableStyleInfo name="TableStyleLight9"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3F40EB2-6A7A-4347-B2C7-48A910378576}" name="Table4" displayName="Table4" ref="A1:A103" totalsRowShown="0" headerRowDxfId="11" tableBorderDxfId="10">
  <autoFilter ref="A1:A103" xr:uid="{174CB354-0B9D-4924-BB13-8A0DA131CB54}"/>
  <sortState ref="A2:A83">
    <sortCondition ref="A2"/>
  </sortState>
  <tableColumns count="1">
    <tableColumn id="1" xr3:uid="{C30558D4-D1AA-40E7-AAB9-B74AC8C72DD6}" name="Categorias disponibles"/>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printerSettings" Target="../printerSettings/printerSettings2.bin"/><Relationship Id="rId5" Type="http://schemas.openxmlformats.org/officeDocument/2006/relationships/table" Target="../tables/table8.xml"/><Relationship Id="rId4" Type="http://schemas.openxmlformats.org/officeDocument/2006/relationships/table" Target="../tables/table7.xml"/></Relationships>
</file>

<file path=xl/worksheets/_rels/sheet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table" Target="../tables/table9.xml"/><Relationship Id="rId1" Type="http://schemas.openxmlformats.org/officeDocument/2006/relationships/printerSettings" Target="../printerSettings/printerSettings3.bin"/><Relationship Id="rId5" Type="http://schemas.openxmlformats.org/officeDocument/2006/relationships/table" Target="../tables/table12.xml"/><Relationship Id="rId4" Type="http://schemas.openxmlformats.org/officeDocument/2006/relationships/table" Target="../tables/table11.xml"/></Relationships>
</file>

<file path=xl/worksheets/_rels/sheet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table" Target="../tables/table13.xml"/><Relationship Id="rId4" Type="http://schemas.openxmlformats.org/officeDocument/2006/relationships/table" Target="../tables/table16.xml"/></Relationships>
</file>

<file path=xl/worksheets/_rels/sheet5.xml.rels><?xml version="1.0" encoding="UTF-8" standalone="yes"?>
<Relationships xmlns="http://schemas.openxmlformats.org/package/2006/relationships"><Relationship Id="rId3" Type="http://schemas.openxmlformats.org/officeDocument/2006/relationships/table" Target="../tables/table19.xml"/><Relationship Id="rId2" Type="http://schemas.openxmlformats.org/officeDocument/2006/relationships/table" Target="../tables/table18.xml"/><Relationship Id="rId1" Type="http://schemas.openxmlformats.org/officeDocument/2006/relationships/table" Target="../tables/table17.xml"/><Relationship Id="rId4" Type="http://schemas.openxmlformats.org/officeDocument/2006/relationships/table" Target="../tables/table20.xml"/></Relationships>
</file>

<file path=xl/worksheets/_rels/sheet6.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printerSettings" Target="../printerSettings/printerSettings4.bin"/><Relationship Id="rId5" Type="http://schemas.openxmlformats.org/officeDocument/2006/relationships/table" Target="../tables/table24.xml"/><Relationship Id="rId4" Type="http://schemas.openxmlformats.org/officeDocument/2006/relationships/table" Target="../tables/table23.xml"/></Relationships>
</file>

<file path=xl/worksheets/_rels/sheet8.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table" Target="../tables/table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X139"/>
  <sheetViews>
    <sheetView topLeftCell="H1" workbookViewId="0">
      <pane ySplit="1" topLeftCell="A2" activePane="bottomLeft" state="frozen"/>
      <selection pane="bottomLeft" activeCell="N3" sqref="N3"/>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4" x14ac:dyDescent="0.25">
      <c r="A1" s="6" t="s">
        <v>0</v>
      </c>
      <c r="B1" s="7" t="s">
        <v>1</v>
      </c>
      <c r="C1" s="6" t="s">
        <v>2</v>
      </c>
      <c r="D1" s="6" t="s">
        <v>3</v>
      </c>
      <c r="E1" s="6" t="s">
        <v>4</v>
      </c>
      <c r="F1" s="6" t="s">
        <v>240</v>
      </c>
      <c r="G1" s="6" t="s">
        <v>13</v>
      </c>
      <c r="H1" s="6" t="s">
        <v>232</v>
      </c>
    </row>
    <row r="2" spans="1:24" x14ac:dyDescent="0.25">
      <c r="A2" s="6" t="s">
        <v>97</v>
      </c>
      <c r="B2" s="9" t="s">
        <v>85</v>
      </c>
      <c r="C2" s="8"/>
      <c r="D2" s="8" t="s">
        <v>96</v>
      </c>
      <c r="E2" s="8">
        <v>315000341</v>
      </c>
      <c r="F2" s="8">
        <v>1</v>
      </c>
      <c r="G2" s="8" t="s">
        <v>8</v>
      </c>
      <c r="H2" s="8">
        <v>1</v>
      </c>
    </row>
    <row r="3" spans="1:24" x14ac:dyDescent="0.25">
      <c r="A3" s="8" t="s">
        <v>241</v>
      </c>
      <c r="B3" s="9" t="s">
        <v>85</v>
      </c>
      <c r="C3" s="8"/>
      <c r="D3" s="8"/>
      <c r="E3" s="8"/>
      <c r="F3" s="8">
        <v>1</v>
      </c>
      <c r="G3" s="8" t="s">
        <v>8</v>
      </c>
      <c r="H3" s="8">
        <v>1</v>
      </c>
      <c r="J3" t="s">
        <v>16</v>
      </c>
      <c r="K3" t="s">
        <v>18</v>
      </c>
      <c r="L3" t="s">
        <v>14</v>
      </c>
      <c r="M3" t="s">
        <v>0</v>
      </c>
      <c r="N3" t="s">
        <v>2</v>
      </c>
      <c r="P3" t="s">
        <v>28</v>
      </c>
      <c r="R3" s="13" t="s">
        <v>230</v>
      </c>
      <c r="S3" s="13"/>
      <c r="T3" s="13"/>
      <c r="U3" s="13"/>
      <c r="V3" s="13"/>
      <c r="W3" s="13"/>
    </row>
    <row r="4" spans="1:24" x14ac:dyDescent="0.25">
      <c r="A4" s="8" t="s">
        <v>95</v>
      </c>
      <c r="B4" s="9" t="s">
        <v>85</v>
      </c>
      <c r="C4" s="8"/>
      <c r="D4" s="8" t="s">
        <v>96</v>
      </c>
      <c r="E4" s="8">
        <v>28999</v>
      </c>
      <c r="F4" s="8">
        <v>1</v>
      </c>
      <c r="G4" s="8" t="s">
        <v>8</v>
      </c>
      <c r="H4" s="8">
        <v>1</v>
      </c>
      <c r="J4" t="s">
        <v>17</v>
      </c>
      <c r="K4">
        <v>2</v>
      </c>
      <c r="L4" t="s">
        <v>15</v>
      </c>
      <c r="M4" t="s">
        <v>156</v>
      </c>
      <c r="P4" t="s">
        <v>15</v>
      </c>
      <c r="R4" t="s">
        <v>8</v>
      </c>
      <c r="S4" t="s">
        <v>5</v>
      </c>
      <c r="T4" t="s">
        <v>6</v>
      </c>
      <c r="U4" t="s">
        <v>9</v>
      </c>
      <c r="V4" t="s">
        <v>10</v>
      </c>
      <c r="W4" t="s">
        <v>7</v>
      </c>
      <c r="X4" t="s">
        <v>36</v>
      </c>
    </row>
    <row r="5" spans="1:24" x14ac:dyDescent="0.25">
      <c r="A5" s="8" t="s">
        <v>100</v>
      </c>
      <c r="B5" s="9" t="s">
        <v>101</v>
      </c>
      <c r="C5" s="8"/>
      <c r="D5" s="8" t="s">
        <v>96</v>
      </c>
      <c r="E5" s="8">
        <v>150181011</v>
      </c>
      <c r="F5" s="8">
        <v>2</v>
      </c>
      <c r="G5" s="8" t="s">
        <v>8</v>
      </c>
      <c r="H5" s="8">
        <v>2</v>
      </c>
      <c r="J5" t="s">
        <v>19</v>
      </c>
      <c r="K5">
        <v>2</v>
      </c>
      <c r="L5" t="s">
        <v>15</v>
      </c>
      <c r="M5" t="s">
        <v>156</v>
      </c>
      <c r="P5" t="s">
        <v>29</v>
      </c>
      <c r="R5">
        <v>1</v>
      </c>
      <c r="S5">
        <v>1</v>
      </c>
      <c r="T5">
        <v>1</v>
      </c>
      <c r="U5">
        <v>1</v>
      </c>
      <c r="V5">
        <v>1</v>
      </c>
      <c r="W5" t="s">
        <v>231</v>
      </c>
      <c r="X5" t="s">
        <v>36</v>
      </c>
    </row>
    <row r="6" spans="1:24" x14ac:dyDescent="0.25">
      <c r="A6" s="8" t="s">
        <v>100</v>
      </c>
      <c r="B6" s="9" t="s">
        <v>102</v>
      </c>
      <c r="C6" s="8" t="s">
        <v>103</v>
      </c>
      <c r="D6" s="8"/>
      <c r="E6" s="8"/>
      <c r="F6" s="8">
        <v>1</v>
      </c>
      <c r="G6" s="8" t="s">
        <v>8</v>
      </c>
      <c r="H6" s="8">
        <v>2</v>
      </c>
      <c r="J6" t="s">
        <v>20</v>
      </c>
      <c r="K6">
        <v>1</v>
      </c>
      <c r="L6" t="s">
        <v>15</v>
      </c>
      <c r="M6" t="s">
        <v>156</v>
      </c>
      <c r="P6" t="s">
        <v>545</v>
      </c>
      <c r="R6">
        <v>2</v>
      </c>
      <c r="V6">
        <v>2</v>
      </c>
      <c r="W6" t="s">
        <v>233</v>
      </c>
    </row>
    <row r="7" spans="1:24" x14ac:dyDescent="0.25">
      <c r="A7" s="8" t="s">
        <v>100</v>
      </c>
      <c r="B7" s="9" t="s">
        <v>102</v>
      </c>
      <c r="C7" s="8" t="s">
        <v>104</v>
      </c>
      <c r="D7" s="8"/>
      <c r="E7" s="8"/>
      <c r="F7" s="8">
        <v>1</v>
      </c>
      <c r="G7" s="8" t="s">
        <v>8</v>
      </c>
      <c r="H7" s="8">
        <v>2</v>
      </c>
      <c r="J7" t="s">
        <v>21</v>
      </c>
      <c r="K7">
        <v>1</v>
      </c>
      <c r="L7" t="s">
        <v>15</v>
      </c>
      <c r="M7" t="s">
        <v>156</v>
      </c>
      <c r="P7" t="s">
        <v>29</v>
      </c>
      <c r="R7">
        <v>3</v>
      </c>
      <c r="V7">
        <v>3</v>
      </c>
      <c r="W7" t="s">
        <v>234</v>
      </c>
    </row>
    <row r="8" spans="1:24" x14ac:dyDescent="0.25">
      <c r="A8" s="8" t="s">
        <v>100</v>
      </c>
      <c r="B8" s="9" t="s">
        <v>113</v>
      </c>
      <c r="C8" s="8"/>
      <c r="D8" s="8" t="s">
        <v>96</v>
      </c>
      <c r="E8" s="8"/>
      <c r="F8" s="8">
        <v>2</v>
      </c>
      <c r="G8" s="8" t="s">
        <v>8</v>
      </c>
      <c r="H8" s="8">
        <v>2</v>
      </c>
      <c r="J8" t="s">
        <v>22</v>
      </c>
      <c r="K8">
        <v>1</v>
      </c>
      <c r="L8" t="s">
        <v>15</v>
      </c>
      <c r="M8" t="s">
        <v>156</v>
      </c>
      <c r="P8" t="s">
        <v>546</v>
      </c>
      <c r="R8">
        <v>4</v>
      </c>
    </row>
    <row r="9" spans="1:24" x14ac:dyDescent="0.25">
      <c r="A9" s="8" t="s">
        <v>109</v>
      </c>
      <c r="B9" s="9" t="s">
        <v>110</v>
      </c>
      <c r="C9" s="8" t="s">
        <v>127</v>
      </c>
      <c r="D9" s="8"/>
      <c r="E9" s="8"/>
      <c r="F9" s="8">
        <v>2</v>
      </c>
      <c r="G9" s="8" t="s">
        <v>8</v>
      </c>
      <c r="H9" s="8">
        <v>2</v>
      </c>
      <c r="J9" t="s">
        <v>24</v>
      </c>
      <c r="K9">
        <v>1</v>
      </c>
      <c r="L9" t="s">
        <v>15</v>
      </c>
      <c r="M9" t="s">
        <v>156</v>
      </c>
    </row>
    <row r="10" spans="1:24" x14ac:dyDescent="0.25">
      <c r="A10" s="8" t="s">
        <v>109</v>
      </c>
      <c r="B10" s="9" t="s">
        <v>114</v>
      </c>
      <c r="C10" s="8"/>
      <c r="D10" s="8"/>
      <c r="E10" s="8"/>
      <c r="F10" s="8">
        <v>1</v>
      </c>
      <c r="G10" s="8" t="s">
        <v>8</v>
      </c>
      <c r="H10" s="8">
        <v>2</v>
      </c>
      <c r="J10" t="s">
        <v>25</v>
      </c>
      <c r="K10">
        <v>1</v>
      </c>
      <c r="L10" t="s">
        <v>15</v>
      </c>
      <c r="M10" t="s">
        <v>156</v>
      </c>
    </row>
    <row r="11" spans="1:24" x14ac:dyDescent="0.25">
      <c r="A11" s="8" t="s">
        <v>242</v>
      </c>
      <c r="B11" s="9"/>
      <c r="C11" s="8"/>
      <c r="D11" s="8" t="s">
        <v>96</v>
      </c>
      <c r="E11" s="8"/>
      <c r="F11" s="8">
        <v>1</v>
      </c>
      <c r="G11" s="8" t="s">
        <v>8</v>
      </c>
      <c r="H11" s="8">
        <v>2</v>
      </c>
      <c r="J11" t="s">
        <v>26</v>
      </c>
      <c r="K11">
        <v>4</v>
      </c>
      <c r="L11" t="s">
        <v>15</v>
      </c>
      <c r="M11" t="s">
        <v>156</v>
      </c>
    </row>
    <row r="12" spans="1:24" x14ac:dyDescent="0.25">
      <c r="A12" s="8" t="s">
        <v>105</v>
      </c>
      <c r="B12" s="9"/>
      <c r="C12" s="8" t="s">
        <v>107</v>
      </c>
      <c r="D12" s="8"/>
      <c r="E12" s="8"/>
      <c r="F12" s="8">
        <v>5</v>
      </c>
      <c r="G12" s="8" t="s">
        <v>8</v>
      </c>
      <c r="H12" s="8">
        <v>2</v>
      </c>
      <c r="J12" t="s">
        <v>23</v>
      </c>
      <c r="K12">
        <v>1</v>
      </c>
      <c r="L12" t="s">
        <v>15</v>
      </c>
      <c r="M12" t="s">
        <v>156</v>
      </c>
    </row>
    <row r="13" spans="1:24" x14ac:dyDescent="0.25">
      <c r="A13" s="8" t="s">
        <v>111</v>
      </c>
      <c r="B13" s="9" t="s">
        <v>112</v>
      </c>
      <c r="C13" s="8"/>
      <c r="D13" s="8"/>
      <c r="E13" s="8"/>
      <c r="F13" s="8">
        <v>1</v>
      </c>
      <c r="G13" s="8" t="s">
        <v>8</v>
      </c>
      <c r="H13" s="8">
        <v>2</v>
      </c>
      <c r="J13" t="s">
        <v>148</v>
      </c>
      <c r="K13">
        <v>10</v>
      </c>
      <c r="L13" t="s">
        <v>546</v>
      </c>
      <c r="M13" t="s">
        <v>481</v>
      </c>
    </row>
    <row r="14" spans="1:24" x14ac:dyDescent="0.25">
      <c r="A14" s="8" t="s">
        <v>243</v>
      </c>
      <c r="B14" s="9" t="s">
        <v>98</v>
      </c>
      <c r="C14" s="8"/>
      <c r="D14" s="8" t="s">
        <v>99</v>
      </c>
      <c r="E14" s="8"/>
      <c r="F14" s="8">
        <v>1</v>
      </c>
      <c r="G14" s="8" t="s">
        <v>8</v>
      </c>
      <c r="H14" s="8">
        <v>2</v>
      </c>
      <c r="J14" t="s">
        <v>149</v>
      </c>
      <c r="K14">
        <v>4</v>
      </c>
      <c r="L14" t="s">
        <v>546</v>
      </c>
      <c r="M14" t="s">
        <v>481</v>
      </c>
    </row>
    <row r="15" spans="1:24" x14ac:dyDescent="0.25">
      <c r="A15" s="8" t="s">
        <v>244</v>
      </c>
      <c r="B15" s="9" t="s">
        <v>98</v>
      </c>
      <c r="C15" s="8"/>
      <c r="D15" s="8"/>
      <c r="E15" s="8"/>
      <c r="F15" s="8">
        <v>1</v>
      </c>
      <c r="G15" s="8" t="s">
        <v>8</v>
      </c>
      <c r="H15" s="8">
        <v>2</v>
      </c>
      <c r="J15" t="s">
        <v>150</v>
      </c>
      <c r="K15">
        <v>3</v>
      </c>
      <c r="L15" t="s">
        <v>546</v>
      </c>
      <c r="M15" t="s">
        <v>481</v>
      </c>
    </row>
    <row r="16" spans="1:24" x14ac:dyDescent="0.25">
      <c r="A16" s="8" t="s">
        <v>116</v>
      </c>
      <c r="B16" s="9"/>
      <c r="C16" s="8" t="s">
        <v>117</v>
      </c>
      <c r="D16" s="8"/>
      <c r="E16" s="8"/>
      <c r="F16" s="8">
        <v>1</v>
      </c>
      <c r="G16" s="8" t="s">
        <v>8</v>
      </c>
      <c r="H16" s="8">
        <v>3</v>
      </c>
      <c r="J16" t="s">
        <v>196</v>
      </c>
      <c r="K16">
        <v>1</v>
      </c>
      <c r="L16" t="s">
        <v>29</v>
      </c>
      <c r="M16" t="s">
        <v>140</v>
      </c>
    </row>
    <row r="17" spans="1:13" x14ac:dyDescent="0.25">
      <c r="A17" s="8" t="s">
        <v>116</v>
      </c>
      <c r="B17" s="9"/>
      <c r="C17" s="8" t="s">
        <v>38</v>
      </c>
      <c r="D17" s="8"/>
      <c r="E17" s="8"/>
      <c r="F17" s="8">
        <v>1</v>
      </c>
      <c r="G17" s="8" t="s">
        <v>8</v>
      </c>
      <c r="H17" s="8">
        <v>3</v>
      </c>
      <c r="J17" t="s">
        <v>141</v>
      </c>
      <c r="K17">
        <v>0</v>
      </c>
      <c r="L17" t="s">
        <v>29</v>
      </c>
      <c r="M17" t="s">
        <v>140</v>
      </c>
    </row>
    <row r="18" spans="1:13" x14ac:dyDescent="0.25">
      <c r="A18" s="8" t="s">
        <v>89</v>
      </c>
      <c r="B18" s="9"/>
      <c r="C18" s="8"/>
      <c r="D18" s="8"/>
      <c r="E18" s="8"/>
      <c r="F18" s="8">
        <v>3</v>
      </c>
      <c r="G18" s="8" t="s">
        <v>8</v>
      </c>
      <c r="H18" s="8">
        <v>3</v>
      </c>
      <c r="J18" t="s">
        <v>197</v>
      </c>
      <c r="K18">
        <v>0</v>
      </c>
      <c r="L18" t="s">
        <v>29</v>
      </c>
      <c r="M18" t="s">
        <v>156</v>
      </c>
    </row>
    <row r="19" spans="1:13" x14ac:dyDescent="0.25">
      <c r="A19" s="8" t="s">
        <v>86</v>
      </c>
      <c r="B19" s="9"/>
      <c r="C19" s="8" t="s">
        <v>52</v>
      </c>
      <c r="D19" s="8"/>
      <c r="E19" s="8"/>
      <c r="F19" s="8">
        <v>1</v>
      </c>
      <c r="G19" s="8" t="s">
        <v>8</v>
      </c>
      <c r="H19" s="8">
        <v>3</v>
      </c>
      <c r="J19" t="s">
        <v>198</v>
      </c>
      <c r="K19">
        <v>2</v>
      </c>
      <c r="L19" t="s">
        <v>29</v>
      </c>
      <c r="M19" t="s">
        <v>156</v>
      </c>
    </row>
    <row r="20" spans="1:13" x14ac:dyDescent="0.25">
      <c r="A20" s="8" t="s">
        <v>88</v>
      </c>
      <c r="B20" s="9" t="s">
        <v>544</v>
      </c>
      <c r="C20" s="8"/>
      <c r="D20" s="8"/>
      <c r="E20" s="8"/>
      <c r="F20" s="8">
        <v>4</v>
      </c>
      <c r="G20" s="8" t="s">
        <v>8</v>
      </c>
      <c r="H20" s="8">
        <v>3</v>
      </c>
      <c r="J20" t="s">
        <v>199</v>
      </c>
      <c r="K20">
        <v>0</v>
      </c>
      <c r="L20" t="s">
        <v>29</v>
      </c>
      <c r="M20" t="s">
        <v>156</v>
      </c>
    </row>
    <row r="21" spans="1:13" x14ac:dyDescent="0.25">
      <c r="A21" s="8" t="s">
        <v>88</v>
      </c>
      <c r="B21" s="9" t="s">
        <v>115</v>
      </c>
      <c r="C21" s="8"/>
      <c r="D21" s="8"/>
      <c r="E21" s="8"/>
      <c r="F21" s="8">
        <v>1</v>
      </c>
      <c r="G21" s="8" t="s">
        <v>8</v>
      </c>
      <c r="H21" s="8">
        <v>3</v>
      </c>
      <c r="J21" t="s">
        <v>200</v>
      </c>
      <c r="K21">
        <v>1</v>
      </c>
      <c r="L21" t="s">
        <v>29</v>
      </c>
      <c r="M21" t="s">
        <v>156</v>
      </c>
    </row>
    <row r="22" spans="1:13" x14ac:dyDescent="0.25">
      <c r="A22" s="8" t="s">
        <v>90</v>
      </c>
      <c r="B22" s="9" t="s">
        <v>91</v>
      </c>
      <c r="C22" s="8"/>
      <c r="D22" s="8"/>
      <c r="E22" s="8"/>
      <c r="F22" s="8">
        <v>1</v>
      </c>
      <c r="G22" s="8" t="s">
        <v>8</v>
      </c>
      <c r="H22" s="8">
        <v>3</v>
      </c>
      <c r="J22" t="s">
        <v>201</v>
      </c>
      <c r="K22">
        <v>1</v>
      </c>
      <c r="L22" t="s">
        <v>29</v>
      </c>
      <c r="M22" t="s">
        <v>156</v>
      </c>
    </row>
    <row r="23" spans="1:13" x14ac:dyDescent="0.25">
      <c r="A23" s="8" t="s">
        <v>83</v>
      </c>
      <c r="B23" s="9" t="s">
        <v>245</v>
      </c>
      <c r="C23" s="8"/>
      <c r="D23" s="8"/>
      <c r="E23" s="8"/>
      <c r="F23" s="8">
        <v>1</v>
      </c>
      <c r="G23" s="8" t="s">
        <v>8</v>
      </c>
      <c r="H23" s="8">
        <v>4</v>
      </c>
      <c r="J23" t="s">
        <v>26</v>
      </c>
      <c r="K23">
        <v>0</v>
      </c>
      <c r="L23" t="s">
        <v>29</v>
      </c>
      <c r="M23" t="s">
        <v>156</v>
      </c>
    </row>
    <row r="24" spans="1:13" x14ac:dyDescent="0.25">
      <c r="A24" s="8" t="s">
        <v>80</v>
      </c>
      <c r="B24" s="9" t="s">
        <v>81</v>
      </c>
      <c r="C24" s="8"/>
      <c r="D24" s="8" t="s">
        <v>82</v>
      </c>
      <c r="E24" s="8">
        <v>25</v>
      </c>
      <c r="F24" s="8">
        <v>1</v>
      </c>
      <c r="G24" s="8" t="s">
        <v>8</v>
      </c>
      <c r="H24" s="8">
        <v>4</v>
      </c>
      <c r="J24" t="s">
        <v>202</v>
      </c>
      <c r="K24">
        <v>4</v>
      </c>
      <c r="L24" t="s">
        <v>29</v>
      </c>
      <c r="M24" t="s">
        <v>156</v>
      </c>
    </row>
    <row r="25" spans="1:13" ht="30" x14ac:dyDescent="0.25">
      <c r="A25" s="8" t="s">
        <v>80</v>
      </c>
      <c r="B25" s="9" t="s">
        <v>84</v>
      </c>
      <c r="C25" s="8"/>
      <c r="D25" s="8"/>
      <c r="E25" s="8"/>
      <c r="F25" s="8">
        <v>1</v>
      </c>
      <c r="G25" s="8" t="s">
        <v>8</v>
      </c>
      <c r="H25" s="8">
        <v>4</v>
      </c>
      <c r="J25" t="s">
        <v>203</v>
      </c>
      <c r="K25">
        <v>1</v>
      </c>
      <c r="L25" t="s">
        <v>29</v>
      </c>
      <c r="M25" t="s">
        <v>156</v>
      </c>
    </row>
    <row r="26" spans="1:13" x14ac:dyDescent="0.25">
      <c r="A26" s="8" t="s">
        <v>241</v>
      </c>
      <c r="B26" s="9" t="s">
        <v>94</v>
      </c>
      <c r="C26" s="8"/>
      <c r="D26" s="8"/>
      <c r="E26" s="8"/>
      <c r="F26" s="8">
        <v>1</v>
      </c>
      <c r="G26" s="8" t="s">
        <v>8</v>
      </c>
      <c r="H26" s="8">
        <v>4</v>
      </c>
      <c r="J26" t="s">
        <v>204</v>
      </c>
      <c r="K26">
        <v>1</v>
      </c>
      <c r="L26" t="s">
        <v>29</v>
      </c>
      <c r="M26" t="s">
        <v>156</v>
      </c>
    </row>
    <row r="27" spans="1:13" ht="75" x14ac:dyDescent="0.25">
      <c r="A27" s="8" t="s">
        <v>92</v>
      </c>
      <c r="B27" s="9" t="str">
        <f>bolso("Caja de herramientas 1",Table6[])</f>
        <v xml:space="preserve">Caja de herramientas 1 Contiene:  Pico de loro x2,  Martillo x2,  Alicate x1,  Tijera para chapa x1,  llave fija 17mm x1,  pinza de punta x1,  llave stilson x1,  Llave union x4,  pinza x1, </v>
      </c>
      <c r="C27" s="8"/>
      <c r="D27" s="8" t="s">
        <v>27</v>
      </c>
      <c r="E27" s="8" t="s">
        <v>27</v>
      </c>
      <c r="F27" s="8">
        <v>1</v>
      </c>
      <c r="G27" s="8" t="s">
        <v>5</v>
      </c>
      <c r="H27" s="8">
        <v>1</v>
      </c>
      <c r="J27" t="s">
        <v>205</v>
      </c>
      <c r="K27">
        <v>1</v>
      </c>
      <c r="L27" t="s">
        <v>29</v>
      </c>
      <c r="M27" t="s">
        <v>156</v>
      </c>
    </row>
    <row r="28" spans="1:13" x14ac:dyDescent="0.25">
      <c r="A28" s="8" t="s">
        <v>32</v>
      </c>
      <c r="B28" s="9" t="s">
        <v>71</v>
      </c>
      <c r="C28" s="8" t="s">
        <v>33</v>
      </c>
      <c r="D28" s="8" t="s">
        <v>27</v>
      </c>
      <c r="E28" s="8">
        <v>2130600061</v>
      </c>
      <c r="F28" s="8">
        <v>2</v>
      </c>
      <c r="G28" s="8" t="s">
        <v>5</v>
      </c>
      <c r="H28" s="8">
        <v>1</v>
      </c>
      <c r="J28" t="s">
        <v>206</v>
      </c>
      <c r="K28">
        <v>1</v>
      </c>
      <c r="L28" t="s">
        <v>29</v>
      </c>
      <c r="M28" t="s">
        <v>156</v>
      </c>
    </row>
    <row r="29" spans="1:13" x14ac:dyDescent="0.25">
      <c r="A29" s="8" t="s">
        <v>32</v>
      </c>
      <c r="B29" s="9" t="s">
        <v>74</v>
      </c>
      <c r="C29" s="8" t="s">
        <v>33</v>
      </c>
      <c r="D29" s="8" t="s">
        <v>27</v>
      </c>
      <c r="E29" s="8" t="s">
        <v>27</v>
      </c>
      <c r="F29" s="8">
        <v>1</v>
      </c>
      <c r="G29" s="8" t="s">
        <v>5</v>
      </c>
      <c r="H29" s="8">
        <v>1</v>
      </c>
      <c r="J29" t="s">
        <v>207</v>
      </c>
      <c r="K29">
        <v>2</v>
      </c>
      <c r="L29" t="s">
        <v>29</v>
      </c>
      <c r="M29" t="s">
        <v>156</v>
      </c>
    </row>
    <row r="30" spans="1:13" x14ac:dyDescent="0.25">
      <c r="A30" s="8" t="s">
        <v>32</v>
      </c>
      <c r="B30" s="9" t="s">
        <v>71</v>
      </c>
      <c r="C30" s="8" t="s">
        <v>72</v>
      </c>
      <c r="D30" s="8" t="s">
        <v>27</v>
      </c>
      <c r="E30" s="8" t="s">
        <v>78</v>
      </c>
      <c r="F30" s="8">
        <v>1</v>
      </c>
      <c r="G30" s="8" t="s">
        <v>5</v>
      </c>
      <c r="H30" s="8">
        <v>1</v>
      </c>
      <c r="J30" t="s">
        <v>208</v>
      </c>
      <c r="K30">
        <v>1</v>
      </c>
      <c r="L30" t="s">
        <v>29</v>
      </c>
      <c r="M30" t="s">
        <v>156</v>
      </c>
    </row>
    <row r="31" spans="1:13" x14ac:dyDescent="0.25">
      <c r="A31" s="8" t="s">
        <v>73</v>
      </c>
      <c r="B31" s="9" t="s">
        <v>71</v>
      </c>
      <c r="C31" s="8" t="s">
        <v>72</v>
      </c>
      <c r="D31" s="8" t="s">
        <v>27</v>
      </c>
      <c r="E31" s="8" t="s">
        <v>27</v>
      </c>
      <c r="F31" s="8">
        <v>1</v>
      </c>
      <c r="G31" s="8" t="s">
        <v>5</v>
      </c>
      <c r="H31" s="8">
        <v>1</v>
      </c>
      <c r="J31" t="s">
        <v>209</v>
      </c>
      <c r="K31">
        <v>1</v>
      </c>
      <c r="L31" t="s">
        <v>29</v>
      </c>
      <c r="M31" t="s">
        <v>156</v>
      </c>
    </row>
    <row r="32" spans="1:13" x14ac:dyDescent="0.25">
      <c r="A32" s="8" t="s">
        <v>11</v>
      </c>
      <c r="B32" s="9" t="s">
        <v>75</v>
      </c>
      <c r="C32" s="8" t="s">
        <v>30</v>
      </c>
      <c r="D32" s="8" t="s">
        <v>27</v>
      </c>
      <c r="E32" s="8" t="s">
        <v>27</v>
      </c>
      <c r="F32" s="8">
        <v>3</v>
      </c>
      <c r="G32" s="8" t="s">
        <v>5</v>
      </c>
      <c r="H32" s="8">
        <v>1</v>
      </c>
      <c r="J32" t="s">
        <v>547</v>
      </c>
      <c r="L32" t="s">
        <v>545</v>
      </c>
      <c r="M32" t="s">
        <v>481</v>
      </c>
    </row>
    <row r="33" spans="1:8" x14ac:dyDescent="0.25">
      <c r="A33" s="8" t="s">
        <v>11</v>
      </c>
      <c r="B33" s="9" t="s">
        <v>548</v>
      </c>
      <c r="C33" s="8" t="s">
        <v>123</v>
      </c>
      <c r="D33" s="8" t="s">
        <v>27</v>
      </c>
      <c r="E33" s="8" t="s">
        <v>27</v>
      </c>
      <c r="F33" s="8">
        <v>1</v>
      </c>
      <c r="G33" s="8" t="s">
        <v>5</v>
      </c>
      <c r="H33" s="8">
        <v>1</v>
      </c>
    </row>
    <row r="34" spans="1:8" x14ac:dyDescent="0.25">
      <c r="A34" s="8" t="s">
        <v>11</v>
      </c>
      <c r="B34" s="9" t="s">
        <v>76</v>
      </c>
      <c r="C34" s="8" t="s">
        <v>77</v>
      </c>
      <c r="D34" s="8" t="s">
        <v>27</v>
      </c>
      <c r="E34" s="8" t="s">
        <v>27</v>
      </c>
      <c r="F34" s="8">
        <v>1</v>
      </c>
      <c r="G34" s="8" t="s">
        <v>5</v>
      </c>
      <c r="H34" s="8">
        <v>1</v>
      </c>
    </row>
    <row r="35" spans="1:8" x14ac:dyDescent="0.25">
      <c r="A35" s="8" t="s">
        <v>11</v>
      </c>
      <c r="B35" s="9" t="s">
        <v>246</v>
      </c>
      <c r="C35" s="8" t="s">
        <v>79</v>
      </c>
      <c r="D35" s="8" t="s">
        <v>27</v>
      </c>
      <c r="E35" s="8" t="s">
        <v>27</v>
      </c>
      <c r="F35" s="8">
        <v>1</v>
      </c>
      <c r="G35" s="8" t="s">
        <v>5</v>
      </c>
      <c r="H35" s="8">
        <v>1</v>
      </c>
    </row>
    <row r="36" spans="1:8" x14ac:dyDescent="0.25">
      <c r="A36" s="8" t="s">
        <v>43</v>
      </c>
      <c r="B36" s="9" t="s">
        <v>68</v>
      </c>
      <c r="C36" s="8" t="s">
        <v>66</v>
      </c>
      <c r="D36" s="8" t="s">
        <v>27</v>
      </c>
      <c r="E36" s="8" t="s">
        <v>27</v>
      </c>
      <c r="F36" s="8">
        <v>1</v>
      </c>
      <c r="G36" s="8" t="s">
        <v>6</v>
      </c>
      <c r="H36" s="8">
        <v>1</v>
      </c>
    </row>
    <row r="37" spans="1:8" x14ac:dyDescent="0.25">
      <c r="A37" s="8" t="s">
        <v>43</v>
      </c>
      <c r="B37" s="9"/>
      <c r="C37" s="8" t="s">
        <v>66</v>
      </c>
      <c r="D37" s="8" t="s">
        <v>27</v>
      </c>
      <c r="E37" s="8" t="s">
        <v>27</v>
      </c>
      <c r="F37" s="8">
        <v>1</v>
      </c>
      <c r="G37" s="8" t="s">
        <v>6</v>
      </c>
      <c r="H37" s="8">
        <v>1</v>
      </c>
    </row>
    <row r="38" spans="1:8" x14ac:dyDescent="0.25">
      <c r="A38" s="8" t="s">
        <v>46</v>
      </c>
      <c r="B38" s="9"/>
      <c r="C38" s="8"/>
      <c r="D38" s="8" t="s">
        <v>47</v>
      </c>
      <c r="E38" s="8" t="s">
        <v>27</v>
      </c>
      <c r="F38" s="8">
        <v>1</v>
      </c>
      <c r="G38" s="8" t="s">
        <v>6</v>
      </c>
      <c r="H38" s="8">
        <v>1</v>
      </c>
    </row>
    <row r="39" spans="1:8" x14ac:dyDescent="0.25">
      <c r="A39" s="8" t="s">
        <v>53</v>
      </c>
      <c r="B39" s="9" t="s">
        <v>238</v>
      </c>
      <c r="C39" s="8"/>
      <c r="D39" s="8" t="s">
        <v>27</v>
      </c>
      <c r="E39" s="8" t="s">
        <v>27</v>
      </c>
      <c r="F39" s="8">
        <v>5</v>
      </c>
      <c r="G39" s="8" t="s">
        <v>6</v>
      </c>
      <c r="H39" s="8">
        <v>1</v>
      </c>
    </row>
    <row r="40" spans="1:8" x14ac:dyDescent="0.25">
      <c r="A40" s="8" t="s">
        <v>61</v>
      </c>
      <c r="B40" s="9" t="s">
        <v>62</v>
      </c>
      <c r="C40" s="8" t="s">
        <v>63</v>
      </c>
      <c r="D40" s="8" t="s">
        <v>27</v>
      </c>
      <c r="E40" s="8" t="s">
        <v>27</v>
      </c>
      <c r="F40" s="8">
        <v>1</v>
      </c>
      <c r="G40" s="8" t="s">
        <v>6</v>
      </c>
      <c r="H40" s="8">
        <v>1</v>
      </c>
    </row>
    <row r="41" spans="1:8" ht="30" x14ac:dyDescent="0.25">
      <c r="A41" s="8" t="s">
        <v>32</v>
      </c>
      <c r="B41" s="9" t="s">
        <v>51</v>
      </c>
      <c r="C41" s="8" t="s">
        <v>52</v>
      </c>
      <c r="D41" s="8" t="s">
        <v>27</v>
      </c>
      <c r="E41" s="8" t="s">
        <v>27</v>
      </c>
      <c r="F41" s="8">
        <v>1</v>
      </c>
      <c r="G41" s="8" t="s">
        <v>6</v>
      </c>
      <c r="H41" s="8">
        <v>1</v>
      </c>
    </row>
    <row r="42" spans="1:8" x14ac:dyDescent="0.25">
      <c r="A42" s="8" t="s">
        <v>59</v>
      </c>
      <c r="B42" s="9" t="s">
        <v>60</v>
      </c>
      <c r="C42" s="8" t="s">
        <v>33</v>
      </c>
      <c r="D42" s="8" t="s">
        <v>27</v>
      </c>
      <c r="E42" s="8" t="s">
        <v>27</v>
      </c>
      <c r="F42" s="8">
        <v>1</v>
      </c>
      <c r="G42" s="8" t="s">
        <v>6</v>
      </c>
      <c r="H42" s="8">
        <v>1</v>
      </c>
    </row>
    <row r="43" spans="1:8" x14ac:dyDescent="0.25">
      <c r="A43" s="8" t="s">
        <v>44</v>
      </c>
      <c r="B43" s="9"/>
      <c r="C43" s="8" t="s">
        <v>70</v>
      </c>
      <c r="D43" s="8" t="s">
        <v>27</v>
      </c>
      <c r="E43" s="8" t="s">
        <v>27</v>
      </c>
      <c r="F43" s="8">
        <v>1</v>
      </c>
      <c r="G43" s="8" t="s">
        <v>6</v>
      </c>
      <c r="H43" s="8">
        <v>1</v>
      </c>
    </row>
    <row r="44" spans="1:8" x14ac:dyDescent="0.25">
      <c r="A44" s="8" t="s">
        <v>44</v>
      </c>
      <c r="B44" s="9"/>
      <c r="C44" s="8" t="s">
        <v>69</v>
      </c>
      <c r="D44" s="8" t="s">
        <v>27</v>
      </c>
      <c r="E44" s="8" t="s">
        <v>27</v>
      </c>
      <c r="F44" s="8">
        <v>1</v>
      </c>
      <c r="G44" s="8" t="s">
        <v>6</v>
      </c>
      <c r="H44" s="8">
        <v>1</v>
      </c>
    </row>
    <row r="45" spans="1:8" x14ac:dyDescent="0.25">
      <c r="A45" s="8" t="s">
        <v>44</v>
      </c>
      <c r="B45" s="9"/>
      <c r="C45" s="8" t="s">
        <v>45</v>
      </c>
      <c r="D45" s="8" t="s">
        <v>27</v>
      </c>
      <c r="E45" s="8" t="s">
        <v>27</v>
      </c>
      <c r="F45" s="8">
        <v>2</v>
      </c>
      <c r="G45" s="8" t="s">
        <v>6</v>
      </c>
      <c r="H45" s="8">
        <v>1</v>
      </c>
    </row>
    <row r="46" spans="1:8" x14ac:dyDescent="0.25">
      <c r="A46" s="8" t="s">
        <v>44</v>
      </c>
      <c r="B46" s="9"/>
      <c r="C46" s="8" t="s">
        <v>67</v>
      </c>
      <c r="D46" s="8" t="s">
        <v>27</v>
      </c>
      <c r="E46" s="8" t="s">
        <v>27</v>
      </c>
      <c r="F46" s="8">
        <v>2</v>
      </c>
      <c r="G46" s="8" t="s">
        <v>6</v>
      </c>
      <c r="H46" s="8">
        <v>1</v>
      </c>
    </row>
    <row r="47" spans="1:8" x14ac:dyDescent="0.25">
      <c r="A47" s="8" t="s">
        <v>11</v>
      </c>
      <c r="B47" s="9" t="s">
        <v>57</v>
      </c>
      <c r="C47" s="8" t="s">
        <v>58</v>
      </c>
      <c r="D47" s="8" t="s">
        <v>27</v>
      </c>
      <c r="E47" s="8" t="s">
        <v>27</v>
      </c>
      <c r="F47" s="8">
        <v>1</v>
      </c>
      <c r="G47" s="8" t="s">
        <v>6</v>
      </c>
      <c r="H47" s="8">
        <v>1</v>
      </c>
    </row>
    <row r="48" spans="1:8" x14ac:dyDescent="0.25">
      <c r="A48" s="8" t="s">
        <v>11</v>
      </c>
      <c r="B48" s="9" t="s">
        <v>49</v>
      </c>
      <c r="C48" s="8" t="s">
        <v>31</v>
      </c>
      <c r="D48" s="8" t="s">
        <v>27</v>
      </c>
      <c r="E48" s="8" t="s">
        <v>27</v>
      </c>
      <c r="F48" s="8">
        <v>4</v>
      </c>
      <c r="G48" s="8" t="s">
        <v>6</v>
      </c>
      <c r="H48" s="8">
        <v>1</v>
      </c>
    </row>
    <row r="49" spans="1:8" x14ac:dyDescent="0.25">
      <c r="A49" s="8" t="s">
        <v>54</v>
      </c>
      <c r="B49" s="9"/>
      <c r="C49" s="8" t="s">
        <v>55</v>
      </c>
      <c r="D49" s="8" t="s">
        <v>56</v>
      </c>
      <c r="E49" s="8">
        <v>30674</v>
      </c>
      <c r="F49" s="8">
        <v>1</v>
      </c>
      <c r="G49" s="8" t="s">
        <v>6</v>
      </c>
      <c r="H49" s="8">
        <v>1</v>
      </c>
    </row>
    <row r="50" spans="1:8" x14ac:dyDescent="0.25">
      <c r="A50" s="8" t="s">
        <v>109</v>
      </c>
      <c r="B50" s="9" t="s">
        <v>124</v>
      </c>
      <c r="C50" s="8" t="s">
        <v>125</v>
      </c>
      <c r="D50" s="8"/>
      <c r="E50" s="8"/>
      <c r="F50" s="8">
        <v>2</v>
      </c>
      <c r="G50" s="8" t="s">
        <v>9</v>
      </c>
      <c r="H50" s="8">
        <v>1</v>
      </c>
    </row>
    <row r="51" spans="1:8" x14ac:dyDescent="0.25">
      <c r="A51" s="8" t="s">
        <v>109</v>
      </c>
      <c r="B51" s="9" t="s">
        <v>124</v>
      </c>
      <c r="C51" s="8" t="s">
        <v>126</v>
      </c>
      <c r="D51" s="8"/>
      <c r="E51" s="8"/>
      <c r="F51" s="8">
        <v>1</v>
      </c>
      <c r="G51" s="8" t="s">
        <v>9</v>
      </c>
      <c r="H51" s="8">
        <v>1</v>
      </c>
    </row>
    <row r="52" spans="1:8" x14ac:dyDescent="0.25">
      <c r="A52" s="8" t="s">
        <v>135</v>
      </c>
      <c r="B52" s="9" t="s">
        <v>136</v>
      </c>
      <c r="C52" s="8"/>
      <c r="D52" s="8" t="s">
        <v>137</v>
      </c>
      <c r="E52" s="8" t="s">
        <v>138</v>
      </c>
      <c r="F52" s="8">
        <v>1</v>
      </c>
      <c r="G52" s="8" t="s">
        <v>9</v>
      </c>
      <c r="H52" s="8">
        <v>1</v>
      </c>
    </row>
    <row r="53" spans="1:8" x14ac:dyDescent="0.25">
      <c r="A53" s="8" t="s">
        <v>132</v>
      </c>
      <c r="B53" s="9" t="s">
        <v>133</v>
      </c>
      <c r="C53" s="8" t="s">
        <v>63</v>
      </c>
      <c r="D53" s="8" t="s">
        <v>134</v>
      </c>
      <c r="E53" s="8">
        <v>1078949</v>
      </c>
      <c r="F53" s="8">
        <v>1</v>
      </c>
      <c r="G53" s="8" t="s">
        <v>9</v>
      </c>
      <c r="H53" s="8">
        <v>1</v>
      </c>
    </row>
    <row r="54" spans="1:8" x14ac:dyDescent="0.25">
      <c r="A54" s="8" t="s">
        <v>11</v>
      </c>
      <c r="B54" s="9" t="s">
        <v>118</v>
      </c>
      <c r="C54" s="8" t="s">
        <v>119</v>
      </c>
      <c r="D54" s="8"/>
      <c r="E54" s="8"/>
      <c r="F54" s="8">
        <v>2</v>
      </c>
      <c r="G54" s="8" t="s">
        <v>9</v>
      </c>
      <c r="H54" s="8">
        <v>1</v>
      </c>
    </row>
    <row r="55" spans="1:8" x14ac:dyDescent="0.25">
      <c r="A55" s="8" t="s">
        <v>11</v>
      </c>
      <c r="B55" s="9" t="s">
        <v>57</v>
      </c>
      <c r="C55" s="8" t="s">
        <v>79</v>
      </c>
      <c r="D55" s="8"/>
      <c r="E55" s="8"/>
      <c r="F55" s="8">
        <v>4</v>
      </c>
      <c r="G55" s="8" t="s">
        <v>9</v>
      </c>
      <c r="H55" s="8">
        <v>1</v>
      </c>
    </row>
    <row r="56" spans="1:8" x14ac:dyDescent="0.25">
      <c r="A56" s="8" t="s">
        <v>11</v>
      </c>
      <c r="B56" s="9" t="s">
        <v>120</v>
      </c>
      <c r="C56" s="8" t="s">
        <v>121</v>
      </c>
      <c r="D56" s="8"/>
      <c r="E56" s="8"/>
      <c r="F56" s="8">
        <v>1</v>
      </c>
      <c r="G56" s="8" t="s">
        <v>9</v>
      </c>
      <c r="H56" s="8">
        <v>1</v>
      </c>
    </row>
    <row r="57" spans="1:8" x14ac:dyDescent="0.25">
      <c r="A57" s="8" t="s">
        <v>11</v>
      </c>
      <c r="B57" s="9" t="s">
        <v>122</v>
      </c>
      <c r="C57" s="8" t="s">
        <v>123</v>
      </c>
      <c r="D57" s="8"/>
      <c r="E57" s="8"/>
      <c r="F57" s="8">
        <v>1</v>
      </c>
      <c r="G57" s="8" t="s">
        <v>9</v>
      </c>
      <c r="H57" s="8">
        <v>2</v>
      </c>
    </row>
    <row r="58" spans="1:8" x14ac:dyDescent="0.25">
      <c r="A58" s="8" t="s">
        <v>11</v>
      </c>
      <c r="B58" s="9" t="s">
        <v>120</v>
      </c>
      <c r="C58" s="8" t="s">
        <v>123</v>
      </c>
      <c r="D58" s="8"/>
      <c r="E58" s="8"/>
      <c r="F58" s="8">
        <v>1</v>
      </c>
      <c r="G58" s="8" t="s">
        <v>9</v>
      </c>
      <c r="H58" s="8">
        <v>1</v>
      </c>
    </row>
    <row r="59" spans="1:8" x14ac:dyDescent="0.25">
      <c r="A59" s="8" t="s">
        <v>173</v>
      </c>
      <c r="B59" s="9"/>
      <c r="C59" s="8" t="s">
        <v>63</v>
      </c>
      <c r="D59" s="8"/>
      <c r="E59" s="8"/>
      <c r="F59" s="8">
        <v>1</v>
      </c>
      <c r="G59" s="8" t="s">
        <v>10</v>
      </c>
      <c r="H59" s="8">
        <v>1</v>
      </c>
    </row>
    <row r="60" spans="1:8" x14ac:dyDescent="0.25">
      <c r="A60" s="8" t="s">
        <v>174</v>
      </c>
      <c r="B60" s="9"/>
      <c r="C60" s="8" t="s">
        <v>236</v>
      </c>
      <c r="D60" s="8"/>
      <c r="E60" s="8"/>
      <c r="F60" s="8">
        <v>1</v>
      </c>
      <c r="G60" s="8" t="s">
        <v>10</v>
      </c>
      <c r="H60" s="8">
        <v>1</v>
      </c>
    </row>
    <row r="61" spans="1:8" x14ac:dyDescent="0.25">
      <c r="A61" s="8" t="s">
        <v>156</v>
      </c>
      <c r="B61" s="9" t="s">
        <v>176</v>
      </c>
      <c r="C61" s="8"/>
      <c r="D61" s="8"/>
      <c r="E61" s="8"/>
      <c r="F61" s="8">
        <v>1</v>
      </c>
      <c r="G61" s="8" t="s">
        <v>10</v>
      </c>
      <c r="H61" s="8">
        <v>1</v>
      </c>
    </row>
    <row r="62" spans="1:8" x14ac:dyDescent="0.25">
      <c r="A62" s="8" t="s">
        <v>156</v>
      </c>
      <c r="B62" s="9" t="s">
        <v>177</v>
      </c>
      <c r="C62" s="8"/>
      <c r="D62" s="8"/>
      <c r="E62" s="8"/>
      <c r="F62" s="8">
        <v>2</v>
      </c>
      <c r="G62" s="8" t="s">
        <v>10</v>
      </c>
      <c r="H62" s="8">
        <v>1</v>
      </c>
    </row>
    <row r="63" spans="1:8" x14ac:dyDescent="0.25">
      <c r="A63" s="8" t="s">
        <v>156</v>
      </c>
      <c r="B63" s="9" t="s">
        <v>178</v>
      </c>
      <c r="C63" s="8"/>
      <c r="D63" s="8"/>
      <c r="E63" s="8"/>
      <c r="F63" s="8">
        <v>1</v>
      </c>
      <c r="G63" s="8" t="s">
        <v>10</v>
      </c>
      <c r="H63" s="8">
        <v>1</v>
      </c>
    </row>
    <row r="64" spans="1:8" x14ac:dyDescent="0.25">
      <c r="A64" s="8" t="s">
        <v>12</v>
      </c>
      <c r="B64" s="9" t="s">
        <v>180</v>
      </c>
      <c r="C64" s="8"/>
      <c r="D64" s="8" t="s">
        <v>181</v>
      </c>
      <c r="E64" s="8" t="s">
        <v>183</v>
      </c>
      <c r="F64" s="8">
        <v>1</v>
      </c>
      <c r="G64" s="8" t="s">
        <v>10</v>
      </c>
      <c r="H64" s="8">
        <v>1</v>
      </c>
    </row>
    <row r="65" spans="1:8" x14ac:dyDescent="0.25">
      <c r="A65" s="8" t="s">
        <v>12</v>
      </c>
      <c r="B65" s="9" t="s">
        <v>179</v>
      </c>
      <c r="C65" s="8" t="s">
        <v>184</v>
      </c>
      <c r="D65" s="8" t="s">
        <v>186</v>
      </c>
      <c r="E65" s="8" t="s">
        <v>185</v>
      </c>
      <c r="F65" s="8">
        <v>1</v>
      </c>
      <c r="G65" s="8" t="s">
        <v>10</v>
      </c>
      <c r="H65" s="8">
        <v>1</v>
      </c>
    </row>
    <row r="66" spans="1:8" x14ac:dyDescent="0.25">
      <c r="A66" s="8" t="s">
        <v>12</v>
      </c>
      <c r="B66" s="9" t="s">
        <v>179</v>
      </c>
      <c r="C66" s="8" t="s">
        <v>187</v>
      </c>
      <c r="D66" s="8" t="s">
        <v>182</v>
      </c>
      <c r="E66" s="8"/>
      <c r="F66" s="8">
        <v>1</v>
      </c>
      <c r="G66" s="8" t="s">
        <v>10</v>
      </c>
      <c r="H66" s="8">
        <v>1</v>
      </c>
    </row>
    <row r="67" spans="1:8" x14ac:dyDescent="0.25">
      <c r="A67" s="8" t="s">
        <v>175</v>
      </c>
      <c r="B67" s="9"/>
      <c r="C67" s="8" t="s">
        <v>237</v>
      </c>
      <c r="D67" s="8"/>
      <c r="E67" s="8"/>
      <c r="F67" s="8">
        <v>1</v>
      </c>
      <c r="G67" s="8" t="s">
        <v>10</v>
      </c>
      <c r="H67" s="8">
        <v>1</v>
      </c>
    </row>
    <row r="68" spans="1:8" x14ac:dyDescent="0.25">
      <c r="A68" s="8" t="s">
        <v>139</v>
      </c>
      <c r="B68" s="9"/>
      <c r="C68" s="8"/>
      <c r="D68" s="8"/>
      <c r="E68" s="8"/>
      <c r="F68" s="8">
        <v>3</v>
      </c>
      <c r="G68" s="8" t="s">
        <v>10</v>
      </c>
      <c r="H68" s="8">
        <v>2</v>
      </c>
    </row>
    <row r="69" spans="1:8" x14ac:dyDescent="0.25">
      <c r="A69" s="8" t="s">
        <v>92</v>
      </c>
      <c r="B69" s="9" t="str">
        <f>bolso("Caja de tacos",Table6[])</f>
        <v xml:space="preserve">Caja de tacos Contiene: </v>
      </c>
      <c r="C69" s="8"/>
      <c r="D69" s="8"/>
      <c r="E69" s="8"/>
      <c r="F69" s="8">
        <v>1</v>
      </c>
      <c r="G69" s="8" t="s">
        <v>10</v>
      </c>
      <c r="H69" s="8">
        <v>2</v>
      </c>
    </row>
    <row r="70" spans="1:8" x14ac:dyDescent="0.25">
      <c r="A70" s="8" t="s">
        <v>143</v>
      </c>
      <c r="B70" s="9"/>
      <c r="C70" s="8"/>
      <c r="D70" s="8"/>
      <c r="E70" s="8"/>
      <c r="F70" s="8">
        <v>1</v>
      </c>
      <c r="G70" s="8" t="s">
        <v>10</v>
      </c>
      <c r="H70" s="8">
        <v>2</v>
      </c>
    </row>
    <row r="71" spans="1:8" x14ac:dyDescent="0.25">
      <c r="A71" s="8" t="s">
        <v>154</v>
      </c>
      <c r="B71" s="9" t="s">
        <v>155</v>
      </c>
      <c r="C71" s="8"/>
      <c r="D71" s="8"/>
      <c r="E71" s="8"/>
      <c r="F71" s="8">
        <v>1</v>
      </c>
      <c r="G71" s="8" t="s">
        <v>10</v>
      </c>
      <c r="H71" s="8">
        <v>2</v>
      </c>
    </row>
    <row r="72" spans="1:8" x14ac:dyDescent="0.25">
      <c r="A72" s="8" t="s">
        <v>156</v>
      </c>
      <c r="B72" s="9" t="s">
        <v>165</v>
      </c>
      <c r="C72" s="8" t="s">
        <v>166</v>
      </c>
      <c r="D72" s="8"/>
      <c r="E72" s="8"/>
      <c r="F72" s="8">
        <v>1</v>
      </c>
      <c r="G72" s="8" t="s">
        <v>10</v>
      </c>
      <c r="H72" s="8">
        <v>2</v>
      </c>
    </row>
    <row r="73" spans="1:8" x14ac:dyDescent="0.25">
      <c r="A73" s="8" t="s">
        <v>156</v>
      </c>
      <c r="B73" s="9" t="s">
        <v>165</v>
      </c>
      <c r="C73" s="8" t="s">
        <v>167</v>
      </c>
      <c r="D73" s="8"/>
      <c r="E73" s="8"/>
      <c r="F73" s="8">
        <v>1</v>
      </c>
      <c r="G73" s="8" t="s">
        <v>10</v>
      </c>
      <c r="H73" s="8">
        <v>2</v>
      </c>
    </row>
    <row r="74" spans="1:8" x14ac:dyDescent="0.25">
      <c r="A74" s="8" t="s">
        <v>156</v>
      </c>
      <c r="B74" s="9" t="s">
        <v>168</v>
      </c>
      <c r="C74" s="8" t="s">
        <v>158</v>
      </c>
      <c r="D74" s="8"/>
      <c r="E74" s="8"/>
      <c r="F74" s="8">
        <v>1</v>
      </c>
      <c r="G74" s="8" t="s">
        <v>10</v>
      </c>
      <c r="H74" s="8">
        <v>2</v>
      </c>
    </row>
    <row r="75" spans="1:8" x14ac:dyDescent="0.25">
      <c r="A75" s="8" t="s">
        <v>156</v>
      </c>
      <c r="B75" s="9" t="s">
        <v>168</v>
      </c>
      <c r="C75" s="8" t="s">
        <v>166</v>
      </c>
      <c r="D75" s="8"/>
      <c r="E75" s="8"/>
      <c r="F75" s="8">
        <v>1</v>
      </c>
      <c r="G75" s="8" t="s">
        <v>10</v>
      </c>
      <c r="H75" s="8">
        <v>2</v>
      </c>
    </row>
    <row r="76" spans="1:8" x14ac:dyDescent="0.25">
      <c r="A76" s="8" t="s">
        <v>156</v>
      </c>
      <c r="B76" s="9" t="s">
        <v>169</v>
      </c>
      <c r="C76" s="8"/>
      <c r="D76" s="8"/>
      <c r="E76" s="8"/>
      <c r="F76" s="8">
        <v>1</v>
      </c>
      <c r="G76" s="8" t="s">
        <v>10</v>
      </c>
      <c r="H76" s="8">
        <v>2</v>
      </c>
    </row>
    <row r="77" spans="1:8" x14ac:dyDescent="0.25">
      <c r="A77" s="8" t="s">
        <v>156</v>
      </c>
      <c r="B77" s="9" t="s">
        <v>170</v>
      </c>
      <c r="C77" s="8"/>
      <c r="D77" s="8"/>
      <c r="E77" s="8"/>
      <c r="F77" s="8">
        <v>1</v>
      </c>
      <c r="G77" s="8" t="s">
        <v>10</v>
      </c>
      <c r="H77" s="8">
        <v>2</v>
      </c>
    </row>
    <row r="78" spans="1:8" x14ac:dyDescent="0.25">
      <c r="A78" s="8" t="s">
        <v>156</v>
      </c>
      <c r="B78" s="9" t="s">
        <v>171</v>
      </c>
      <c r="C78" s="8"/>
      <c r="D78" s="8"/>
      <c r="E78" s="8"/>
      <c r="F78" s="8">
        <v>1</v>
      </c>
      <c r="G78" s="8" t="s">
        <v>10</v>
      </c>
      <c r="H78" s="8">
        <v>2</v>
      </c>
    </row>
    <row r="79" spans="1:8" x14ac:dyDescent="0.25">
      <c r="A79" s="8" t="s">
        <v>156</v>
      </c>
      <c r="B79" s="9" t="s">
        <v>172</v>
      </c>
      <c r="C79" s="8" t="s">
        <v>166</v>
      </c>
      <c r="D79" s="8"/>
      <c r="E79" s="8"/>
      <c r="F79" s="8">
        <v>1</v>
      </c>
      <c r="G79" s="8" t="s">
        <v>10</v>
      </c>
      <c r="H79" s="8">
        <v>2</v>
      </c>
    </row>
    <row r="80" spans="1:8" x14ac:dyDescent="0.25">
      <c r="A80" s="8" t="s">
        <v>140</v>
      </c>
      <c r="B80" s="9" t="s">
        <v>141</v>
      </c>
      <c r="C80" s="8" t="s">
        <v>142</v>
      </c>
      <c r="D80" s="8"/>
      <c r="E80" s="8"/>
      <c r="F80" s="8">
        <v>1</v>
      </c>
      <c r="G80" s="8" t="s">
        <v>10</v>
      </c>
      <c r="H80" s="8">
        <v>2</v>
      </c>
    </row>
    <row r="81" spans="1:8" x14ac:dyDescent="0.25">
      <c r="A81" s="8" t="s">
        <v>151</v>
      </c>
      <c r="B81" s="9" t="s">
        <v>152</v>
      </c>
      <c r="C81" s="8" t="s">
        <v>153</v>
      </c>
      <c r="D81" s="8"/>
      <c r="E81" s="8"/>
      <c r="F81" s="8">
        <v>1</v>
      </c>
      <c r="G81" s="8" t="s">
        <v>10</v>
      </c>
      <c r="H81" s="8">
        <v>2</v>
      </c>
    </row>
    <row r="82" spans="1:8" x14ac:dyDescent="0.25">
      <c r="A82" s="8" t="s">
        <v>144</v>
      </c>
      <c r="B82" s="9" t="s">
        <v>250</v>
      </c>
      <c r="C82" s="8"/>
      <c r="D82" s="8"/>
      <c r="E82" s="8"/>
      <c r="F82" s="8">
        <v>1</v>
      </c>
      <c r="G82" s="8" t="s">
        <v>10</v>
      </c>
      <c r="H82" s="8">
        <v>2</v>
      </c>
    </row>
    <row r="83" spans="1:8" x14ac:dyDescent="0.25">
      <c r="A83" s="8" t="s">
        <v>144</v>
      </c>
      <c r="B83" s="9" t="s">
        <v>145</v>
      </c>
      <c r="C83" s="8"/>
      <c r="D83" s="8"/>
      <c r="E83" s="8"/>
      <c r="F83" s="8">
        <v>1</v>
      </c>
      <c r="G83" s="8" t="s">
        <v>10</v>
      </c>
      <c r="H83" s="8">
        <v>2</v>
      </c>
    </row>
    <row r="84" spans="1:8" x14ac:dyDescent="0.25">
      <c r="A84" s="8" t="s">
        <v>144</v>
      </c>
      <c r="B84" s="9" t="s">
        <v>251</v>
      </c>
      <c r="C84" s="8"/>
      <c r="D84" s="8"/>
      <c r="E84" s="8"/>
      <c r="F84" s="8">
        <v>1</v>
      </c>
      <c r="G84" s="8" t="s">
        <v>10</v>
      </c>
      <c r="H84" s="8">
        <v>2</v>
      </c>
    </row>
    <row r="85" spans="1:8" x14ac:dyDescent="0.25">
      <c r="A85" s="8" t="s">
        <v>160</v>
      </c>
      <c r="B85" s="9" t="s">
        <v>161</v>
      </c>
      <c r="C85" s="8" t="s">
        <v>162</v>
      </c>
      <c r="D85" s="8" t="s">
        <v>163</v>
      </c>
      <c r="E85" s="8"/>
      <c r="F85" s="8">
        <v>2</v>
      </c>
      <c r="G85" s="8" t="s">
        <v>10</v>
      </c>
      <c r="H85" s="8">
        <v>3</v>
      </c>
    </row>
    <row r="86" spans="1:8" x14ac:dyDescent="0.25">
      <c r="A86" s="8" t="s">
        <v>160</v>
      </c>
      <c r="B86" s="9" t="s">
        <v>164</v>
      </c>
      <c r="C86" s="8" t="s">
        <v>162</v>
      </c>
      <c r="D86" s="8" t="s">
        <v>163</v>
      </c>
      <c r="E86" s="8"/>
      <c r="F86" s="8">
        <v>1</v>
      </c>
      <c r="G86" s="8" t="s">
        <v>10</v>
      </c>
      <c r="H86" s="8">
        <v>3</v>
      </c>
    </row>
    <row r="87" spans="1:8" x14ac:dyDescent="0.25">
      <c r="A87" s="8" t="s">
        <v>156</v>
      </c>
      <c r="B87" s="9" t="s">
        <v>157</v>
      </c>
      <c r="C87" s="8" t="s">
        <v>158</v>
      </c>
      <c r="D87" s="8"/>
      <c r="E87" s="8"/>
      <c r="F87" s="8">
        <v>1</v>
      </c>
      <c r="G87" s="8" t="s">
        <v>10</v>
      </c>
      <c r="H87" s="8">
        <v>3</v>
      </c>
    </row>
    <row r="88" spans="1:8" x14ac:dyDescent="0.25">
      <c r="A88" s="8" t="s">
        <v>156</v>
      </c>
      <c r="B88" s="9" t="s">
        <v>157</v>
      </c>
      <c r="C88" s="8" t="s">
        <v>249</v>
      </c>
      <c r="D88" s="8"/>
      <c r="E88" s="8"/>
      <c r="F88" s="8">
        <v>1</v>
      </c>
      <c r="G88" s="8" t="s">
        <v>10</v>
      </c>
      <c r="H88" s="8">
        <v>3</v>
      </c>
    </row>
    <row r="89" spans="1:8" x14ac:dyDescent="0.25">
      <c r="A89" s="8" t="s">
        <v>156</v>
      </c>
      <c r="B89" s="9" t="s">
        <v>248</v>
      </c>
      <c r="C89" s="8"/>
      <c r="D89" s="8"/>
      <c r="E89" s="8"/>
      <c r="F89" s="8">
        <v>1</v>
      </c>
      <c r="G89" s="8" t="s">
        <v>10</v>
      </c>
      <c r="H89" s="8">
        <v>3</v>
      </c>
    </row>
    <row r="90" spans="1:8" x14ac:dyDescent="0.25">
      <c r="A90" s="8" t="s">
        <v>156</v>
      </c>
      <c r="B90" s="9" t="s">
        <v>159</v>
      </c>
      <c r="C90" s="8"/>
      <c r="D90" s="8"/>
      <c r="E90" s="8"/>
      <c r="F90" s="8">
        <v>1</v>
      </c>
      <c r="G90" s="8" t="s">
        <v>10</v>
      </c>
      <c r="H90" s="8">
        <v>3</v>
      </c>
    </row>
    <row r="91" spans="1:8" x14ac:dyDescent="0.25">
      <c r="A91" s="8" t="s">
        <v>190</v>
      </c>
      <c r="B91" s="9"/>
      <c r="C91" s="8"/>
      <c r="D91" s="8"/>
      <c r="E91" s="8"/>
      <c r="F91" s="8">
        <v>2</v>
      </c>
      <c r="G91" s="8" t="s">
        <v>7</v>
      </c>
      <c r="H91" s="8" t="s">
        <v>233</v>
      </c>
    </row>
    <row r="92" spans="1:8" x14ac:dyDescent="0.25">
      <c r="A92" s="8" t="s">
        <v>156</v>
      </c>
      <c r="B92" s="9" t="s">
        <v>219</v>
      </c>
      <c r="C92" s="8"/>
      <c r="D92" s="8"/>
      <c r="E92" s="8"/>
      <c r="F92" s="8">
        <v>1</v>
      </c>
      <c r="G92" s="8" t="s">
        <v>7</v>
      </c>
      <c r="H92" s="8" t="s">
        <v>233</v>
      </c>
    </row>
    <row r="93" spans="1:8" x14ac:dyDescent="0.25">
      <c r="A93" s="8" t="s">
        <v>221</v>
      </c>
      <c r="B93" s="9" t="s">
        <v>222</v>
      </c>
      <c r="C93" s="8"/>
      <c r="D93" s="8"/>
      <c r="E93" s="8"/>
      <c r="F93" s="8">
        <v>1</v>
      </c>
      <c r="G93" s="8" t="s">
        <v>7</v>
      </c>
      <c r="H93" s="8" t="s">
        <v>233</v>
      </c>
    </row>
    <row r="94" spans="1:8" ht="30" x14ac:dyDescent="0.25">
      <c r="A94" s="8" t="s">
        <v>59</v>
      </c>
      <c r="B94" s="9" t="s">
        <v>252</v>
      </c>
      <c r="C94" s="8"/>
      <c r="D94" s="8"/>
      <c r="E94" s="8"/>
      <c r="F94" s="8">
        <v>1</v>
      </c>
      <c r="G94" s="8" t="s">
        <v>7</v>
      </c>
      <c r="H94" s="8" t="s">
        <v>233</v>
      </c>
    </row>
    <row r="95" spans="1:8" x14ac:dyDescent="0.25">
      <c r="A95" s="8" t="s">
        <v>59</v>
      </c>
      <c r="B95" s="9" t="s">
        <v>220</v>
      </c>
      <c r="C95" s="8"/>
      <c r="D95" s="8"/>
      <c r="E95" s="8"/>
      <c r="F95" s="8">
        <v>1</v>
      </c>
      <c r="G95" s="8" t="s">
        <v>7</v>
      </c>
      <c r="H95" s="8" t="s">
        <v>233</v>
      </c>
    </row>
    <row r="96" spans="1:8" x14ac:dyDescent="0.25">
      <c r="A96" s="8" t="s">
        <v>11</v>
      </c>
      <c r="B96" s="9" t="s">
        <v>223</v>
      </c>
      <c r="C96" s="8" t="s">
        <v>79</v>
      </c>
      <c r="D96" s="8"/>
      <c r="E96" s="8"/>
      <c r="F96" s="8">
        <v>5</v>
      </c>
      <c r="G96" s="8" t="s">
        <v>7</v>
      </c>
      <c r="H96" s="8" t="s">
        <v>233</v>
      </c>
    </row>
    <row r="97" spans="1:8" x14ac:dyDescent="0.25">
      <c r="A97" s="8" t="s">
        <v>11</v>
      </c>
      <c r="B97" s="9" t="s">
        <v>224</v>
      </c>
      <c r="C97" s="8" t="s">
        <v>119</v>
      </c>
      <c r="D97" s="8"/>
      <c r="E97" s="8"/>
      <c r="F97" s="8">
        <v>1</v>
      </c>
      <c r="G97" s="8" t="s">
        <v>7</v>
      </c>
      <c r="H97" s="8" t="s">
        <v>233</v>
      </c>
    </row>
    <row r="98" spans="1:8" x14ac:dyDescent="0.25">
      <c r="A98" s="8" t="s">
        <v>253</v>
      </c>
      <c r="B98" s="9"/>
      <c r="C98" s="8"/>
      <c r="D98" s="8"/>
      <c r="E98" s="8"/>
      <c r="F98" s="8">
        <v>5</v>
      </c>
      <c r="G98" s="8" t="s">
        <v>7</v>
      </c>
      <c r="H98" s="8" t="s">
        <v>233</v>
      </c>
    </row>
    <row r="99" spans="1:8" x14ac:dyDescent="0.25">
      <c r="A99" s="8" t="s">
        <v>191</v>
      </c>
      <c r="B99" s="9"/>
      <c r="C99" s="8"/>
      <c r="D99" s="8"/>
      <c r="E99" s="8"/>
      <c r="F99" s="8">
        <v>1</v>
      </c>
      <c r="G99" s="8" t="s">
        <v>7</v>
      </c>
      <c r="H99" s="8" t="s">
        <v>234</v>
      </c>
    </row>
    <row r="100" spans="1:8" x14ac:dyDescent="0.25">
      <c r="A100" s="8" t="s">
        <v>226</v>
      </c>
      <c r="B100" s="9"/>
      <c r="C100" s="8"/>
      <c r="D100" s="8"/>
      <c r="E100" s="8"/>
      <c r="F100" s="8">
        <v>1</v>
      </c>
      <c r="G100" s="8" t="s">
        <v>7</v>
      </c>
      <c r="H100" s="8" t="s">
        <v>234</v>
      </c>
    </row>
    <row r="101" spans="1:8" x14ac:dyDescent="0.25">
      <c r="A101" s="8" t="s">
        <v>156</v>
      </c>
      <c r="B101" s="9" t="s">
        <v>227</v>
      </c>
      <c r="C101" s="8"/>
      <c r="D101" s="8"/>
      <c r="E101" s="8"/>
      <c r="F101" s="8">
        <v>1</v>
      </c>
      <c r="G101" s="8" t="s">
        <v>7</v>
      </c>
      <c r="H101" s="8" t="s">
        <v>234</v>
      </c>
    </row>
    <row r="102" spans="1:8" x14ac:dyDescent="0.25">
      <c r="A102" s="8" t="s">
        <v>156</v>
      </c>
      <c r="B102" s="9" t="s">
        <v>228</v>
      </c>
      <c r="C102" s="8"/>
      <c r="D102" s="8"/>
      <c r="E102" s="8"/>
      <c r="F102" s="8">
        <v>1</v>
      </c>
      <c r="G102" s="8" t="s">
        <v>7</v>
      </c>
      <c r="H102" s="8" t="s">
        <v>234</v>
      </c>
    </row>
    <row r="103" spans="1:8" x14ac:dyDescent="0.25">
      <c r="A103" s="8" t="s">
        <v>156</v>
      </c>
      <c r="B103" s="9" t="s">
        <v>239</v>
      </c>
      <c r="C103" s="8"/>
      <c r="D103" s="8"/>
      <c r="E103" s="8"/>
      <c r="F103" s="8">
        <v>1</v>
      </c>
      <c r="G103" s="8" t="s">
        <v>7</v>
      </c>
      <c r="H103" s="8" t="s">
        <v>234</v>
      </c>
    </row>
    <row r="104" spans="1:8" x14ac:dyDescent="0.25">
      <c r="A104" s="8" t="s">
        <v>156</v>
      </c>
      <c r="B104" s="9" t="s">
        <v>229</v>
      </c>
      <c r="C104" s="8"/>
      <c r="D104" s="8"/>
      <c r="E104" s="8"/>
      <c r="F104" s="8">
        <v>1</v>
      </c>
      <c r="G104" s="8" t="s">
        <v>7</v>
      </c>
      <c r="H104" s="8" t="s">
        <v>234</v>
      </c>
    </row>
    <row r="105" spans="1:8" ht="165" x14ac:dyDescent="0.25">
      <c r="A105" s="8" t="s">
        <v>92</v>
      </c>
      <c r="B105" s="9" t="str">
        <f>bolso("Bolso de corte",Table6[])</f>
        <v xml:space="preserve">Bolso de corte Contiene:  Guantes dielectricos x1,  Alfombra dielectrica x0,  Martillo de goma x0,  Pinza de punta dielectrica x2,  Cuña de madera para gas x0,  Pinza dielectrica x1,  Alicate dielectrico x1,  Llave union x0,  Destornillador x4,  Llave cruz para ascensor x1,  Cutter x1,  juego de llaves alem x1,  Extractor de fusibles NH x1,  saca bujia x2,  Llave fija 9/16 x1,  Corta cinturon x1, </v>
      </c>
      <c r="C105" s="8"/>
      <c r="D105" s="8"/>
      <c r="E105" s="8"/>
      <c r="F105" s="8">
        <v>1</v>
      </c>
      <c r="G105" s="8" t="s">
        <v>7</v>
      </c>
      <c r="H105" s="8" t="s">
        <v>235</v>
      </c>
    </row>
    <row r="106" spans="1:8" x14ac:dyDescent="0.25">
      <c r="A106" s="8" t="s">
        <v>215</v>
      </c>
      <c r="B106" s="9"/>
      <c r="C106" s="8"/>
      <c r="D106" s="8" t="s">
        <v>216</v>
      </c>
      <c r="E106" s="8">
        <v>8321127</v>
      </c>
      <c r="F106" s="8">
        <v>1</v>
      </c>
      <c r="G106" s="8" t="s">
        <v>7</v>
      </c>
      <c r="H106" s="8" t="s">
        <v>235</v>
      </c>
    </row>
    <row r="107" spans="1:8" x14ac:dyDescent="0.25">
      <c r="A107" s="8" t="s">
        <v>190</v>
      </c>
      <c r="B107" s="9"/>
      <c r="C107" s="8"/>
      <c r="D107" s="8"/>
      <c r="E107" s="8"/>
      <c r="F107" s="8">
        <v>6</v>
      </c>
      <c r="G107" s="8" t="s">
        <v>7</v>
      </c>
      <c r="H107" s="8" t="s">
        <v>235</v>
      </c>
    </row>
    <row r="108" spans="1:8" ht="45" x14ac:dyDescent="0.25">
      <c r="A108" s="8" t="s">
        <v>242</v>
      </c>
      <c r="B108" s="9"/>
      <c r="C108" s="8"/>
      <c r="D108" s="9" t="s">
        <v>218</v>
      </c>
      <c r="E108" s="8"/>
      <c r="F108" s="8">
        <v>3</v>
      </c>
      <c r="G108" s="8" t="s">
        <v>7</v>
      </c>
      <c r="H108" s="8" t="s">
        <v>235</v>
      </c>
    </row>
    <row r="109" spans="1:8" x14ac:dyDescent="0.25">
      <c r="A109" s="8" t="s">
        <v>192</v>
      </c>
      <c r="B109" s="9"/>
      <c r="C109" s="8"/>
      <c r="D109" s="8"/>
      <c r="E109" s="8"/>
      <c r="F109" s="8">
        <v>1</v>
      </c>
      <c r="G109" s="8" t="s">
        <v>7</v>
      </c>
      <c r="H109" s="8" t="s">
        <v>235</v>
      </c>
    </row>
    <row r="110" spans="1:8" x14ac:dyDescent="0.25">
      <c r="A110" s="8" t="s">
        <v>188</v>
      </c>
      <c r="B110" s="9" t="s">
        <v>189</v>
      </c>
      <c r="C110" s="8"/>
      <c r="D110" s="8" t="s">
        <v>48</v>
      </c>
      <c r="E110" s="8"/>
      <c r="F110" s="8">
        <v>6</v>
      </c>
      <c r="G110" s="8" t="s">
        <v>7</v>
      </c>
      <c r="H110" s="8" t="s">
        <v>235</v>
      </c>
    </row>
    <row r="111" spans="1:8" x14ac:dyDescent="0.25">
      <c r="A111" s="8" t="s">
        <v>210</v>
      </c>
      <c r="B111" s="9" t="s">
        <v>254</v>
      </c>
      <c r="C111" s="8"/>
      <c r="D111" s="8"/>
      <c r="E111" s="8"/>
      <c r="F111" s="8">
        <v>1</v>
      </c>
      <c r="G111" s="8" t="s">
        <v>7</v>
      </c>
      <c r="H111" s="8" t="s">
        <v>235</v>
      </c>
    </row>
    <row r="112" spans="1:8" x14ac:dyDescent="0.25">
      <c r="A112" s="8" t="s">
        <v>212</v>
      </c>
      <c r="B112" s="9" t="s">
        <v>166</v>
      </c>
      <c r="C112" s="8"/>
      <c r="D112" s="8" t="s">
        <v>213</v>
      </c>
      <c r="E112" s="8"/>
      <c r="F112" s="8">
        <v>1</v>
      </c>
      <c r="G112" s="8" t="s">
        <v>7</v>
      </c>
      <c r="H112" s="8" t="s">
        <v>235</v>
      </c>
    </row>
    <row r="113" spans="1:8" x14ac:dyDescent="0.25">
      <c r="A113" s="8" t="s">
        <v>212</v>
      </c>
      <c r="B113" s="9" t="s">
        <v>158</v>
      </c>
      <c r="C113" s="8"/>
      <c r="D113" s="8" t="s">
        <v>214</v>
      </c>
      <c r="E113" s="8"/>
      <c r="F113" s="8">
        <v>1</v>
      </c>
      <c r="G113" s="8" t="s">
        <v>7</v>
      </c>
      <c r="H113" s="8" t="s">
        <v>235</v>
      </c>
    </row>
    <row r="114" spans="1:8" ht="30" x14ac:dyDescent="0.25">
      <c r="A114" s="8" t="s">
        <v>193</v>
      </c>
      <c r="B114" s="9" t="s">
        <v>194</v>
      </c>
      <c r="C114" s="8"/>
      <c r="D114" s="8"/>
      <c r="E114" s="8"/>
      <c r="F114" s="8">
        <v>1</v>
      </c>
      <c r="G114" s="8" t="s">
        <v>7</v>
      </c>
      <c r="H114" s="8" t="s">
        <v>235</v>
      </c>
    </row>
    <row r="115" spans="1:8" x14ac:dyDescent="0.25">
      <c r="A115" s="8" t="s">
        <v>35</v>
      </c>
      <c r="B115" s="9" t="s">
        <v>39</v>
      </c>
      <c r="C115" s="8" t="s">
        <v>37</v>
      </c>
      <c r="D115" s="8" t="s">
        <v>27</v>
      </c>
      <c r="E115" s="8" t="s">
        <v>27</v>
      </c>
      <c r="F115" s="8">
        <v>1</v>
      </c>
      <c r="G115" s="8" t="s">
        <v>36</v>
      </c>
      <c r="H115" s="8" t="s">
        <v>36</v>
      </c>
    </row>
    <row r="116" spans="1:8" x14ac:dyDescent="0.25">
      <c r="A116" s="8" t="s">
        <v>35</v>
      </c>
      <c r="B116" s="9" t="s">
        <v>39</v>
      </c>
      <c r="C116" s="8" t="s">
        <v>38</v>
      </c>
      <c r="D116" s="8" t="s">
        <v>27</v>
      </c>
      <c r="E116" s="8" t="s">
        <v>27</v>
      </c>
      <c r="F116" s="8">
        <v>1</v>
      </c>
      <c r="G116" s="8" t="s">
        <v>36</v>
      </c>
      <c r="H116" s="8" t="s">
        <v>36</v>
      </c>
    </row>
    <row r="117" spans="1:8" x14ac:dyDescent="0.25">
      <c r="A117" s="8" t="s">
        <v>40</v>
      </c>
      <c r="B117" s="9" t="s">
        <v>42</v>
      </c>
      <c r="C117" s="8" t="s">
        <v>41</v>
      </c>
      <c r="D117" s="8" t="s">
        <v>27</v>
      </c>
      <c r="E117" s="8" t="s">
        <v>27</v>
      </c>
      <c r="F117" s="8">
        <v>2</v>
      </c>
      <c r="G117" s="8" t="s">
        <v>36</v>
      </c>
      <c r="H117" s="8" t="s">
        <v>36</v>
      </c>
    </row>
    <row r="118" spans="1:8" x14ac:dyDescent="0.25">
      <c r="A118" s="8" t="s">
        <v>40</v>
      </c>
      <c r="B118" s="9" t="s">
        <v>255</v>
      </c>
      <c r="C118" s="8" t="s">
        <v>256</v>
      </c>
      <c r="D118" s="8" t="s">
        <v>27</v>
      </c>
      <c r="E118" s="8" t="s">
        <v>27</v>
      </c>
      <c r="F118" s="8">
        <v>1</v>
      </c>
      <c r="G118" s="8" t="s">
        <v>36</v>
      </c>
      <c r="H118" s="8" t="s">
        <v>36</v>
      </c>
    </row>
    <row r="119" spans="1:8" ht="30" x14ac:dyDescent="0.25">
      <c r="A119" s="8" t="s">
        <v>92</v>
      </c>
      <c r="B119" s="9" t="str">
        <f>bolso("Caja de tacos 1",Table6[])</f>
        <v xml:space="preserve">Caja de tacos 1 Contiene:  Tacos varios pequeños x0, </v>
      </c>
      <c r="C119" s="8"/>
      <c r="D119" s="8"/>
      <c r="E119" s="8"/>
      <c r="F119" s="8">
        <v>1</v>
      </c>
      <c r="G119" s="8" t="s">
        <v>8</v>
      </c>
      <c r="H119" s="8">
        <v>3</v>
      </c>
    </row>
    <row r="120" spans="1:8" x14ac:dyDescent="0.25">
      <c r="A120" s="8" t="s">
        <v>11</v>
      </c>
      <c r="B120" s="9" t="s">
        <v>549</v>
      </c>
      <c r="C120" s="8" t="s">
        <v>79</v>
      </c>
      <c r="D120" s="8" t="s">
        <v>27</v>
      </c>
      <c r="E120" s="8" t="s">
        <v>27</v>
      </c>
      <c r="F120" s="8">
        <v>1</v>
      </c>
      <c r="G120" s="8" t="s">
        <v>5</v>
      </c>
      <c r="H120" s="8">
        <v>1</v>
      </c>
    </row>
    <row r="121" spans="1:8" x14ac:dyDescent="0.25">
      <c r="A121" s="8" t="s">
        <v>11</v>
      </c>
      <c r="B121" s="9" t="s">
        <v>550</v>
      </c>
      <c r="C121" s="8" t="s">
        <v>30</v>
      </c>
      <c r="D121" s="8" t="s">
        <v>27</v>
      </c>
      <c r="E121" s="8" t="s">
        <v>27</v>
      </c>
      <c r="F121" s="8">
        <v>4</v>
      </c>
      <c r="G121" s="8" t="s">
        <v>5</v>
      </c>
      <c r="H121" s="8">
        <v>1</v>
      </c>
    </row>
    <row r="122" spans="1:8" x14ac:dyDescent="0.25">
      <c r="A122" s="8" t="s">
        <v>12</v>
      </c>
      <c r="B122" s="9" t="s">
        <v>551</v>
      </c>
      <c r="C122" s="8"/>
      <c r="D122" s="8"/>
      <c r="E122" s="8"/>
      <c r="F122" s="8">
        <v>1</v>
      </c>
      <c r="G122" s="8" t="s">
        <v>5</v>
      </c>
      <c r="H122" s="8">
        <v>1</v>
      </c>
    </row>
    <row r="123" spans="1:8" ht="30" x14ac:dyDescent="0.25">
      <c r="A123" s="8" t="s">
        <v>44</v>
      </c>
      <c r="B123" s="9" t="s">
        <v>552</v>
      </c>
      <c r="C123" s="8" t="s">
        <v>64</v>
      </c>
      <c r="D123" s="8"/>
      <c r="E123" s="8"/>
      <c r="F123" s="8">
        <v>1</v>
      </c>
      <c r="G123" s="8" t="s">
        <v>5</v>
      </c>
      <c r="H123" s="8">
        <v>1</v>
      </c>
    </row>
    <row r="124" spans="1:8" x14ac:dyDescent="0.25">
      <c r="A124" s="8" t="s">
        <v>156</v>
      </c>
      <c r="B124" s="9" t="s">
        <v>424</v>
      </c>
      <c r="C124" s="8"/>
      <c r="D124" s="8"/>
      <c r="E124" s="8"/>
      <c r="F124" s="8"/>
      <c r="G124" s="8" t="s">
        <v>10</v>
      </c>
      <c r="H124" s="8">
        <v>2</v>
      </c>
    </row>
    <row r="125" spans="1:8" x14ac:dyDescent="0.25">
      <c r="A125" s="8" t="s">
        <v>175</v>
      </c>
      <c r="B125" s="9"/>
      <c r="C125" s="8" t="s">
        <v>553</v>
      </c>
      <c r="D125" s="8"/>
      <c r="E125" s="8"/>
      <c r="F125" s="8">
        <v>1</v>
      </c>
      <c r="G125" s="8" t="s">
        <v>7</v>
      </c>
      <c r="H125" s="8" t="s">
        <v>233</v>
      </c>
    </row>
    <row r="126" spans="1:8" x14ac:dyDescent="0.25">
      <c r="A126" s="8" t="s">
        <v>116</v>
      </c>
      <c r="B126" s="9"/>
      <c r="C126" s="9" t="s">
        <v>554</v>
      </c>
      <c r="D126" s="8"/>
      <c r="E126" s="8"/>
      <c r="F126" s="8">
        <v>1</v>
      </c>
      <c r="G126" s="8" t="s">
        <v>7</v>
      </c>
      <c r="H126" s="8" t="s">
        <v>234</v>
      </c>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6">
    <dataValidation type="list" allowBlank="1" showInputMessage="1" showErrorMessage="1" sqref="A90 A117:A118 A120:A123 A140:A1048576 A1:A88 A94:A95 M4:M32 A99:A115" xr:uid="{00000000-0002-0000-0000-000000000000}">
      <formula1>categorias</formula1>
    </dataValidation>
    <dataValidation type="list" allowBlank="1" showInputMessage="1" showErrorMessage="1" sqref="C1 C7:C8 C11 C14:C15" xr:uid="{00000000-0002-0000-0000-000001000000}">
      <formula1>Medidas</formula1>
    </dataValidation>
    <dataValidation type="list" allowBlank="1" showInputMessage="1" showErrorMessage="1" sqref="N1:N3 N47:N1048576 H132:H1048576 H1:H126" xr:uid="{F2DC22E0-CF8D-439B-BECD-43669397755E}">
      <formula1>INDEX(Compartimientos,0,MATCH(OFFSET(INDIRECT(ADDRESS(ROW(), COLUMN())),0,-1),Cajoneras,0))</formula1>
    </dataValidation>
    <dataValidation type="list" allowBlank="1" showInputMessage="1" showErrorMessage="1" sqref="P14 N4:N32" xr:uid="{44DDC578-AA09-4DE5-B930-E67B6BA36566}">
      <formula1>INDEX(Medidas,0,MATCH(OFFSET(INDIRECT(ADDRESS(ROW(), COLUMN())),0,-1),categoriasDeMedidas,0))</formula1>
    </dataValidation>
    <dataValidation type="list" allowBlank="1" showInputMessage="1" showErrorMessage="1" sqref="L4:L13 L16:L31" xr:uid="{B42A14F1-F620-4535-8278-9BE3E2D91DD1}">
      <formula1>Bolsos</formula1>
    </dataValidation>
    <dataValidation type="list" allowBlank="1" showInputMessage="1" showErrorMessage="1" sqref="G132:G1048576 G1:G126" xr:uid="{BE90CED2-C975-4E7D-82E9-3A42B0777B45}">
      <formula1>Cajoneras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6">
        <x14:dataValidation type="list" allowBlank="1" showInputMessage="1" showErrorMessage="1" xr:uid="{B8E31177-2A12-49ED-98E6-1D4326E95F43}">
          <x14:formula1>
            <xm:f>Configuracion!$G$2:$G$3</xm:f>
          </x14:formula1>
          <xm:sqref>C25 C112:C113</xm:sqref>
        </x14:dataValidation>
        <x14:dataValidation type="list" allowBlank="1" showInputMessage="1" showErrorMessage="1" xr:uid="{063FE316-2FCE-4EF0-9B6A-ACD523F3FCFB}">
          <x14:formula1>
            <xm:f>Configuracion!$F$2:$F$5</xm:f>
          </x14:formula1>
          <xm:sqref>C13 C26:C27</xm:sqref>
        </x14:dataValidation>
        <x14:dataValidation type="list" allowBlank="1" showInputMessage="1" showErrorMessage="1" xr:uid="{D75B5B5C-1EA7-4193-9C88-D415C9A5EC93}">
          <x14:formula1>
            <xm:f>Configuracion!$F$2:$F$3</xm:f>
          </x14:formula1>
          <xm:sqref>C17</xm:sqref>
        </x14:dataValidation>
        <x14:dataValidation type="list" allowBlank="1" showInputMessage="1" showErrorMessage="1" xr:uid="{66CD50C1-DB6E-448F-AAA4-B1F5F8F5B10E}">
          <x14:formula1>
            <xm:f>Configuracion!$I$2:$I$5</xm:f>
          </x14:formula1>
          <xm:sqref>C3</xm:sqref>
        </x14:dataValidation>
        <x14:dataValidation type="list" allowBlank="1" showInputMessage="1" showErrorMessage="1" xr:uid="{56E52602-2194-4E3B-A180-C6A3E82D63E4}">
          <x14:formula1>
            <xm:f>Configuracion!$N$2:$N$6</xm:f>
          </x14:formula1>
          <xm:sqref>C5</xm:sqref>
        </x14:dataValidation>
        <x14:dataValidation type="list" allowBlank="1" showInputMessage="1" showErrorMessage="1" xr:uid="{038E3EAE-F895-4B47-9AAB-FAC660AFCCB9}">
          <x14:formula1>
            <xm:f>Configuracion!$F$2:$F$6</xm:f>
          </x14:formula1>
          <xm:sqref>C28</xm:sqref>
        </x14:dataValidation>
        <x14:dataValidation type="list" allowBlank="1" showInputMessage="1" showErrorMessage="1" xr:uid="{6457681C-60DB-4D20-AED2-86506039851F}">
          <x14:formula1>
            <xm:f>Configuracion!$F$2:$F$7</xm:f>
          </x14:formula1>
          <xm:sqref>C30</xm:sqref>
        </x14:dataValidation>
        <x14:dataValidation type="list" allowBlank="1" showInputMessage="1" showErrorMessage="1" xr:uid="{D92F6585-F7E1-409D-BFF5-6A89DACAE715}">
          <x14:formula1>
            <xm:f>Configuracion!$O$2:$O$7</xm:f>
          </x14:formula1>
          <xm:sqref>C36</xm:sqref>
        </x14:dataValidation>
        <x14:dataValidation type="list" allowBlank="1" showInputMessage="1" showErrorMessage="1" xr:uid="{8F00840D-84C8-4945-BB5B-E263E512F830}">
          <x14:formula1>
            <xm:f>Configuracion!$F$2:$F$8</xm:f>
          </x14:formula1>
          <xm:sqref>C53:C54</xm:sqref>
        </x14:dataValidation>
        <x14:dataValidation type="list" allowBlank="1" showInputMessage="1" showErrorMessage="1" xr:uid="{ABB2D4F2-A513-4C3D-92C4-E645855FB826}">
          <x14:formula1>
            <xm:f>Configuracion!$F$2:$F$9</xm:f>
          </x14:formula1>
          <xm:sqref>C55</xm:sqref>
        </x14:dataValidation>
        <x14:dataValidation type="list" allowBlank="1" showInputMessage="1" showErrorMessage="1" xr:uid="{405E54D2-8B73-410C-B54C-5DDE41FB3F8F}">
          <x14:formula1>
            <xm:f>Configuracion!$F$2:$F$10</xm:f>
          </x14:formula1>
          <xm:sqref>C56:C57 C110:C111</xm:sqref>
        </x14:dataValidation>
        <x14:dataValidation type="list" allowBlank="1" showInputMessage="1" showErrorMessage="1" xr:uid="{6B2E7A2D-8245-4AF7-B53E-38C704284527}">
          <x14:formula1>
            <xm:f>Configuracion!$Q$2:$Q$7</xm:f>
          </x14:formula1>
          <xm:sqref>C58:C59 C45</xm:sqref>
        </x14:dataValidation>
        <x14:dataValidation type="list" allowBlank="1" showInputMessage="1" showErrorMessage="1" xr:uid="{E160497B-A84F-4B61-826C-D9364B7125A0}">
          <x14:formula1>
            <xm:f>Configuracion!$H$2:$H$5</xm:f>
          </x14:formula1>
          <xm:sqref>C2</xm:sqref>
        </x14:dataValidation>
        <x14:dataValidation type="list" allowBlank="1" showInputMessage="1" showErrorMessage="1" xr:uid="{C722B0B8-C853-458B-9AF9-1273F6959871}">
          <x14:formula1>
            <xm:f>Configuracion!$H$2:$H$6</xm:f>
          </x14:formula1>
          <xm:sqref>C20</xm:sqref>
        </x14:dataValidation>
        <x14:dataValidation type="list" allowBlank="1" showInputMessage="1" showErrorMessage="1" xr:uid="{292BC257-E625-47CE-8892-ED8AD328A8D8}">
          <x14:formula1>
            <xm:f>Configuracion!$J$2:$J$5</xm:f>
          </x14:formula1>
          <xm:sqref>C23 C18:C19 C9:C10</xm:sqref>
        </x14:dataValidation>
        <x14:dataValidation type="list" allowBlank="1" showInputMessage="1" showErrorMessage="1" xr:uid="{D355E91B-2C0A-4F51-9345-C3A03C47CA45}">
          <x14:formula1>
            <xm:f>Configuracion!$S$2:$S$10</xm:f>
          </x14:formula1>
          <xm:sqref>C85 C89:C90</xm:sqref>
        </x14:dataValidation>
        <x14:dataValidation type="list" allowBlank="1" showInputMessage="1" showErrorMessage="1" xr:uid="{A102BC78-8C56-4C8B-9D58-2B988B7443BF}">
          <x14:formula1>
            <xm:f>Configuracion!$N$2:$N$9</xm:f>
          </x14:formula1>
          <xm:sqref>C106</xm:sqref>
        </x14:dataValidation>
        <x14:dataValidation type="list" allowBlank="1" showInputMessage="1" showErrorMessage="1" xr:uid="{0294B67D-E469-4692-B763-863A19A1C2D6}">
          <x14:formula1>
            <xm:f>Configuracion!$I$2:$I$7</xm:f>
          </x14:formula1>
          <xm:sqref>C118</xm:sqref>
        </x14:dataValidation>
        <x14:dataValidation type="list" allowBlank="1" showInputMessage="1" showErrorMessage="1" xr:uid="{004357AF-9047-4B55-A787-377A96505853}">
          <x14:formula1>
            <xm:f>Configuracion!$G$2:$G$5</xm:f>
          </x14:formula1>
          <xm:sqref>C12 C24</xm:sqref>
        </x14:dataValidation>
        <x14:dataValidation type="list" allowBlank="1" showInputMessage="1" showErrorMessage="1" xr:uid="{D5F4CC4D-2109-41B3-99B4-CA98ED423092}">
          <x14:formula1>
            <xm:f>Configuracion!$K$2:$K$2</xm:f>
          </x14:formula1>
          <xm:sqref>C6</xm:sqref>
        </x14:dataValidation>
        <x14:dataValidation type="list" allowBlank="1" showInputMessage="1" showErrorMessage="1" xr:uid="{E76FA077-0797-43A6-B34D-1D7D6A28CE28}">
          <x14:formula1>
            <xm:f>Configuracion!$K$2:$K$3</xm:f>
          </x14:formula1>
          <xm:sqref>C21</xm:sqref>
        </x14:dataValidation>
        <x14:dataValidation type="list" allowBlank="1" showInputMessage="1" showErrorMessage="1" xr:uid="{1D081A75-6EF4-4D4E-9A53-FA2DE8B0F5F6}">
          <x14:formula1>
            <xm:f>Configuracion!$K$2:$K$4</xm:f>
          </x14:formula1>
          <xm:sqref>C16 C22 C4</xm:sqref>
        </x14:dataValidation>
        <x14:dataValidation type="list" allowBlank="1" showInputMessage="1" showErrorMessage="1" xr:uid="{D2AE4E04-1E8D-4836-A505-196224EFA28F}">
          <x14:formula1>
            <xm:f>Configuracion!$A$2:$A$74</xm:f>
          </x14:formula1>
          <xm:sqref>M1:M3 M47:M1048576</xm:sqref>
        </x14:dataValidation>
        <x14:dataValidation type="list" allowBlank="1" showInputMessage="1" showErrorMessage="1" xr:uid="{810A2963-8A49-4B5D-ACD1-84E627BA8624}">
          <x14:formula1>
            <xm:f>Configuracion!$G$2:$G$6</xm:f>
          </x14:formula1>
          <xm:sqref>C29</xm:sqref>
        </x14:dataValidation>
        <x14:dataValidation type="list" allowBlank="1" showInputMessage="1" showErrorMessage="1" xr:uid="{62FFF453-5FB4-40B7-B169-2402FCD44432}">
          <x14:formula1>
            <xm:f>Configuracion!$K$2:$K$7</xm:f>
          </x14:formula1>
          <xm:sqref>C123</xm:sqref>
        </x14:dataValidation>
        <x14:dataValidation type="list" allowBlank="1" showInputMessage="1" showErrorMessage="1" xr:uid="{413472A5-3201-4E98-9DD1-277EF3AF34E7}">
          <x14:formula1>
            <xm:f>Configuracion!$S$2:$S$11</xm:f>
          </x14:formula1>
          <xm:sqref>C125</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0F7E33-6DF9-449A-BC1F-7A80E1CF3E8B}">
  <sheetPr codeName="Sheet8"/>
  <dimension ref="A1:Z139"/>
  <sheetViews>
    <sheetView tabSelected="1" topLeftCell="H33" workbookViewId="0">
      <selection activeCell="L46" sqref="L46"/>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6" width="21.5703125" bestFit="1" customWidth="1"/>
    <col min="17" max="17" width="26" customWidth="1"/>
    <col min="19" max="23" width="12.42578125" customWidth="1"/>
    <col min="24" max="24" width="9.85546875" customWidth="1"/>
  </cols>
  <sheetData>
    <row r="1" spans="1:26" x14ac:dyDescent="0.25">
      <c r="A1" s="6" t="s">
        <v>0</v>
      </c>
      <c r="B1" s="7" t="s">
        <v>1</v>
      </c>
      <c r="C1" s="6" t="s">
        <v>2</v>
      </c>
      <c r="D1" s="6" t="s">
        <v>3</v>
      </c>
      <c r="E1" s="6" t="s">
        <v>4</v>
      </c>
      <c r="F1" s="6" t="s">
        <v>240</v>
      </c>
      <c r="G1" s="6" t="s">
        <v>13</v>
      </c>
      <c r="H1" s="6" t="s">
        <v>232</v>
      </c>
    </row>
    <row r="2" spans="1:26" x14ac:dyDescent="0.25">
      <c r="A2" s="6" t="s">
        <v>88</v>
      </c>
      <c r="B2" s="9" t="s">
        <v>555</v>
      </c>
      <c r="C2" s="8"/>
      <c r="D2" s="8"/>
      <c r="E2" s="8"/>
      <c r="F2" s="8">
        <v>1</v>
      </c>
      <c r="G2" s="8" t="s">
        <v>309</v>
      </c>
      <c r="H2" s="8">
        <v>1</v>
      </c>
    </row>
    <row r="3" spans="1:26" x14ac:dyDescent="0.25">
      <c r="A3" s="8" t="s">
        <v>88</v>
      </c>
      <c r="B3" s="9" t="s">
        <v>556</v>
      </c>
      <c r="C3" s="8"/>
      <c r="D3" s="8"/>
      <c r="E3" s="8"/>
      <c r="F3" s="8">
        <v>3</v>
      </c>
      <c r="G3" s="8" t="s">
        <v>309</v>
      </c>
      <c r="H3" s="8">
        <v>1</v>
      </c>
      <c r="J3" t="s">
        <v>16</v>
      </c>
      <c r="K3" t="s">
        <v>18</v>
      </c>
      <c r="L3" t="s">
        <v>14</v>
      </c>
      <c r="M3" t="s">
        <v>0</v>
      </c>
      <c r="N3" t="s">
        <v>2</v>
      </c>
      <c r="P3" t="s">
        <v>28</v>
      </c>
      <c r="R3" s="13" t="s">
        <v>230</v>
      </c>
      <c r="S3" s="13"/>
      <c r="T3" s="13"/>
      <c r="U3" s="13"/>
      <c r="V3" s="13"/>
      <c r="W3" s="13"/>
    </row>
    <row r="4" spans="1:26" x14ac:dyDescent="0.25">
      <c r="A4" s="8" t="s">
        <v>242</v>
      </c>
      <c r="B4" s="9"/>
      <c r="C4" s="8"/>
      <c r="D4" s="8" t="s">
        <v>360</v>
      </c>
      <c r="E4" s="8"/>
      <c r="F4" s="8">
        <v>1</v>
      </c>
      <c r="G4" s="8" t="s">
        <v>309</v>
      </c>
      <c r="H4" s="8">
        <v>1</v>
      </c>
      <c r="J4" t="s">
        <v>581</v>
      </c>
      <c r="K4">
        <v>3</v>
      </c>
      <c r="L4" t="s">
        <v>15</v>
      </c>
      <c r="M4" t="s">
        <v>156</v>
      </c>
      <c r="P4" t="s">
        <v>15</v>
      </c>
      <c r="R4" t="s">
        <v>8</v>
      </c>
      <c r="S4" t="s">
        <v>5</v>
      </c>
      <c r="T4" t="s">
        <v>6</v>
      </c>
      <c r="U4" t="s">
        <v>9</v>
      </c>
      <c r="V4" t="s">
        <v>10</v>
      </c>
      <c r="W4" t="s">
        <v>257</v>
      </c>
      <c r="X4" t="s">
        <v>309</v>
      </c>
      <c r="Y4" t="s">
        <v>7</v>
      </c>
      <c r="Z4" t="s">
        <v>36</v>
      </c>
    </row>
    <row r="5" spans="1:26" x14ac:dyDescent="0.25">
      <c r="A5" s="8" t="s">
        <v>100</v>
      </c>
      <c r="B5" s="9" t="s">
        <v>557</v>
      </c>
      <c r="C5" s="8"/>
      <c r="D5" s="8"/>
      <c r="E5" s="8"/>
      <c r="F5" s="8">
        <v>1</v>
      </c>
      <c r="G5" s="8" t="s">
        <v>309</v>
      </c>
      <c r="H5" s="8">
        <v>1</v>
      </c>
      <c r="J5" t="s">
        <v>582</v>
      </c>
      <c r="K5">
        <v>1</v>
      </c>
      <c r="L5" t="s">
        <v>15</v>
      </c>
      <c r="M5" t="s">
        <v>156</v>
      </c>
      <c r="P5" t="s">
        <v>587</v>
      </c>
      <c r="R5">
        <v>1</v>
      </c>
      <c r="S5">
        <v>1</v>
      </c>
      <c r="T5">
        <v>1</v>
      </c>
      <c r="U5">
        <v>1</v>
      </c>
      <c r="V5">
        <v>1</v>
      </c>
      <c r="W5">
        <v>1</v>
      </c>
      <c r="X5">
        <v>1</v>
      </c>
      <c r="Y5" t="s">
        <v>231</v>
      </c>
      <c r="Z5" t="s">
        <v>36</v>
      </c>
    </row>
    <row r="6" spans="1:26" x14ac:dyDescent="0.25">
      <c r="A6" s="8" t="s">
        <v>83</v>
      </c>
      <c r="B6" s="9"/>
      <c r="C6" s="8"/>
      <c r="D6" s="8" t="s">
        <v>558</v>
      </c>
      <c r="E6" s="8">
        <v>1813</v>
      </c>
      <c r="F6" s="8">
        <v>1</v>
      </c>
      <c r="G6" s="8" t="s">
        <v>309</v>
      </c>
      <c r="H6" s="8">
        <v>1</v>
      </c>
      <c r="J6" t="s">
        <v>453</v>
      </c>
      <c r="K6">
        <v>3</v>
      </c>
      <c r="L6" t="s">
        <v>15</v>
      </c>
      <c r="M6" t="s">
        <v>156</v>
      </c>
      <c r="P6" t="s">
        <v>590</v>
      </c>
      <c r="R6">
        <v>2</v>
      </c>
      <c r="V6">
        <v>2</v>
      </c>
      <c r="Y6" t="s">
        <v>233</v>
      </c>
    </row>
    <row r="7" spans="1:26" x14ac:dyDescent="0.25">
      <c r="A7" s="8" t="s">
        <v>559</v>
      </c>
      <c r="B7" s="9" t="s">
        <v>112</v>
      </c>
      <c r="C7" s="8"/>
      <c r="D7" s="8"/>
      <c r="E7" s="8"/>
      <c r="F7" s="8">
        <v>1</v>
      </c>
      <c r="G7" s="8" t="s">
        <v>309</v>
      </c>
      <c r="H7" s="8">
        <v>1</v>
      </c>
      <c r="J7" t="s">
        <v>452</v>
      </c>
      <c r="K7">
        <v>3</v>
      </c>
      <c r="L7" t="s">
        <v>15</v>
      </c>
      <c r="M7" t="s">
        <v>156</v>
      </c>
      <c r="P7" t="s">
        <v>395</v>
      </c>
      <c r="R7">
        <v>3</v>
      </c>
      <c r="V7">
        <v>3</v>
      </c>
      <c r="Y7" t="s">
        <v>234</v>
      </c>
    </row>
    <row r="8" spans="1:26" x14ac:dyDescent="0.25">
      <c r="A8" s="8" t="s">
        <v>371</v>
      </c>
      <c r="B8" s="9"/>
      <c r="C8" s="8"/>
      <c r="D8" s="8" t="s">
        <v>558</v>
      </c>
      <c r="E8" s="8">
        <v>851</v>
      </c>
      <c r="F8" s="8">
        <v>1</v>
      </c>
      <c r="G8" s="8" t="s">
        <v>309</v>
      </c>
      <c r="H8" s="8">
        <v>1</v>
      </c>
      <c r="J8" t="s">
        <v>583</v>
      </c>
      <c r="K8">
        <v>1</v>
      </c>
      <c r="L8" t="s">
        <v>15</v>
      </c>
      <c r="M8" t="s">
        <v>156</v>
      </c>
      <c r="P8" t="s">
        <v>632</v>
      </c>
      <c r="R8">
        <v>4</v>
      </c>
    </row>
    <row r="9" spans="1:26" x14ac:dyDescent="0.25">
      <c r="A9" s="8" t="s">
        <v>368</v>
      </c>
      <c r="B9" s="9"/>
      <c r="C9" s="8"/>
      <c r="D9" s="8" t="s">
        <v>558</v>
      </c>
      <c r="E9" s="8">
        <v>722</v>
      </c>
      <c r="F9" s="8">
        <v>1</v>
      </c>
      <c r="G9" s="8" t="s">
        <v>309</v>
      </c>
      <c r="H9" s="8">
        <v>1</v>
      </c>
      <c r="J9" t="s">
        <v>584</v>
      </c>
      <c r="K9">
        <v>1</v>
      </c>
      <c r="L9" t="s">
        <v>15</v>
      </c>
      <c r="M9" t="s">
        <v>156</v>
      </c>
      <c r="P9" t="s">
        <v>636</v>
      </c>
    </row>
    <row r="10" spans="1:26" x14ac:dyDescent="0.25">
      <c r="A10" s="8" t="s">
        <v>80</v>
      </c>
      <c r="B10" s="9"/>
      <c r="C10" s="8"/>
      <c r="D10" s="8" t="s">
        <v>558</v>
      </c>
      <c r="E10" s="8">
        <v>1626</v>
      </c>
      <c r="F10" s="8">
        <v>1</v>
      </c>
      <c r="G10" s="8" t="s">
        <v>309</v>
      </c>
      <c r="H10" s="8">
        <v>1</v>
      </c>
      <c r="J10" t="s">
        <v>23</v>
      </c>
      <c r="K10">
        <v>1</v>
      </c>
      <c r="L10" t="s">
        <v>15</v>
      </c>
      <c r="M10" t="s">
        <v>156</v>
      </c>
      <c r="P10" t="s">
        <v>396</v>
      </c>
    </row>
    <row r="11" spans="1:26" x14ac:dyDescent="0.25">
      <c r="A11" s="8" t="s">
        <v>95</v>
      </c>
      <c r="B11" s="9"/>
      <c r="C11" s="8"/>
      <c r="D11" s="8" t="s">
        <v>558</v>
      </c>
      <c r="E11" s="8">
        <v>1110</v>
      </c>
      <c r="F11" s="8">
        <v>1</v>
      </c>
      <c r="G11" s="8" t="s">
        <v>309</v>
      </c>
      <c r="H11" s="8">
        <v>1</v>
      </c>
      <c r="J11" t="s">
        <v>585</v>
      </c>
      <c r="K11">
        <v>2</v>
      </c>
      <c r="L11" t="s">
        <v>15</v>
      </c>
      <c r="M11" t="s">
        <v>156</v>
      </c>
      <c r="P11" t="s">
        <v>376</v>
      </c>
    </row>
    <row r="12" spans="1:26" x14ac:dyDescent="0.25">
      <c r="A12" s="8" t="s">
        <v>352</v>
      </c>
      <c r="B12" s="9" t="s">
        <v>560</v>
      </c>
      <c r="C12" s="8"/>
      <c r="D12" s="8" t="s">
        <v>561</v>
      </c>
      <c r="E12" s="8"/>
      <c r="F12" s="8">
        <v>1</v>
      </c>
      <c r="G12" s="8" t="s">
        <v>309</v>
      </c>
      <c r="H12" s="8">
        <v>1</v>
      </c>
      <c r="J12" t="s">
        <v>586</v>
      </c>
      <c r="K12">
        <v>1</v>
      </c>
      <c r="L12" t="s">
        <v>15</v>
      </c>
      <c r="M12" t="s">
        <v>156</v>
      </c>
      <c r="P12" t="s">
        <v>639</v>
      </c>
    </row>
    <row r="13" spans="1:26" x14ac:dyDescent="0.25">
      <c r="A13" s="8" t="s">
        <v>481</v>
      </c>
      <c r="B13" s="9" t="s">
        <v>562</v>
      </c>
      <c r="C13" s="8"/>
      <c r="D13" s="8"/>
      <c r="E13" s="8"/>
      <c r="F13" s="8">
        <v>2</v>
      </c>
      <c r="G13" s="8" t="s">
        <v>309</v>
      </c>
      <c r="H13" s="8">
        <v>1</v>
      </c>
      <c r="J13" t="s">
        <v>588</v>
      </c>
      <c r="K13">
        <v>3</v>
      </c>
      <c r="L13" t="s">
        <v>587</v>
      </c>
      <c r="M13" t="s">
        <v>90</v>
      </c>
      <c r="P13" t="s">
        <v>29</v>
      </c>
    </row>
    <row r="14" spans="1:26" x14ac:dyDescent="0.25">
      <c r="A14" s="8" t="s">
        <v>87</v>
      </c>
      <c r="B14" s="9"/>
      <c r="C14" s="8"/>
      <c r="D14" s="8"/>
      <c r="E14" s="8"/>
      <c r="F14" s="8">
        <v>4</v>
      </c>
      <c r="G14" s="8" t="s">
        <v>309</v>
      </c>
      <c r="H14" s="8">
        <v>1</v>
      </c>
      <c r="J14" t="s">
        <v>589</v>
      </c>
      <c r="K14">
        <v>1</v>
      </c>
      <c r="L14" t="s">
        <v>587</v>
      </c>
      <c r="M14" t="s">
        <v>482</v>
      </c>
    </row>
    <row r="15" spans="1:26" x14ac:dyDescent="0.25">
      <c r="A15" s="8" t="s">
        <v>12</v>
      </c>
      <c r="B15" s="9" t="s">
        <v>563</v>
      </c>
      <c r="C15" s="8" t="s">
        <v>470</v>
      </c>
      <c r="D15" s="8" t="s">
        <v>564</v>
      </c>
      <c r="E15" s="8"/>
      <c r="F15" s="8">
        <v>1</v>
      </c>
      <c r="G15" s="8" t="s">
        <v>257</v>
      </c>
      <c r="H15" s="8">
        <v>1</v>
      </c>
      <c r="J15" t="s">
        <v>404</v>
      </c>
      <c r="K15">
        <v>2</v>
      </c>
      <c r="L15" t="s">
        <v>590</v>
      </c>
      <c r="M15" t="s">
        <v>404</v>
      </c>
      <c r="N15" t="s">
        <v>406</v>
      </c>
    </row>
    <row r="16" spans="1:26" x14ac:dyDescent="0.25">
      <c r="A16" s="8" t="s">
        <v>12</v>
      </c>
      <c r="B16" s="9" t="s">
        <v>565</v>
      </c>
      <c r="C16" s="8"/>
      <c r="D16" s="8" t="s">
        <v>182</v>
      </c>
      <c r="E16" s="8" t="s">
        <v>566</v>
      </c>
      <c r="F16" s="8">
        <v>1</v>
      </c>
      <c r="G16" s="8" t="s">
        <v>257</v>
      </c>
      <c r="H16" s="8">
        <v>1</v>
      </c>
      <c r="J16" t="s">
        <v>404</v>
      </c>
      <c r="K16">
        <v>1</v>
      </c>
      <c r="L16" t="s">
        <v>590</v>
      </c>
      <c r="M16" t="s">
        <v>404</v>
      </c>
      <c r="N16" t="s">
        <v>591</v>
      </c>
    </row>
    <row r="17" spans="1:14" x14ac:dyDescent="0.25">
      <c r="A17" s="8" t="s">
        <v>12</v>
      </c>
      <c r="B17" s="9" t="s">
        <v>567</v>
      </c>
      <c r="C17" s="8"/>
      <c r="D17" s="8" t="s">
        <v>181</v>
      </c>
      <c r="E17" s="8" t="s">
        <v>568</v>
      </c>
      <c r="F17" s="8">
        <v>1</v>
      </c>
      <c r="G17" s="8" t="s">
        <v>257</v>
      </c>
      <c r="H17" s="8">
        <v>1</v>
      </c>
      <c r="J17" t="s">
        <v>478</v>
      </c>
      <c r="K17">
        <v>1</v>
      </c>
      <c r="L17" t="s">
        <v>590</v>
      </c>
      <c r="M17" t="s">
        <v>478</v>
      </c>
    </row>
    <row r="18" spans="1:14" x14ac:dyDescent="0.25">
      <c r="A18" s="8" t="s">
        <v>151</v>
      </c>
      <c r="B18" s="9"/>
      <c r="C18" s="8"/>
      <c r="D18" s="8"/>
      <c r="E18" s="8"/>
      <c r="F18" s="8"/>
      <c r="G18" s="8"/>
      <c r="H18" s="8"/>
      <c r="J18" t="s">
        <v>592</v>
      </c>
      <c r="K18">
        <v>1</v>
      </c>
      <c r="L18" t="s">
        <v>590</v>
      </c>
      <c r="M18" t="s">
        <v>478</v>
      </c>
    </row>
    <row r="19" spans="1:14" x14ac:dyDescent="0.25">
      <c r="A19" s="8" t="s">
        <v>569</v>
      </c>
      <c r="B19" s="9" t="s">
        <v>570</v>
      </c>
      <c r="C19" s="8"/>
      <c r="D19" s="8" t="s">
        <v>571</v>
      </c>
      <c r="E19" s="8"/>
      <c r="F19" s="8">
        <v>1</v>
      </c>
      <c r="G19" s="8" t="s">
        <v>10</v>
      </c>
      <c r="H19" s="8">
        <v>1</v>
      </c>
      <c r="J19" t="s">
        <v>593</v>
      </c>
      <c r="K19">
        <v>1</v>
      </c>
      <c r="L19" t="s">
        <v>590</v>
      </c>
      <c r="M19" t="s">
        <v>479</v>
      </c>
    </row>
    <row r="20" spans="1:14" x14ac:dyDescent="0.25">
      <c r="A20" s="8" t="s">
        <v>151</v>
      </c>
      <c r="B20" s="9" t="s">
        <v>572</v>
      </c>
      <c r="C20" s="8"/>
      <c r="D20" s="8"/>
      <c r="E20" s="8"/>
      <c r="F20" s="8">
        <v>2</v>
      </c>
      <c r="G20" s="8" t="s">
        <v>10</v>
      </c>
      <c r="H20" s="8">
        <v>1</v>
      </c>
      <c r="J20" t="s">
        <v>629</v>
      </c>
      <c r="K20">
        <v>1</v>
      </c>
      <c r="L20" t="s">
        <v>395</v>
      </c>
      <c r="M20" t="s">
        <v>628</v>
      </c>
    </row>
    <row r="21" spans="1:14" x14ac:dyDescent="0.25">
      <c r="A21" s="8" t="s">
        <v>11</v>
      </c>
      <c r="B21" s="9" t="s">
        <v>573</v>
      </c>
      <c r="C21" s="8" t="s">
        <v>123</v>
      </c>
      <c r="D21" s="8"/>
      <c r="E21" s="8"/>
      <c r="F21" s="8">
        <v>3</v>
      </c>
      <c r="G21" s="8" t="s">
        <v>10</v>
      </c>
      <c r="H21" s="8">
        <v>1</v>
      </c>
      <c r="J21" t="s">
        <v>631</v>
      </c>
      <c r="K21">
        <v>2</v>
      </c>
      <c r="L21" t="s">
        <v>395</v>
      </c>
      <c r="M21" t="s">
        <v>90</v>
      </c>
    </row>
    <row r="22" spans="1:14" x14ac:dyDescent="0.25">
      <c r="A22" s="8" t="s">
        <v>32</v>
      </c>
      <c r="B22" s="9" t="s">
        <v>574</v>
      </c>
      <c r="C22" s="8" t="s">
        <v>52</v>
      </c>
      <c r="D22" s="8" t="s">
        <v>575</v>
      </c>
      <c r="E22" s="8"/>
      <c r="F22" s="8">
        <v>1</v>
      </c>
      <c r="G22" s="8" t="s">
        <v>10</v>
      </c>
      <c r="H22" s="8">
        <v>1</v>
      </c>
      <c r="J22" t="s">
        <v>630</v>
      </c>
      <c r="L22" t="s">
        <v>395</v>
      </c>
      <c r="M22" t="s">
        <v>628</v>
      </c>
    </row>
    <row r="23" spans="1:14" x14ac:dyDescent="0.25">
      <c r="A23" s="8" t="s">
        <v>11</v>
      </c>
      <c r="B23" s="9"/>
      <c r="C23" s="8" t="s">
        <v>121</v>
      </c>
      <c r="D23" s="8"/>
      <c r="E23" s="8"/>
      <c r="F23" s="8">
        <v>5</v>
      </c>
      <c r="G23" s="8" t="s">
        <v>10</v>
      </c>
      <c r="H23" s="8">
        <v>1</v>
      </c>
      <c r="J23" t="s">
        <v>633</v>
      </c>
      <c r="K23">
        <v>1</v>
      </c>
      <c r="L23" t="s">
        <v>632</v>
      </c>
      <c r="M23" t="s">
        <v>635</v>
      </c>
    </row>
    <row r="24" spans="1:14" ht="30" x14ac:dyDescent="0.25">
      <c r="A24" s="8" t="s">
        <v>32</v>
      </c>
      <c r="B24" s="9" t="s">
        <v>576</v>
      </c>
      <c r="C24" s="8" t="s">
        <v>52</v>
      </c>
      <c r="D24" s="8" t="s">
        <v>577</v>
      </c>
      <c r="E24" s="8"/>
      <c r="F24" s="8">
        <v>1</v>
      </c>
      <c r="G24" s="8" t="s">
        <v>10</v>
      </c>
      <c r="H24" s="8">
        <v>1</v>
      </c>
      <c r="J24" t="s">
        <v>634</v>
      </c>
      <c r="K24">
        <v>6</v>
      </c>
      <c r="L24" t="s">
        <v>632</v>
      </c>
      <c r="M24" t="s">
        <v>409</v>
      </c>
    </row>
    <row r="25" spans="1:14" x14ac:dyDescent="0.25">
      <c r="A25" s="8" t="s">
        <v>175</v>
      </c>
      <c r="B25" s="9"/>
      <c r="C25" s="8" t="s">
        <v>237</v>
      </c>
      <c r="D25" s="8" t="s">
        <v>304</v>
      </c>
      <c r="E25" s="8"/>
      <c r="F25" s="8">
        <v>1</v>
      </c>
      <c r="G25" s="8" t="s">
        <v>10</v>
      </c>
      <c r="H25" s="8">
        <v>1</v>
      </c>
      <c r="J25" t="s">
        <v>637</v>
      </c>
      <c r="K25">
        <v>5</v>
      </c>
      <c r="L25" t="s">
        <v>636</v>
      </c>
      <c r="M25" t="s">
        <v>89</v>
      </c>
    </row>
    <row r="26" spans="1:14" x14ac:dyDescent="0.25">
      <c r="A26" s="8" t="s">
        <v>156</v>
      </c>
      <c r="B26" s="9" t="s">
        <v>578</v>
      </c>
      <c r="C26" s="8"/>
      <c r="D26" s="8"/>
      <c r="E26" s="8"/>
      <c r="F26" s="8">
        <v>1</v>
      </c>
      <c r="G26" s="8" t="s">
        <v>5</v>
      </c>
      <c r="H26" s="8">
        <v>1</v>
      </c>
      <c r="J26" t="s">
        <v>391</v>
      </c>
      <c r="K26">
        <v>6</v>
      </c>
      <c r="L26" t="s">
        <v>396</v>
      </c>
      <c r="M26" t="s">
        <v>90</v>
      </c>
    </row>
    <row r="27" spans="1:14" x14ac:dyDescent="0.25">
      <c r="A27" s="8" t="s">
        <v>156</v>
      </c>
      <c r="B27" s="9" t="s">
        <v>579</v>
      </c>
      <c r="C27" s="8"/>
      <c r="D27" s="8"/>
      <c r="E27" s="8"/>
      <c r="F27" s="8">
        <v>1</v>
      </c>
      <c r="G27" s="8" t="s">
        <v>5</v>
      </c>
      <c r="H27" s="8">
        <v>1</v>
      </c>
      <c r="J27" t="s">
        <v>638</v>
      </c>
      <c r="K27">
        <v>20</v>
      </c>
      <c r="L27" t="s">
        <v>376</v>
      </c>
      <c r="M27" t="s">
        <v>481</v>
      </c>
    </row>
    <row r="28" spans="1:14" x14ac:dyDescent="0.25">
      <c r="A28" s="8" t="s">
        <v>156</v>
      </c>
      <c r="B28" s="9" t="s">
        <v>580</v>
      </c>
      <c r="C28" s="8"/>
      <c r="D28" s="8"/>
      <c r="E28" s="8"/>
      <c r="F28" s="8">
        <v>1</v>
      </c>
      <c r="G28" s="8" t="s">
        <v>5</v>
      </c>
      <c r="H28" s="8">
        <v>1</v>
      </c>
      <c r="J28" t="s">
        <v>640</v>
      </c>
      <c r="L28" t="s">
        <v>639</v>
      </c>
      <c r="M28" t="s">
        <v>641</v>
      </c>
      <c r="N28" t="s">
        <v>642</v>
      </c>
    </row>
    <row r="29" spans="1:14" x14ac:dyDescent="0.25">
      <c r="A29" s="8" t="s">
        <v>154</v>
      </c>
      <c r="B29" s="9" t="s">
        <v>155</v>
      </c>
      <c r="C29" s="8"/>
      <c r="D29" s="8"/>
      <c r="E29" s="8"/>
      <c r="F29" s="8">
        <v>1</v>
      </c>
      <c r="G29" s="8" t="s">
        <v>5</v>
      </c>
      <c r="H29" s="8">
        <v>1</v>
      </c>
      <c r="J29" t="s">
        <v>640</v>
      </c>
      <c r="K29" t="s">
        <v>643</v>
      </c>
      <c r="L29" t="s">
        <v>639</v>
      </c>
      <c r="M29" t="s">
        <v>641</v>
      </c>
      <c r="N29" t="s">
        <v>645</v>
      </c>
    </row>
    <row r="30" spans="1:14" ht="75" x14ac:dyDescent="0.25">
      <c r="A30" s="8" t="s">
        <v>92</v>
      </c>
      <c r="B30" s="9" t="str">
        <f>bolso("Caja de herramientas 1",Table625[])</f>
        <v xml:space="preserve">Caja de herramientas 1 Contiene:  martillo x3,  llave francesa x1,  Destornillador phillips x3,  Destornillador plano x3,  llave union x1,  pico de loro x1,  pinza x1,  alicate x2,  llave 1/2 y 9/16 x1, </v>
      </c>
      <c r="C30" s="8"/>
      <c r="D30" s="8"/>
      <c r="E30" s="8"/>
      <c r="F30" s="8">
        <v>1</v>
      </c>
      <c r="G30" s="8" t="s">
        <v>5</v>
      </c>
      <c r="H30" s="8">
        <v>1</v>
      </c>
      <c r="J30" t="s">
        <v>640</v>
      </c>
      <c r="K30" t="s">
        <v>644</v>
      </c>
      <c r="L30" t="s">
        <v>639</v>
      </c>
      <c r="M30" t="s">
        <v>641</v>
      </c>
      <c r="N30" t="s">
        <v>646</v>
      </c>
    </row>
    <row r="31" spans="1:14" ht="60" x14ac:dyDescent="0.25">
      <c r="A31" s="8" t="s">
        <v>92</v>
      </c>
      <c r="B31" s="9" t="str">
        <f>bolso("Bolso de trauma 1",Table625[])</f>
        <v xml:space="preserve">Bolso de trauma 1 Contiene:  Collar cervical x2,  Collar cervical x1,  bolsa valvula mascara x1,  valvula-mascara  x1,  Disp. Succion manual x1, </v>
      </c>
      <c r="C31" s="8"/>
      <c r="D31" s="8"/>
      <c r="E31" s="8"/>
      <c r="F31" s="8">
        <v>1</v>
      </c>
      <c r="G31" s="8" t="s">
        <v>5</v>
      </c>
      <c r="H31" s="8">
        <v>1</v>
      </c>
      <c r="J31" t="s">
        <v>648</v>
      </c>
      <c r="L31" t="s">
        <v>639</v>
      </c>
      <c r="M31" t="s">
        <v>641</v>
      </c>
      <c r="N31" t="s">
        <v>647</v>
      </c>
    </row>
    <row r="32" spans="1:14" ht="30" x14ac:dyDescent="0.25">
      <c r="A32" s="8" t="s">
        <v>92</v>
      </c>
      <c r="B32" s="9" t="str">
        <f>bolso("Bolso de cadaveres",Table625[])</f>
        <v xml:space="preserve">Bolso de cadaveres Contiene:  Traje de aprox. Clase C x3,  Guantes p cadaver x1, </v>
      </c>
      <c r="C32" s="8"/>
      <c r="D32" s="8"/>
      <c r="E32" s="8"/>
      <c r="F32" s="8">
        <v>1</v>
      </c>
      <c r="G32" s="8" t="s">
        <v>5</v>
      </c>
      <c r="H32" s="8">
        <v>1</v>
      </c>
      <c r="J32" t="s">
        <v>648</v>
      </c>
      <c r="L32" t="s">
        <v>639</v>
      </c>
      <c r="M32" t="s">
        <v>641</v>
      </c>
      <c r="N32" t="s">
        <v>649</v>
      </c>
    </row>
    <row r="33" spans="1:14" x14ac:dyDescent="0.25">
      <c r="A33" s="8" t="s">
        <v>156</v>
      </c>
      <c r="B33" s="9" t="s">
        <v>594</v>
      </c>
      <c r="C33" s="8"/>
      <c r="D33" s="8"/>
      <c r="E33" s="8"/>
      <c r="F33" s="8">
        <v>1</v>
      </c>
      <c r="G33" s="8" t="s">
        <v>5</v>
      </c>
      <c r="H33" s="8">
        <v>1</v>
      </c>
      <c r="J33" t="s">
        <v>641</v>
      </c>
      <c r="K33" t="s">
        <v>651</v>
      </c>
      <c r="L33" t="s">
        <v>639</v>
      </c>
      <c r="M33" t="s">
        <v>641</v>
      </c>
      <c r="N33" t="s">
        <v>650</v>
      </c>
    </row>
    <row r="34" spans="1:14" x14ac:dyDescent="0.25">
      <c r="A34" s="8" t="s">
        <v>595</v>
      </c>
      <c r="B34" s="9" t="s">
        <v>596</v>
      </c>
      <c r="C34" s="8" t="s">
        <v>52</v>
      </c>
      <c r="D34" s="8"/>
      <c r="E34" s="8">
        <v>27348635</v>
      </c>
      <c r="F34" s="8"/>
      <c r="G34" s="8" t="s">
        <v>9</v>
      </c>
      <c r="H34" s="8">
        <v>1</v>
      </c>
      <c r="J34" t="s">
        <v>664</v>
      </c>
      <c r="K34">
        <v>1</v>
      </c>
      <c r="L34" t="s">
        <v>29</v>
      </c>
      <c r="M34" t="s">
        <v>665</v>
      </c>
    </row>
    <row r="35" spans="1:14" x14ac:dyDescent="0.25">
      <c r="A35" s="8" t="s">
        <v>59</v>
      </c>
      <c r="B35" s="9" t="s">
        <v>598</v>
      </c>
      <c r="C35" s="8" t="s">
        <v>52</v>
      </c>
      <c r="D35" s="8" t="s">
        <v>597</v>
      </c>
      <c r="E35" s="8"/>
      <c r="F35" s="8"/>
      <c r="G35" s="8" t="s">
        <v>9</v>
      </c>
      <c r="H35" s="8">
        <v>1</v>
      </c>
      <c r="J35" t="s">
        <v>205</v>
      </c>
      <c r="K35">
        <v>1</v>
      </c>
      <c r="L35" t="s">
        <v>29</v>
      </c>
      <c r="M35" t="s">
        <v>156</v>
      </c>
    </row>
    <row r="36" spans="1:14" x14ac:dyDescent="0.25">
      <c r="A36" s="8" t="s">
        <v>53</v>
      </c>
      <c r="B36" s="9"/>
      <c r="C36" s="8"/>
      <c r="D36" s="8"/>
      <c r="E36" s="8"/>
      <c r="F36" s="8">
        <v>7</v>
      </c>
      <c r="G36" s="8" t="s">
        <v>9</v>
      </c>
      <c r="H36" s="8">
        <v>1</v>
      </c>
      <c r="J36" t="s">
        <v>666</v>
      </c>
      <c r="K36">
        <v>2</v>
      </c>
      <c r="L36" t="s">
        <v>29</v>
      </c>
      <c r="M36" t="s">
        <v>156</v>
      </c>
    </row>
    <row r="37" spans="1:14" x14ac:dyDescent="0.25">
      <c r="A37" s="8" t="s">
        <v>599</v>
      </c>
      <c r="B37" s="9"/>
      <c r="C37" s="8" t="s">
        <v>52</v>
      </c>
      <c r="D37" s="8"/>
      <c r="E37" s="8"/>
      <c r="F37" s="8">
        <v>1</v>
      </c>
      <c r="G37" s="8" t="s">
        <v>9</v>
      </c>
      <c r="H37" s="8">
        <v>1</v>
      </c>
      <c r="J37" t="s">
        <v>667</v>
      </c>
      <c r="K37">
        <v>1</v>
      </c>
      <c r="L37" t="s">
        <v>29</v>
      </c>
      <c r="M37" t="s">
        <v>156</v>
      </c>
    </row>
    <row r="38" spans="1:14" x14ac:dyDescent="0.25">
      <c r="A38" s="8" t="s">
        <v>44</v>
      </c>
      <c r="B38" s="9" t="s">
        <v>600</v>
      </c>
      <c r="C38" s="8" t="s">
        <v>45</v>
      </c>
      <c r="D38" s="8"/>
      <c r="E38" s="8"/>
      <c r="F38" s="8">
        <v>1</v>
      </c>
      <c r="G38" s="8" t="s">
        <v>9</v>
      </c>
      <c r="H38" s="8">
        <v>1</v>
      </c>
      <c r="J38" t="s">
        <v>668</v>
      </c>
      <c r="K38">
        <v>1</v>
      </c>
      <c r="L38" t="s">
        <v>29</v>
      </c>
      <c r="M38" t="s">
        <v>156</v>
      </c>
    </row>
    <row r="39" spans="1:14" x14ac:dyDescent="0.25">
      <c r="A39" s="8" t="s">
        <v>11</v>
      </c>
      <c r="B39" s="9"/>
      <c r="C39" s="8" t="s">
        <v>123</v>
      </c>
      <c r="D39" s="8"/>
      <c r="E39" s="8"/>
      <c r="F39" s="8">
        <v>2</v>
      </c>
      <c r="G39" s="8" t="s">
        <v>9</v>
      </c>
      <c r="H39" s="8">
        <v>1</v>
      </c>
      <c r="J39" t="s">
        <v>669</v>
      </c>
      <c r="K39">
        <v>1</v>
      </c>
      <c r="L39" t="s">
        <v>29</v>
      </c>
      <c r="M39" t="s">
        <v>156</v>
      </c>
    </row>
    <row r="40" spans="1:14" x14ac:dyDescent="0.25">
      <c r="A40" s="8" t="s">
        <v>601</v>
      </c>
      <c r="B40" s="9" t="s">
        <v>602</v>
      </c>
      <c r="C40" s="8"/>
      <c r="D40" s="8"/>
      <c r="E40" s="8"/>
      <c r="F40" s="8">
        <v>1</v>
      </c>
      <c r="G40" s="8" t="s">
        <v>9</v>
      </c>
      <c r="H40" s="8">
        <v>1</v>
      </c>
      <c r="J40" t="s">
        <v>671</v>
      </c>
      <c r="K40">
        <v>3</v>
      </c>
      <c r="L40" t="s">
        <v>29</v>
      </c>
      <c r="M40" t="s">
        <v>670</v>
      </c>
    </row>
    <row r="41" spans="1:14" x14ac:dyDescent="0.25">
      <c r="A41" s="8" t="s">
        <v>595</v>
      </c>
      <c r="B41" s="9" t="s">
        <v>603</v>
      </c>
      <c r="C41" s="8"/>
      <c r="D41" s="8" t="s">
        <v>604</v>
      </c>
      <c r="E41" s="8"/>
      <c r="F41" s="8">
        <v>1</v>
      </c>
      <c r="G41" s="8" t="s">
        <v>9</v>
      </c>
      <c r="H41" s="8">
        <v>1</v>
      </c>
      <c r="J41" t="s">
        <v>17</v>
      </c>
      <c r="K41">
        <v>1</v>
      </c>
      <c r="L41" t="s">
        <v>29</v>
      </c>
      <c r="M41" t="s">
        <v>156</v>
      </c>
    </row>
    <row r="42" spans="1:14" x14ac:dyDescent="0.25">
      <c r="A42" s="8" t="s">
        <v>173</v>
      </c>
      <c r="B42" s="9"/>
      <c r="C42" s="8" t="s">
        <v>66</v>
      </c>
      <c r="D42" s="8"/>
      <c r="E42" s="8"/>
      <c r="F42" s="8">
        <v>1</v>
      </c>
      <c r="G42" s="8" t="s">
        <v>9</v>
      </c>
      <c r="H42" s="8">
        <v>1</v>
      </c>
      <c r="J42" t="s">
        <v>672</v>
      </c>
      <c r="K42">
        <v>1</v>
      </c>
      <c r="L42" t="s">
        <v>29</v>
      </c>
      <c r="M42" t="s">
        <v>156</v>
      </c>
    </row>
    <row r="43" spans="1:14" x14ac:dyDescent="0.25">
      <c r="A43" s="8" t="s">
        <v>156</v>
      </c>
      <c r="B43" s="9" t="s">
        <v>26</v>
      </c>
      <c r="C43" s="8"/>
      <c r="D43" s="8"/>
      <c r="E43" s="8"/>
      <c r="F43" s="8">
        <v>4</v>
      </c>
      <c r="G43" s="8" t="s">
        <v>9</v>
      </c>
      <c r="H43" s="8">
        <v>1</v>
      </c>
      <c r="J43" t="s">
        <v>673</v>
      </c>
      <c r="K43">
        <v>3</v>
      </c>
      <c r="L43" t="s">
        <v>29</v>
      </c>
      <c r="M43" t="s">
        <v>156</v>
      </c>
    </row>
    <row r="44" spans="1:14" x14ac:dyDescent="0.25">
      <c r="A44" s="8" t="s">
        <v>174</v>
      </c>
      <c r="B44" s="9"/>
      <c r="C44" s="8" t="s">
        <v>236</v>
      </c>
      <c r="D44" s="8"/>
      <c r="E44" s="8"/>
      <c r="F44" s="8"/>
      <c r="G44" s="8" t="s">
        <v>9</v>
      </c>
      <c r="H44" s="8">
        <v>1</v>
      </c>
      <c r="J44" t="s">
        <v>585</v>
      </c>
      <c r="K44">
        <v>2</v>
      </c>
      <c r="L44" t="s">
        <v>29</v>
      </c>
      <c r="M44" t="s">
        <v>156</v>
      </c>
    </row>
    <row r="45" spans="1:14" x14ac:dyDescent="0.25">
      <c r="A45" s="8" t="s">
        <v>44</v>
      </c>
      <c r="B45" s="9" t="s">
        <v>605</v>
      </c>
      <c r="C45" s="8" t="s">
        <v>45</v>
      </c>
      <c r="D45" s="8"/>
      <c r="E45" s="8"/>
      <c r="F45" s="8">
        <v>1</v>
      </c>
      <c r="G45" s="8" t="s">
        <v>9</v>
      </c>
      <c r="H45" s="8">
        <v>1</v>
      </c>
      <c r="J45" t="s">
        <v>23</v>
      </c>
      <c r="K45">
        <v>1</v>
      </c>
      <c r="L45" t="s">
        <v>29</v>
      </c>
      <c r="M45" t="s">
        <v>156</v>
      </c>
    </row>
    <row r="46" spans="1:14" ht="30" x14ac:dyDescent="0.25">
      <c r="A46" s="8" t="s">
        <v>73</v>
      </c>
      <c r="B46" s="9" t="s">
        <v>576</v>
      </c>
      <c r="C46" s="8"/>
      <c r="D46" s="8"/>
      <c r="E46" s="8"/>
      <c r="F46" s="8">
        <v>2</v>
      </c>
      <c r="G46" s="8" t="s">
        <v>6</v>
      </c>
      <c r="H46" s="8">
        <v>1</v>
      </c>
      <c r="J46" t="s">
        <v>674</v>
      </c>
      <c r="K46">
        <v>1</v>
      </c>
      <c r="L46" t="s">
        <v>29</v>
      </c>
      <c r="M46" t="s">
        <v>156</v>
      </c>
    </row>
    <row r="47" spans="1:14" x14ac:dyDescent="0.25">
      <c r="A47" s="8" t="s">
        <v>243</v>
      </c>
      <c r="B47" s="9"/>
      <c r="C47" s="8"/>
      <c r="D47" s="8" t="s">
        <v>606</v>
      </c>
      <c r="E47" s="8" t="s">
        <v>607</v>
      </c>
      <c r="F47" s="8">
        <v>1</v>
      </c>
      <c r="G47" s="8" t="s">
        <v>6</v>
      </c>
      <c r="H47" s="8">
        <v>1</v>
      </c>
    </row>
    <row r="48" spans="1:14" x14ac:dyDescent="0.25">
      <c r="A48" s="8" t="s">
        <v>608</v>
      </c>
      <c r="B48" s="9"/>
      <c r="C48" s="8"/>
      <c r="D48" s="8" t="s">
        <v>182</v>
      </c>
      <c r="E48" s="8" t="s">
        <v>609</v>
      </c>
      <c r="F48" s="8">
        <v>1</v>
      </c>
      <c r="G48" s="8" t="s">
        <v>6</v>
      </c>
      <c r="H48" s="8">
        <v>1</v>
      </c>
    </row>
    <row r="49" spans="1:9" x14ac:dyDescent="0.25">
      <c r="A49" s="8" t="s">
        <v>59</v>
      </c>
      <c r="B49" s="9" t="s">
        <v>610</v>
      </c>
      <c r="C49" s="8"/>
      <c r="D49" s="8"/>
      <c r="E49" s="8"/>
      <c r="F49" s="8">
        <v>1</v>
      </c>
      <c r="G49" s="8" t="s">
        <v>6</v>
      </c>
      <c r="H49" s="8">
        <v>1</v>
      </c>
    </row>
    <row r="50" spans="1:9" x14ac:dyDescent="0.25">
      <c r="A50" s="8" t="s">
        <v>11</v>
      </c>
      <c r="B50" s="9"/>
      <c r="C50" s="8" t="s">
        <v>79</v>
      </c>
      <c r="D50" s="8"/>
      <c r="E50" s="8"/>
      <c r="F50" s="8">
        <v>1</v>
      </c>
      <c r="G50" s="8" t="s">
        <v>6</v>
      </c>
      <c r="H50" s="8">
        <v>1</v>
      </c>
    </row>
    <row r="51" spans="1:9" x14ac:dyDescent="0.25">
      <c r="A51" s="8" t="s">
        <v>32</v>
      </c>
      <c r="B51" s="9" t="s">
        <v>574</v>
      </c>
      <c r="C51" s="8"/>
      <c r="D51" s="8"/>
      <c r="E51" s="8">
        <v>140700533</v>
      </c>
      <c r="F51" s="8">
        <v>1</v>
      </c>
      <c r="G51" s="8" t="s">
        <v>6</v>
      </c>
      <c r="H51" s="8">
        <v>1</v>
      </c>
    </row>
    <row r="52" spans="1:9" x14ac:dyDescent="0.25">
      <c r="A52" s="8" t="s">
        <v>11</v>
      </c>
      <c r="B52" s="9"/>
      <c r="C52" s="8" t="s">
        <v>123</v>
      </c>
      <c r="D52" s="8"/>
      <c r="E52" s="8"/>
      <c r="F52" s="8">
        <v>3</v>
      </c>
      <c r="G52" s="8" t="s">
        <v>6</v>
      </c>
      <c r="H52" s="8">
        <v>1</v>
      </c>
    </row>
    <row r="53" spans="1:9" x14ac:dyDescent="0.25">
      <c r="A53" s="8" t="s">
        <v>11</v>
      </c>
      <c r="B53" s="9"/>
      <c r="C53" s="8" t="s">
        <v>121</v>
      </c>
      <c r="D53" s="8"/>
      <c r="E53" s="8"/>
      <c r="F53" s="8">
        <v>3</v>
      </c>
      <c r="G53" s="8" t="s">
        <v>6</v>
      </c>
      <c r="H53" s="8">
        <v>1</v>
      </c>
    </row>
    <row r="54" spans="1:9" x14ac:dyDescent="0.25">
      <c r="A54" s="8" t="s">
        <v>11</v>
      </c>
      <c r="B54" s="9"/>
      <c r="C54" s="8" t="s">
        <v>79</v>
      </c>
      <c r="D54" s="8"/>
      <c r="E54" s="8"/>
      <c r="F54" s="8">
        <v>2</v>
      </c>
      <c r="G54" s="8" t="s">
        <v>6</v>
      </c>
      <c r="H54" s="8">
        <v>1</v>
      </c>
    </row>
    <row r="55" spans="1:9" x14ac:dyDescent="0.25">
      <c r="A55" s="8" t="s">
        <v>11</v>
      </c>
      <c r="B55" s="9"/>
      <c r="C55" s="8" t="s">
        <v>77</v>
      </c>
      <c r="D55" s="8"/>
      <c r="E55" s="8"/>
      <c r="F55" s="8">
        <v>1</v>
      </c>
      <c r="G55" s="8" t="s">
        <v>6</v>
      </c>
      <c r="H55" s="8">
        <v>1</v>
      </c>
    </row>
    <row r="56" spans="1:9" x14ac:dyDescent="0.25">
      <c r="A56" s="8" t="s">
        <v>35</v>
      </c>
      <c r="B56" s="9" t="s">
        <v>612</v>
      </c>
      <c r="C56" s="8" t="s">
        <v>103</v>
      </c>
      <c r="D56" s="8"/>
      <c r="E56" s="8"/>
      <c r="F56" s="8">
        <v>1</v>
      </c>
      <c r="G56" s="8" t="s">
        <v>36</v>
      </c>
      <c r="H56" s="8" t="s">
        <v>36</v>
      </c>
    </row>
    <row r="57" spans="1:9" x14ac:dyDescent="0.25">
      <c r="A57" s="8" t="s">
        <v>35</v>
      </c>
      <c r="B57" s="9" t="s">
        <v>611</v>
      </c>
      <c r="C57" s="8" t="s">
        <v>37</v>
      </c>
      <c r="D57" s="8"/>
      <c r="E57" s="8"/>
      <c r="F57" s="8">
        <v>1</v>
      </c>
      <c r="G57" s="8" t="s">
        <v>36</v>
      </c>
      <c r="H57" s="8" t="s">
        <v>36</v>
      </c>
    </row>
    <row r="58" spans="1:9" x14ac:dyDescent="0.25">
      <c r="A58" s="8" t="s">
        <v>40</v>
      </c>
      <c r="B58" s="9"/>
      <c r="C58" s="8" t="s">
        <v>41</v>
      </c>
      <c r="D58" s="8"/>
      <c r="E58" s="8"/>
      <c r="F58" s="8">
        <v>2</v>
      </c>
      <c r="G58" s="8" t="s">
        <v>36</v>
      </c>
      <c r="H58" s="8" t="s">
        <v>36</v>
      </c>
    </row>
    <row r="59" spans="1:9" x14ac:dyDescent="0.25">
      <c r="A59" s="8" t="s">
        <v>61</v>
      </c>
      <c r="B59" s="9" t="s">
        <v>613</v>
      </c>
      <c r="C59" s="8" t="s">
        <v>614</v>
      </c>
      <c r="D59" s="8"/>
      <c r="E59" s="8"/>
      <c r="F59" s="8">
        <v>1</v>
      </c>
      <c r="G59" s="8" t="s">
        <v>36</v>
      </c>
      <c r="H59" s="8" t="s">
        <v>36</v>
      </c>
    </row>
    <row r="60" spans="1:9" x14ac:dyDescent="0.25">
      <c r="A60" s="8" t="s">
        <v>156</v>
      </c>
      <c r="B60" s="9" t="s">
        <v>615</v>
      </c>
      <c r="C60" s="8" t="s">
        <v>554</v>
      </c>
      <c r="D60" s="8"/>
      <c r="E60" s="8"/>
      <c r="F60" s="8">
        <v>1</v>
      </c>
      <c r="G60" s="8" t="s">
        <v>36</v>
      </c>
      <c r="H60" s="8" t="s">
        <v>36</v>
      </c>
      <c r="I60" s="8"/>
    </row>
    <row r="61" spans="1:9" x14ac:dyDescent="0.25">
      <c r="A61" s="8" t="s">
        <v>156</v>
      </c>
      <c r="B61" s="9" t="s">
        <v>616</v>
      </c>
      <c r="C61" s="8"/>
      <c r="D61" s="8"/>
      <c r="E61" s="8"/>
      <c r="F61" s="8">
        <v>1</v>
      </c>
      <c r="G61" s="8" t="s">
        <v>8</v>
      </c>
      <c r="H61" s="8">
        <v>1</v>
      </c>
    </row>
    <row r="62" spans="1:9" x14ac:dyDescent="0.25">
      <c r="A62" s="8" t="s">
        <v>156</v>
      </c>
      <c r="B62" s="9" t="s">
        <v>617</v>
      </c>
      <c r="C62" s="8"/>
      <c r="D62" s="8"/>
      <c r="E62" s="8"/>
      <c r="F62" s="8">
        <v>1</v>
      </c>
      <c r="G62" s="8" t="s">
        <v>8</v>
      </c>
      <c r="H62" s="8">
        <v>1</v>
      </c>
    </row>
    <row r="63" spans="1:9" x14ac:dyDescent="0.25">
      <c r="A63" s="8" t="s">
        <v>156</v>
      </c>
      <c r="B63" s="9" t="s">
        <v>618</v>
      </c>
      <c r="C63" s="8"/>
      <c r="D63" s="8"/>
      <c r="E63" s="8"/>
      <c r="F63" s="8">
        <v>1</v>
      </c>
      <c r="G63" s="8" t="s">
        <v>8</v>
      </c>
      <c r="H63" s="8">
        <v>1</v>
      </c>
    </row>
    <row r="64" spans="1:9" x14ac:dyDescent="0.25">
      <c r="A64" s="8" t="s">
        <v>156</v>
      </c>
      <c r="B64" s="9" t="s">
        <v>619</v>
      </c>
      <c r="C64" s="8"/>
      <c r="D64" s="8"/>
      <c r="E64" s="8"/>
      <c r="F64" s="8">
        <v>2</v>
      </c>
      <c r="G64" s="8" t="s">
        <v>8</v>
      </c>
      <c r="H64" s="8">
        <v>1</v>
      </c>
    </row>
    <row r="65" spans="1:8" x14ac:dyDescent="0.25">
      <c r="A65" s="8" t="s">
        <v>156</v>
      </c>
      <c r="B65" s="9" t="s">
        <v>424</v>
      </c>
      <c r="C65" s="8"/>
      <c r="D65" s="8"/>
      <c r="E65" s="8"/>
      <c r="F65" s="8">
        <v>1</v>
      </c>
      <c r="G65" s="8" t="s">
        <v>8</v>
      </c>
      <c r="H65" s="8">
        <v>1</v>
      </c>
    </row>
    <row r="66" spans="1:8" x14ac:dyDescent="0.25">
      <c r="A66" s="8" t="s">
        <v>156</v>
      </c>
      <c r="B66" s="9" t="s">
        <v>620</v>
      </c>
      <c r="C66" s="8"/>
      <c r="D66" s="8"/>
      <c r="E66" s="8"/>
      <c r="F66" s="8">
        <v>1</v>
      </c>
      <c r="G66" s="8" t="s">
        <v>8</v>
      </c>
      <c r="H66" s="8">
        <v>1</v>
      </c>
    </row>
    <row r="67" spans="1:8" x14ac:dyDescent="0.25">
      <c r="A67" s="8" t="s">
        <v>156</v>
      </c>
      <c r="B67" s="9" t="s">
        <v>621</v>
      </c>
      <c r="C67" s="8"/>
      <c r="D67" s="8"/>
      <c r="E67" s="8"/>
      <c r="F67" s="8">
        <v>2</v>
      </c>
      <c r="G67" s="8" t="s">
        <v>8</v>
      </c>
      <c r="H67" s="8">
        <v>1</v>
      </c>
    </row>
    <row r="68" spans="1:8" x14ac:dyDescent="0.25">
      <c r="A68" s="8" t="s">
        <v>156</v>
      </c>
      <c r="B68" s="9" t="s">
        <v>622</v>
      </c>
      <c r="C68" s="8"/>
      <c r="D68" s="8"/>
      <c r="E68" s="8"/>
      <c r="F68" s="8">
        <v>3</v>
      </c>
      <c r="G68" s="8" t="s">
        <v>8</v>
      </c>
      <c r="H68" s="8">
        <v>1</v>
      </c>
    </row>
    <row r="69" spans="1:8" x14ac:dyDescent="0.25">
      <c r="A69" s="8" t="s">
        <v>623</v>
      </c>
      <c r="B69" s="9"/>
      <c r="C69" s="8"/>
      <c r="D69" s="8"/>
      <c r="E69" s="8"/>
      <c r="F69" s="8">
        <v>1</v>
      </c>
      <c r="G69" s="8" t="s">
        <v>8</v>
      </c>
      <c r="H69" s="8">
        <v>1</v>
      </c>
    </row>
    <row r="70" spans="1:8" x14ac:dyDescent="0.25">
      <c r="A70" s="8" t="s">
        <v>156</v>
      </c>
      <c r="B70" s="9" t="s">
        <v>624</v>
      </c>
      <c r="C70" s="8"/>
      <c r="D70" s="8"/>
      <c r="E70" s="8"/>
      <c r="F70" s="8">
        <v>4</v>
      </c>
      <c r="G70" s="8" t="s">
        <v>8</v>
      </c>
      <c r="H70" s="8">
        <v>1</v>
      </c>
    </row>
    <row r="71" spans="1:8" x14ac:dyDescent="0.25">
      <c r="A71" s="8" t="s">
        <v>156</v>
      </c>
      <c r="B71" s="9" t="s">
        <v>625</v>
      </c>
      <c r="C71" s="8"/>
      <c r="D71" s="8"/>
      <c r="E71" s="8"/>
      <c r="F71" s="8">
        <v>1</v>
      </c>
      <c r="G71" s="8" t="s">
        <v>8</v>
      </c>
      <c r="H71" s="8">
        <v>1</v>
      </c>
    </row>
    <row r="72" spans="1:8" x14ac:dyDescent="0.25">
      <c r="A72" s="8" t="s">
        <v>156</v>
      </c>
      <c r="B72" s="9" t="s">
        <v>159</v>
      </c>
      <c r="C72" s="8"/>
      <c r="D72" s="8"/>
      <c r="E72" s="8"/>
      <c r="F72" s="8">
        <v>2</v>
      </c>
      <c r="G72" s="8" t="s">
        <v>8</v>
      </c>
      <c r="H72" s="8">
        <v>1</v>
      </c>
    </row>
    <row r="73" spans="1:8" x14ac:dyDescent="0.25">
      <c r="A73" s="8" t="s">
        <v>156</v>
      </c>
      <c r="B73" s="9" t="s">
        <v>626</v>
      </c>
      <c r="C73" s="8"/>
      <c r="D73" s="8"/>
      <c r="E73" s="8"/>
      <c r="F73" s="8">
        <v>1</v>
      </c>
      <c r="G73" s="8" t="s">
        <v>8</v>
      </c>
      <c r="H73" s="8">
        <v>1</v>
      </c>
    </row>
    <row r="74" spans="1:8" x14ac:dyDescent="0.25">
      <c r="A74" s="8" t="s">
        <v>156</v>
      </c>
      <c r="B74" s="12" t="s">
        <v>627</v>
      </c>
      <c r="C74" s="8"/>
      <c r="D74" s="8"/>
      <c r="E74" s="8"/>
      <c r="F74" s="8">
        <v>2</v>
      </c>
      <c r="G74" s="8" t="s">
        <v>8</v>
      </c>
      <c r="H74" s="8">
        <v>1</v>
      </c>
    </row>
    <row r="75" spans="1:8" x14ac:dyDescent="0.25">
      <c r="A75" s="8" t="s">
        <v>109</v>
      </c>
      <c r="B75" s="9"/>
      <c r="C75" s="8" t="s">
        <v>125</v>
      </c>
      <c r="D75" s="8"/>
      <c r="E75" s="8"/>
      <c r="F75" s="8">
        <v>2</v>
      </c>
      <c r="G75" s="8" t="s">
        <v>8</v>
      </c>
      <c r="H75" s="8">
        <v>1</v>
      </c>
    </row>
    <row r="76" spans="1:8" ht="60" x14ac:dyDescent="0.25">
      <c r="A76" s="8" t="s">
        <v>92</v>
      </c>
      <c r="B76" s="9" t="str">
        <f>bolso("Cajon de hazmat 1",Table625[])</f>
        <v xml:space="preserve">Cajon de hazmat 1 Contiene:  Guantes para hazmat x1,  Traje de aprox. Clase B trelleborg x2,  Botas de hazmat phoenix x0, </v>
      </c>
      <c r="C76" s="8"/>
      <c r="D76" s="8"/>
      <c r="E76" s="8"/>
      <c r="F76" s="8">
        <v>1</v>
      </c>
      <c r="G76" s="8" t="s">
        <v>8</v>
      </c>
      <c r="H76" s="8">
        <v>1</v>
      </c>
    </row>
    <row r="77" spans="1:8" ht="45" x14ac:dyDescent="0.25">
      <c r="A77" s="8" t="s">
        <v>92</v>
      </c>
      <c r="B77" s="9" t="str">
        <f>bolso("Cajon de seguridad en escena 1",Table625[])</f>
        <v xml:space="preserve">Cajon de seguridad en escena 1 Contiene:  Protector auditivo sthil x1,  chaleco vial x6, </v>
      </c>
      <c r="C77" s="8"/>
      <c r="D77" s="8"/>
      <c r="E77" s="8"/>
      <c r="F77" s="8">
        <v>1</v>
      </c>
      <c r="G77" s="8" t="s">
        <v>8</v>
      </c>
      <c r="H77" s="8">
        <v>1</v>
      </c>
    </row>
    <row r="78" spans="1:8" ht="30" x14ac:dyDescent="0.25">
      <c r="A78" s="8" t="s">
        <v>92</v>
      </c>
      <c r="B78" s="9" t="str">
        <f>bolso("Cajon material nautico 1",Table625[])</f>
        <v xml:space="preserve">Cajon material nautico 1 Contiene:  Chaleco salvavidas secumar x5, </v>
      </c>
      <c r="C78" s="8"/>
      <c r="D78" s="8"/>
      <c r="E78" s="8"/>
      <c r="F78" s="8">
        <v>1</v>
      </c>
      <c r="G78" s="8" t="s">
        <v>8</v>
      </c>
      <c r="H78" s="8">
        <v>1</v>
      </c>
    </row>
    <row r="79" spans="1:8" x14ac:dyDescent="0.25">
      <c r="A79" s="8" t="s">
        <v>188</v>
      </c>
      <c r="B79" s="9"/>
      <c r="C79" s="8"/>
      <c r="D79" s="8"/>
      <c r="E79" s="8"/>
      <c r="F79" s="8">
        <v>6</v>
      </c>
      <c r="G79" s="8" t="s">
        <v>7</v>
      </c>
      <c r="H79" s="8" t="s">
        <v>231</v>
      </c>
    </row>
    <row r="80" spans="1:8" x14ac:dyDescent="0.25">
      <c r="A80" s="8" t="s">
        <v>190</v>
      </c>
      <c r="B80" s="9"/>
      <c r="C80" s="8"/>
      <c r="D80" s="8"/>
      <c r="E80" s="8"/>
      <c r="F80" s="8">
        <v>9</v>
      </c>
      <c r="G80" s="8" t="s">
        <v>7</v>
      </c>
      <c r="H80" s="8" t="s">
        <v>231</v>
      </c>
    </row>
    <row r="81" spans="1:8" x14ac:dyDescent="0.25">
      <c r="A81" s="8" t="s">
        <v>154</v>
      </c>
      <c r="B81" s="9" t="s">
        <v>652</v>
      </c>
      <c r="C81" s="8"/>
      <c r="D81" s="8"/>
      <c r="E81" s="8"/>
      <c r="F81" s="8">
        <v>1</v>
      </c>
      <c r="G81" s="8" t="s">
        <v>7</v>
      </c>
      <c r="H81" s="8" t="s">
        <v>231</v>
      </c>
    </row>
    <row r="82" spans="1:8" x14ac:dyDescent="0.25">
      <c r="A82" s="8" t="s">
        <v>518</v>
      </c>
      <c r="B82" s="9"/>
      <c r="C82" s="8"/>
      <c r="D82" s="8"/>
      <c r="E82" s="8"/>
      <c r="F82" s="8">
        <v>4</v>
      </c>
      <c r="G82" s="8" t="s">
        <v>7</v>
      </c>
      <c r="H82" s="8" t="s">
        <v>231</v>
      </c>
    </row>
    <row r="83" spans="1:8" x14ac:dyDescent="0.25">
      <c r="A83" s="8" t="s">
        <v>192</v>
      </c>
      <c r="B83" s="9"/>
      <c r="C83" s="8"/>
      <c r="D83" s="8"/>
      <c r="E83" s="8"/>
      <c r="F83" s="8">
        <v>1</v>
      </c>
      <c r="G83" s="8" t="s">
        <v>7</v>
      </c>
      <c r="H83" s="8" t="s">
        <v>231</v>
      </c>
    </row>
    <row r="84" spans="1:8" x14ac:dyDescent="0.25">
      <c r="A84" s="8" t="s">
        <v>404</v>
      </c>
      <c r="B84" s="9"/>
      <c r="C84" s="8" t="s">
        <v>653</v>
      </c>
      <c r="D84" s="8"/>
      <c r="E84" s="8"/>
      <c r="F84" s="8">
        <v>5</v>
      </c>
      <c r="G84" s="8" t="s">
        <v>7</v>
      </c>
      <c r="H84" s="8" t="s">
        <v>231</v>
      </c>
    </row>
    <row r="85" spans="1:8" x14ac:dyDescent="0.25">
      <c r="A85" s="8" t="s">
        <v>404</v>
      </c>
      <c r="B85" s="9"/>
      <c r="C85" s="8" t="s">
        <v>406</v>
      </c>
      <c r="D85" s="8"/>
      <c r="E85" s="8"/>
      <c r="F85" s="8">
        <v>1</v>
      </c>
      <c r="G85" s="8" t="s">
        <v>7</v>
      </c>
      <c r="H85" s="8" t="s">
        <v>231</v>
      </c>
    </row>
    <row r="86" spans="1:8" x14ac:dyDescent="0.25">
      <c r="A86" s="8" t="s">
        <v>404</v>
      </c>
      <c r="B86" s="9"/>
      <c r="C86" s="8" t="s">
        <v>541</v>
      </c>
      <c r="D86" s="8"/>
      <c r="E86" s="8"/>
      <c r="F86" s="8">
        <v>1</v>
      </c>
      <c r="G86" s="8" t="s">
        <v>7</v>
      </c>
      <c r="H86" s="8" t="s">
        <v>231</v>
      </c>
    </row>
    <row r="87" spans="1:8" x14ac:dyDescent="0.25">
      <c r="A87" s="8" t="s">
        <v>656</v>
      </c>
      <c r="B87" s="9"/>
      <c r="C87" s="8"/>
      <c r="D87" s="8"/>
      <c r="E87" s="8"/>
      <c r="F87" s="8">
        <v>2</v>
      </c>
      <c r="G87" s="8" t="s">
        <v>7</v>
      </c>
      <c r="H87" s="8" t="s">
        <v>231</v>
      </c>
    </row>
    <row r="88" spans="1:8" x14ac:dyDescent="0.25">
      <c r="A88" s="8" t="s">
        <v>478</v>
      </c>
      <c r="B88" s="9" t="s">
        <v>503</v>
      </c>
      <c r="C88" s="8"/>
      <c r="D88" s="8"/>
      <c r="E88" s="8"/>
      <c r="F88" s="8">
        <v>1</v>
      </c>
      <c r="G88" s="8" t="s">
        <v>7</v>
      </c>
      <c r="H88" s="8" t="s">
        <v>231</v>
      </c>
    </row>
    <row r="89" spans="1:8" x14ac:dyDescent="0.25">
      <c r="A89" s="8" t="s">
        <v>258</v>
      </c>
      <c r="B89" s="9" t="s">
        <v>657</v>
      </c>
      <c r="C89" s="8"/>
      <c r="D89" s="8"/>
      <c r="E89" s="8"/>
      <c r="F89" s="8">
        <v>1</v>
      </c>
      <c r="G89" s="8" t="s">
        <v>7</v>
      </c>
      <c r="H89" s="8" t="s">
        <v>231</v>
      </c>
    </row>
    <row r="90" spans="1:8" x14ac:dyDescent="0.25">
      <c r="A90" s="8" t="s">
        <v>212</v>
      </c>
      <c r="B90" s="9"/>
      <c r="C90" s="8" t="s">
        <v>470</v>
      </c>
      <c r="D90" s="8"/>
      <c r="E90" s="8">
        <v>173865</v>
      </c>
      <c r="F90" s="8">
        <v>1</v>
      </c>
      <c r="G90" s="8" t="s">
        <v>7</v>
      </c>
      <c r="H90" s="8" t="s">
        <v>231</v>
      </c>
    </row>
    <row r="91" spans="1:8" x14ac:dyDescent="0.25">
      <c r="A91" t="s">
        <v>193</v>
      </c>
      <c r="B91" s="9" t="s">
        <v>658</v>
      </c>
      <c r="C91" s="8"/>
      <c r="D91" s="8" t="s">
        <v>659</v>
      </c>
      <c r="E91" s="8">
        <v>27309</v>
      </c>
      <c r="F91" s="8">
        <v>1</v>
      </c>
      <c r="G91" s="8" t="s">
        <v>7</v>
      </c>
      <c r="H91" s="8" t="s">
        <v>231</v>
      </c>
    </row>
    <row r="92" spans="1:8" x14ac:dyDescent="0.25">
      <c r="A92" s="8" t="s">
        <v>217</v>
      </c>
      <c r="B92" s="9"/>
      <c r="C92" s="8"/>
      <c r="D92" s="8"/>
      <c r="E92" s="8" t="s">
        <v>660</v>
      </c>
      <c r="F92" s="8">
        <v>1</v>
      </c>
      <c r="G92" s="8" t="s">
        <v>7</v>
      </c>
      <c r="H92" s="8" t="s">
        <v>231</v>
      </c>
    </row>
    <row r="93" spans="1:8" x14ac:dyDescent="0.25">
      <c r="A93" s="8" t="s">
        <v>217</v>
      </c>
      <c r="B93" s="9"/>
      <c r="C93" s="8"/>
      <c r="D93" s="8"/>
      <c r="E93" s="8" t="s">
        <v>661</v>
      </c>
      <c r="F93" s="8">
        <v>1</v>
      </c>
      <c r="G93" s="8" t="s">
        <v>7</v>
      </c>
      <c r="H93" s="8" t="s">
        <v>231</v>
      </c>
    </row>
    <row r="94" spans="1:8" x14ac:dyDescent="0.25">
      <c r="A94" s="8" t="s">
        <v>192</v>
      </c>
      <c r="B94" s="9"/>
      <c r="C94" s="8"/>
      <c r="D94" s="8"/>
      <c r="E94" s="8"/>
      <c r="F94" s="8">
        <v>1</v>
      </c>
      <c r="G94" s="8" t="s">
        <v>7</v>
      </c>
      <c r="H94" s="8" t="s">
        <v>234</v>
      </c>
    </row>
    <row r="95" spans="1:8" x14ac:dyDescent="0.25">
      <c r="A95" s="8" t="s">
        <v>11</v>
      </c>
      <c r="B95" s="9"/>
      <c r="C95" s="8" t="s">
        <v>79</v>
      </c>
      <c r="D95" s="8"/>
      <c r="E95" s="8"/>
      <c r="F95" s="8">
        <v>1</v>
      </c>
      <c r="G95" s="8" t="s">
        <v>7</v>
      </c>
      <c r="H95" s="8" t="s">
        <v>234</v>
      </c>
    </row>
    <row r="96" spans="1:8" x14ac:dyDescent="0.25">
      <c r="A96" s="8" t="s">
        <v>160</v>
      </c>
      <c r="B96" s="9" t="s">
        <v>602</v>
      </c>
      <c r="C96" s="8" t="s">
        <v>662</v>
      </c>
      <c r="D96" s="8"/>
      <c r="E96" s="8"/>
      <c r="F96" s="8">
        <v>3</v>
      </c>
      <c r="G96" s="8" t="s">
        <v>7</v>
      </c>
      <c r="H96" s="8" t="s">
        <v>234</v>
      </c>
    </row>
    <row r="97" spans="1:8" x14ac:dyDescent="0.25">
      <c r="A97" s="8" t="s">
        <v>190</v>
      </c>
      <c r="B97" s="9"/>
      <c r="C97" s="8"/>
      <c r="D97" s="8"/>
      <c r="E97" s="8"/>
      <c r="F97" s="8">
        <v>2</v>
      </c>
      <c r="G97" s="8" t="s">
        <v>7</v>
      </c>
      <c r="H97" s="8" t="s">
        <v>233</v>
      </c>
    </row>
    <row r="98" spans="1:8" x14ac:dyDescent="0.25">
      <c r="A98" s="8" t="s">
        <v>11</v>
      </c>
      <c r="B98" s="9"/>
      <c r="C98" s="8" t="s">
        <v>79</v>
      </c>
      <c r="D98" s="8"/>
      <c r="E98" s="8"/>
      <c r="F98" s="8">
        <v>1</v>
      </c>
      <c r="G98" s="8" t="s">
        <v>7</v>
      </c>
      <c r="H98" s="8" t="s">
        <v>233</v>
      </c>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9"/>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8"/>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8"/>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row r="137" spans="1:8" x14ac:dyDescent="0.25">
      <c r="A137" s="8"/>
      <c r="B137" s="9"/>
      <c r="C137" s="8"/>
      <c r="D137" s="8"/>
      <c r="E137" s="8"/>
      <c r="F137" s="8"/>
      <c r="G137" s="8"/>
      <c r="H137" s="8"/>
    </row>
    <row r="138" spans="1:8" x14ac:dyDescent="0.25">
      <c r="A138" s="8"/>
      <c r="B138" s="9"/>
      <c r="C138" s="8"/>
      <c r="D138" s="8"/>
      <c r="E138" s="8"/>
      <c r="F138" s="8"/>
      <c r="G138" s="8"/>
      <c r="H138" s="8"/>
    </row>
    <row r="139" spans="1:8" x14ac:dyDescent="0.25">
      <c r="A139" s="8"/>
      <c r="B139" s="9"/>
      <c r="C139" s="8"/>
      <c r="D139" s="8"/>
      <c r="E139" s="8"/>
      <c r="F139" s="8"/>
      <c r="G139" s="8"/>
      <c r="H139" s="8"/>
    </row>
  </sheetData>
  <mergeCells count="1">
    <mergeCell ref="R3:W3"/>
  </mergeCells>
  <dataValidations count="7">
    <dataValidation type="list" allowBlank="1" showInputMessage="1" showErrorMessage="1" sqref="P14 N4:N46" xr:uid="{9570069C-680E-43F0-A274-6FF141815118}">
      <formula1>INDEX(Medidas,0,MATCH(OFFSET(INDIRECT(ADDRESS(ROW(), COLUMN())),0,-1),categoriasDeMedidas,0))</formula1>
    </dataValidation>
    <dataValidation type="list" allowBlank="1" showInputMessage="1" showErrorMessage="1" sqref="N1:N3 N47:N1048576 H132:H1048576 H1 H3:H55 H61:H126" xr:uid="{D7088944-1A2F-46B7-BCAB-A80BF48B05D5}">
      <formula1>INDEX(Compartimientos,0,MATCH(OFFSET(INDIRECT(ADDRESS(ROW(), COLUMN())),0,-1),Cajoneras,0))</formula1>
    </dataValidation>
    <dataValidation type="list" allowBlank="1" showInputMessage="1" showErrorMessage="1" sqref="C1" xr:uid="{B97E1685-891B-418D-8367-DC6D9F5CA566}">
      <formula1>Medidas</formula1>
    </dataValidation>
    <dataValidation type="list" allowBlank="1" showInputMessage="1" showErrorMessage="1" sqref="A1:A1048576" xr:uid="{58756418-36DD-4166-A20C-B9253895726C}">
      <formula1>categorias</formula1>
    </dataValidation>
    <dataValidation type="list" allowBlank="1" showInputMessage="1" showErrorMessage="1" sqref="H60:I60 H56:H59 G1:G1048576" xr:uid="{91411108-00DD-4AAD-AFD3-7E4F18DCFA38}">
      <formula1>$R$4:$Z$4</formula1>
    </dataValidation>
    <dataValidation type="list" allowBlank="1" showInputMessage="1" showErrorMessage="1" sqref="H2" xr:uid="{7C3379AB-4336-4C6D-8FF5-E18FC9833EAF}">
      <formula1>INDEX($R$5:$Z$8,0,MATCH(OFFSET(INDIRECT(ADDRESS(ROW(), COLUMN())),0,-1),$R$4:$Z$4,0))</formula1>
    </dataValidation>
    <dataValidation type="list" allowBlank="1" showInputMessage="1" showErrorMessage="1" sqref="L1:L25 L47:L1048576" xr:uid="{9B51F6F7-D609-46BB-8F82-8FFECADB6CB1}">
      <formula1>$P:$P</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5">
        <x14:dataValidation type="list" allowBlank="1" showInputMessage="1" showErrorMessage="1" xr:uid="{54A2A25E-FF4E-49C1-AC80-DA2455C8FD26}">
          <x14:formula1>
            <xm:f>Configuracion!$S$2:$S$11</xm:f>
          </x14:formula1>
          <xm:sqref>C125</xm:sqref>
        </x14:dataValidation>
        <x14:dataValidation type="list" allowBlank="1" showInputMessage="1" showErrorMessage="1" xr:uid="{003D68D8-598A-483F-86A2-B3F17DF4F47F}">
          <x14:formula1>
            <xm:f>Configuracion!$K$2:$K$7</xm:f>
          </x14:formula1>
          <xm:sqref>C123 C38 C45</xm:sqref>
        </x14:dataValidation>
        <x14:dataValidation type="list" allowBlank="1" showInputMessage="1" showErrorMessage="1" xr:uid="{3352AEF2-6B4D-436E-8D18-C6B61B85EE91}">
          <x14:formula1>
            <xm:f>Configuracion!$G$2:$G$6</xm:f>
          </x14:formula1>
          <xm:sqref>C29 C22 C24 C51</xm:sqref>
        </x14:dataValidation>
        <x14:dataValidation type="list" allowBlank="1" showInputMessage="1" showErrorMessage="1" xr:uid="{5D9CFBB2-B4D8-4C31-B989-AE13787D42CF}">
          <x14:formula1>
            <xm:f>Configuracion!$I$2:$I$7</xm:f>
          </x14:formula1>
          <xm:sqref>C118 C58</xm:sqref>
        </x14:dataValidation>
        <x14:dataValidation type="list" allowBlank="1" showInputMessage="1" showErrorMessage="1" xr:uid="{56AE141D-C1DB-4CA5-8260-6939D05750E8}">
          <x14:formula1>
            <xm:f>Configuracion!$N$2:$N$9</xm:f>
          </x14:formula1>
          <xm:sqref>C106 C35 C49</xm:sqref>
        </x14:dataValidation>
        <x14:dataValidation type="list" allowBlank="1" showInputMessage="1" showErrorMessage="1" xr:uid="{C99F6371-3865-424E-82F7-189F28463BA7}">
          <x14:formula1>
            <xm:f>Configuracion!$S$2:$S$10</xm:f>
          </x14:formula1>
          <xm:sqref>C89</xm:sqref>
        </x14:dataValidation>
        <x14:dataValidation type="list" allowBlank="1" showInputMessage="1" showErrorMessage="1" xr:uid="{4DBE5F52-883E-46EF-A294-C91B02CC8D17}">
          <x14:formula1>
            <xm:f>Configuracion!$J$2:$J$5</xm:f>
          </x14:formula1>
          <xm:sqref>C18:C19</xm:sqref>
        </x14:dataValidation>
        <x14:dataValidation type="list" allowBlank="1" showInputMessage="1" showErrorMessage="1" xr:uid="{9A3A1EEB-8672-4423-9C3E-E597542E146E}">
          <x14:formula1>
            <xm:f>Configuracion!$H$2:$H$6</xm:f>
          </x14:formula1>
          <xm:sqref>C20</xm:sqref>
        </x14:dataValidation>
        <x14:dataValidation type="list" allowBlank="1" showInputMessage="1" showErrorMessage="1" xr:uid="{F2554EA9-6B37-4803-B42F-1F18DD1628E5}">
          <x14:formula1>
            <xm:f>Configuracion!$F$2:$F$10</xm:f>
          </x14:formula1>
          <xm:sqref>C110:C111</xm:sqref>
        </x14:dataValidation>
        <x14:dataValidation type="list" allowBlank="1" showInputMessage="1" showErrorMessage="1" xr:uid="{19F3B1B5-EAC7-442F-8EFB-6335E3FB20D1}">
          <x14:formula1>
            <xm:f>Configuracion!$O$2:$O$7</xm:f>
          </x14:formula1>
          <xm:sqref>C36</xm:sqref>
        </x14:dataValidation>
        <x14:dataValidation type="list" allowBlank="1" showInputMessage="1" showErrorMessage="1" xr:uid="{63DD7291-1D5B-46CA-BC6E-C5AE9BFBD9FF}">
          <x14:formula1>
            <xm:f>Configuracion!$F$2:$F$7</xm:f>
          </x14:formula1>
          <xm:sqref>C30</xm:sqref>
        </x14:dataValidation>
        <x14:dataValidation type="list" allowBlank="1" showInputMessage="1" showErrorMessage="1" xr:uid="{056C640A-D8FE-4544-90EF-CADFD351A88C}">
          <x14:formula1>
            <xm:f>Configuracion!$F$2:$F$6</xm:f>
          </x14:formula1>
          <xm:sqref>C28</xm:sqref>
        </x14:dataValidation>
        <x14:dataValidation type="list" allowBlank="1" showInputMessage="1" showErrorMessage="1" xr:uid="{86853C23-88D7-4CA4-9748-F8EFA7D5F8EE}">
          <x14:formula1>
            <xm:f>Configuracion!$F$2:$F$3</xm:f>
          </x14:formula1>
          <xm:sqref>C17</xm:sqref>
        </x14:dataValidation>
        <x14:dataValidation type="list" allowBlank="1" showInputMessage="1" showErrorMessage="1" xr:uid="{4FC089C8-42D0-4262-B79F-9104DFB966A5}">
          <x14:formula1>
            <xm:f>Configuracion!$F$2:$F$5</xm:f>
          </x14:formula1>
          <xm:sqref>C27</xm:sqref>
        </x14:dataValidation>
        <x14:dataValidation type="list" allowBlank="1" showInputMessage="1" showErrorMessage="1" xr:uid="{4CC47CAD-D505-4C2D-9168-71740D9F4D9F}">
          <x14:formula1>
            <xm:f>Configuracion!$G$2:$G$3</xm:f>
          </x14:formula1>
          <xm:sqref>C112:C113</xm:sqref>
        </x14:dataValidation>
        <x14:dataValidation type="list" allowBlank="1" showInputMessage="1" showErrorMessage="1" xr:uid="{1625E478-E57F-4FEF-A485-6B94E9D5A17D}">
          <x14:formula1>
            <xm:f>Configuracion!$M$2:$M$9</xm:f>
          </x14:formula1>
          <xm:sqref>C59</xm:sqref>
        </x14:dataValidation>
        <x14:dataValidation type="list" allowBlank="1" showInputMessage="1" showErrorMessage="1" xr:uid="{6BE9BFCA-60D6-4686-90B6-AC87D6E4E840}">
          <x14:formula1>
            <xm:f>Configuracion!$R$2:$R$11</xm:f>
          </x14:formula1>
          <xm:sqref>C44</xm:sqref>
        </x14:dataValidation>
        <x14:dataValidation type="list" allowBlank="1" showInputMessage="1" showErrorMessage="1" xr:uid="{56DA4212-63F8-4963-BCA2-9B1E6B6A4870}">
          <x14:formula1>
            <xm:f>Configuracion!$S$2:$S$3</xm:f>
          </x14:formula1>
          <xm:sqref>C16 C25:C26 C46 C61 C81</xm:sqref>
        </x14:dataValidation>
        <x14:dataValidation type="list" allowBlank="1" showInputMessage="1" showErrorMessage="1" xr:uid="{08CB4ED5-E198-432A-97E3-44D7BF3370BC}">
          <x14:formula1>
            <xm:f>Configuracion!$F$2:$F$11</xm:f>
          </x14:formula1>
          <xm:sqref>C21 C23 C39 C50 C52:C55 C95 C98</xm:sqref>
        </x14:dataValidation>
        <x14:dataValidation type="list" allowBlank="1" showInputMessage="1" showErrorMessage="1" xr:uid="{A4841112-B0C8-4BCC-AA67-F77AAD154CF9}">
          <x14:formula1>
            <xm:f>Configuracion!$H$2:$H$4</xm:f>
          </x14:formula1>
          <xm:sqref>C56:C57</xm:sqref>
        </x14:dataValidation>
        <x14:dataValidation type="list" allowBlank="1" showInputMessage="1" showErrorMessage="1" xr:uid="{505F4BB1-84F4-4B28-8160-F2BC7030A567}">
          <x14:formula1>
            <xm:f>Configuracion!$Q$2:$Q$7</xm:f>
          </x14:formula1>
          <xm:sqref>C75</xm:sqref>
        </x14:dataValidation>
        <x14:dataValidation type="list" allowBlank="1" showInputMessage="1" showErrorMessage="1" xr:uid="{14A3BCEF-3DC8-4C4C-A3DE-EC553E18ABDD}">
          <x14:formula1>
            <xm:f>Configuracion!$A:$A</xm:f>
          </x14:formula1>
          <xm:sqref>M1:M22 M24:M27 M34:M1048576</xm:sqref>
        </x14:dataValidation>
        <x14:dataValidation type="list" allowBlank="1" showInputMessage="1" showErrorMessage="1" xr:uid="{C84D1130-3CCC-43B6-92AD-E149D538F25B}">
          <x14:formula1>
            <xm:f>Configuracion!$T$2:$T$5</xm:f>
          </x14:formula1>
          <xm:sqref>C84:C86</xm:sqref>
        </x14:dataValidation>
        <x14:dataValidation type="list" allowBlank="1" showInputMessage="1" showErrorMessage="1" xr:uid="{23593576-8715-46C2-ABA0-525391393C83}">
          <x14:formula1>
            <xm:f>Configuracion!$U$2:$U$3</xm:f>
          </x14:formula1>
          <xm:sqref>C90</xm:sqref>
        </x14:dataValidation>
        <x14:dataValidation type="list" allowBlank="1" showInputMessage="1" showErrorMessage="1" xr:uid="{431628FC-0037-4782-B4B4-494F954DB4BA}">
          <x14:formula1>
            <xm:f>Configuracion!$V$2:$V$3</xm:f>
          </x14:formula1>
          <xm:sqref>C96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569C6C-0DC1-4AB4-ACD4-20C4B5A1127C}">
  <sheetPr codeName="Sheet4"/>
  <dimension ref="A1:V136"/>
  <sheetViews>
    <sheetView topLeftCell="F1" workbookViewId="0">
      <selection activeCell="J4" sqref="J4"/>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2" x14ac:dyDescent="0.25">
      <c r="A1" s="6" t="s">
        <v>0</v>
      </c>
      <c r="B1" s="7" t="s">
        <v>1</v>
      </c>
      <c r="C1" s="6" t="s">
        <v>2</v>
      </c>
      <c r="D1" s="6" t="s">
        <v>3</v>
      </c>
      <c r="E1" s="6" t="s">
        <v>4</v>
      </c>
      <c r="F1" s="6" t="s">
        <v>240</v>
      </c>
      <c r="G1" s="6" t="s">
        <v>13</v>
      </c>
      <c r="H1" s="6" t="s">
        <v>232</v>
      </c>
    </row>
    <row r="2" spans="1:22" ht="30" x14ac:dyDescent="0.25">
      <c r="A2" s="8" t="s">
        <v>116</v>
      </c>
      <c r="B2" s="9"/>
      <c r="C2" s="8" t="s">
        <v>399</v>
      </c>
      <c r="D2" s="8"/>
      <c r="E2" s="8"/>
      <c r="F2" s="8">
        <v>1</v>
      </c>
      <c r="G2" s="8" t="s">
        <v>8</v>
      </c>
      <c r="H2" s="8">
        <v>1</v>
      </c>
    </row>
    <row r="3" spans="1:22" x14ac:dyDescent="0.25">
      <c r="A3" s="8" t="s">
        <v>383</v>
      </c>
      <c r="B3" s="9" t="s">
        <v>384</v>
      </c>
      <c r="C3" s="8"/>
      <c r="D3" s="8"/>
      <c r="E3" s="8"/>
      <c r="F3" s="8">
        <v>4</v>
      </c>
      <c r="G3" s="8" t="s">
        <v>8</v>
      </c>
      <c r="H3" s="8">
        <v>1</v>
      </c>
      <c r="J3" t="s">
        <v>16</v>
      </c>
      <c r="K3" t="s">
        <v>18</v>
      </c>
      <c r="L3" t="s">
        <v>14</v>
      </c>
      <c r="N3" t="s">
        <v>28</v>
      </c>
      <c r="P3" s="13" t="s">
        <v>230</v>
      </c>
      <c r="Q3" s="13"/>
      <c r="R3" s="13"/>
      <c r="S3" s="13"/>
      <c r="T3" s="13"/>
      <c r="U3" s="13"/>
    </row>
    <row r="4" spans="1:22" ht="45" x14ac:dyDescent="0.25">
      <c r="A4" s="8" t="s">
        <v>383</v>
      </c>
      <c r="B4" s="9" t="s">
        <v>385</v>
      </c>
      <c r="C4" s="8"/>
      <c r="D4" s="8"/>
      <c r="E4" s="8"/>
      <c r="F4" s="8">
        <v>1</v>
      </c>
      <c r="G4" s="8" t="s">
        <v>8</v>
      </c>
      <c r="H4" s="8">
        <v>1</v>
      </c>
      <c r="J4" t="s">
        <v>262</v>
      </c>
      <c r="K4">
        <v>1</v>
      </c>
      <c r="L4" t="s">
        <v>261</v>
      </c>
      <c r="N4" t="s">
        <v>270</v>
      </c>
      <c r="P4" t="s">
        <v>8</v>
      </c>
      <c r="Q4" t="s">
        <v>5</v>
      </c>
      <c r="R4" t="s">
        <v>6</v>
      </c>
      <c r="S4" t="s">
        <v>9</v>
      </c>
      <c r="T4" t="s">
        <v>10</v>
      </c>
      <c r="U4" t="s">
        <v>257</v>
      </c>
      <c r="V4" t="s">
        <v>7</v>
      </c>
    </row>
    <row r="5" spans="1:22" ht="45" x14ac:dyDescent="0.25">
      <c r="A5" s="8" t="s">
        <v>386</v>
      </c>
      <c r="B5" s="9" t="s">
        <v>387</v>
      </c>
      <c r="C5" s="8"/>
      <c r="D5" s="8"/>
      <c r="E5" s="8"/>
      <c r="F5" s="8">
        <v>7</v>
      </c>
      <c r="G5" s="8" t="s">
        <v>8</v>
      </c>
      <c r="H5" s="8">
        <v>1</v>
      </c>
      <c r="J5" t="s">
        <v>263</v>
      </c>
      <c r="K5">
        <v>2</v>
      </c>
      <c r="L5" t="s">
        <v>261</v>
      </c>
      <c r="N5" t="s">
        <v>278</v>
      </c>
      <c r="P5">
        <v>1</v>
      </c>
      <c r="Q5">
        <v>1</v>
      </c>
      <c r="R5">
        <v>1</v>
      </c>
      <c r="S5">
        <v>1</v>
      </c>
      <c r="T5">
        <v>1</v>
      </c>
      <c r="U5">
        <v>1</v>
      </c>
      <c r="V5">
        <v>1</v>
      </c>
    </row>
    <row r="6" spans="1:22" x14ac:dyDescent="0.25">
      <c r="A6" s="8" t="s">
        <v>154</v>
      </c>
      <c r="B6" s="9" t="s">
        <v>155</v>
      </c>
      <c r="C6" s="8"/>
      <c r="D6" s="8"/>
      <c r="E6" s="8"/>
      <c r="F6" s="8">
        <v>1</v>
      </c>
      <c r="G6" s="8" t="s">
        <v>8</v>
      </c>
      <c r="H6" s="8">
        <v>1</v>
      </c>
      <c r="J6" t="s">
        <v>265</v>
      </c>
      <c r="K6">
        <v>1</v>
      </c>
      <c r="L6" t="s">
        <v>264</v>
      </c>
      <c r="N6" t="s">
        <v>280</v>
      </c>
      <c r="P6">
        <v>2</v>
      </c>
      <c r="Q6">
        <v>2</v>
      </c>
      <c r="T6" t="s">
        <v>410</v>
      </c>
    </row>
    <row r="7" spans="1:22" ht="90" x14ac:dyDescent="0.25">
      <c r="A7" s="8" t="s">
        <v>53</v>
      </c>
      <c r="B7" s="9" t="s">
        <v>238</v>
      </c>
      <c r="C7" s="8"/>
      <c r="D7" s="8"/>
      <c r="E7" s="8"/>
      <c r="F7" s="8">
        <v>8</v>
      </c>
      <c r="G7" s="8" t="s">
        <v>8</v>
      </c>
      <c r="H7" s="8">
        <v>2</v>
      </c>
      <c r="J7" t="s">
        <v>266</v>
      </c>
      <c r="K7">
        <v>2</v>
      </c>
      <c r="L7" t="s">
        <v>264</v>
      </c>
      <c r="N7" t="s">
        <v>358</v>
      </c>
      <c r="P7">
        <v>3</v>
      </c>
    </row>
    <row r="8" spans="1:22" x14ac:dyDescent="0.25">
      <c r="A8" s="8" t="s">
        <v>389</v>
      </c>
      <c r="B8" s="9" t="s">
        <v>390</v>
      </c>
      <c r="C8" s="8"/>
      <c r="D8" s="8"/>
      <c r="E8" s="8">
        <v>10023961</v>
      </c>
      <c r="F8" s="8">
        <v>1</v>
      </c>
      <c r="G8" s="8" t="s">
        <v>8</v>
      </c>
      <c r="H8" s="8">
        <v>2</v>
      </c>
      <c r="J8" t="s">
        <v>263</v>
      </c>
      <c r="K8">
        <v>2</v>
      </c>
      <c r="L8" t="s">
        <v>264</v>
      </c>
      <c r="N8" t="s">
        <v>359</v>
      </c>
    </row>
    <row r="9" spans="1:22" x14ac:dyDescent="0.25">
      <c r="A9" s="8" t="s">
        <v>403</v>
      </c>
      <c r="B9" s="9"/>
      <c r="C9" s="8"/>
      <c r="D9" s="8"/>
      <c r="E9" s="8"/>
      <c r="F9" s="8">
        <v>1</v>
      </c>
      <c r="G9" s="8" t="s">
        <v>8</v>
      </c>
      <c r="H9" s="8">
        <v>2</v>
      </c>
      <c r="J9" t="s">
        <v>271</v>
      </c>
      <c r="K9">
        <v>1</v>
      </c>
      <c r="L9" t="s">
        <v>270</v>
      </c>
      <c r="N9" t="s">
        <v>354</v>
      </c>
    </row>
    <row r="10" spans="1:22" ht="45" x14ac:dyDescent="0.25">
      <c r="A10" s="8" t="s">
        <v>92</v>
      </c>
      <c r="B10" s="9" t="str">
        <f>bolso("Cajon de hazmat 1",Table69[] )</f>
        <v xml:space="preserve">Cajon de hazmat 1 Contiene:  Traje de aproximacion clase "C" x8,  Traje de aproximacion clase "A" x3, </v>
      </c>
      <c r="C10" s="8"/>
      <c r="D10" s="8"/>
      <c r="E10" s="8"/>
      <c r="F10" s="8">
        <v>1</v>
      </c>
      <c r="G10" s="8" t="s">
        <v>8</v>
      </c>
      <c r="H10" s="8">
        <v>3</v>
      </c>
      <c r="J10" t="s">
        <v>272</v>
      </c>
      <c r="K10">
        <v>2</v>
      </c>
      <c r="L10" t="s">
        <v>270</v>
      </c>
      <c r="N10" t="s">
        <v>261</v>
      </c>
    </row>
    <row r="11" spans="1:22" ht="60" x14ac:dyDescent="0.25">
      <c r="A11" s="8" t="s">
        <v>92</v>
      </c>
      <c r="B11" s="9" t="str">
        <f>bolso("Cajon de hazmat 2",Table69[] )</f>
        <v xml:space="preserve">Cajon de hazmat 2 Contiene:  Traje de aproximacion clase "A" x1,  Bolsa para cadaveres x3,  Traje de aproximacion clase "C" x2, </v>
      </c>
      <c r="C11" s="8"/>
      <c r="D11" s="8"/>
      <c r="E11" s="8"/>
      <c r="F11" s="8">
        <v>1</v>
      </c>
      <c r="G11" s="8" t="s">
        <v>8</v>
      </c>
      <c r="H11" s="8">
        <v>3</v>
      </c>
      <c r="J11" t="s">
        <v>273</v>
      </c>
      <c r="K11">
        <v>2</v>
      </c>
      <c r="L11" t="s">
        <v>270</v>
      </c>
      <c r="N11" t="s">
        <v>264</v>
      </c>
    </row>
    <row r="12" spans="1:22" ht="30" x14ac:dyDescent="0.25">
      <c r="A12" s="8" t="s">
        <v>92</v>
      </c>
      <c r="B12" s="9" t="str">
        <f>bolso("Cajon de hazmat 3",Table69[] )</f>
        <v xml:space="preserve">Cajon de hazmat 3 Contiene:  Traje de aproximacion clase "A" x1, </v>
      </c>
      <c r="C12" s="8"/>
      <c r="D12" s="8"/>
      <c r="E12" s="8"/>
      <c r="F12" s="8">
        <v>1</v>
      </c>
      <c r="G12" s="8" t="s">
        <v>8</v>
      </c>
      <c r="H12" s="8">
        <v>3</v>
      </c>
      <c r="J12" t="s">
        <v>274</v>
      </c>
      <c r="K12">
        <v>2</v>
      </c>
      <c r="L12" t="s">
        <v>270</v>
      </c>
      <c r="N12" t="s">
        <v>275</v>
      </c>
    </row>
    <row r="13" spans="1:22" x14ac:dyDescent="0.25">
      <c r="A13" s="8" t="s">
        <v>401</v>
      </c>
      <c r="B13" s="9" t="s">
        <v>402</v>
      </c>
      <c r="C13" s="8"/>
      <c r="D13" s="8"/>
      <c r="E13" s="8"/>
      <c r="F13" s="8">
        <v>1</v>
      </c>
      <c r="G13" s="8" t="s">
        <v>8</v>
      </c>
      <c r="H13" s="8">
        <v>3</v>
      </c>
      <c r="J13" t="s">
        <v>276</v>
      </c>
      <c r="K13">
        <v>1</v>
      </c>
      <c r="L13" t="s">
        <v>275</v>
      </c>
      <c r="N13" t="s">
        <v>363</v>
      </c>
    </row>
    <row r="14" spans="1:22" x14ac:dyDescent="0.25">
      <c r="A14" s="8" t="s">
        <v>401</v>
      </c>
      <c r="B14" s="9"/>
      <c r="C14" s="8"/>
      <c r="D14" s="8"/>
      <c r="E14" s="8"/>
      <c r="F14" s="8">
        <v>2</v>
      </c>
      <c r="G14" s="8" t="s">
        <v>8</v>
      </c>
      <c r="H14" s="8">
        <v>3</v>
      </c>
      <c r="J14" t="s">
        <v>272</v>
      </c>
      <c r="K14">
        <v>1</v>
      </c>
      <c r="L14" t="s">
        <v>275</v>
      </c>
      <c r="N14" t="s">
        <v>281</v>
      </c>
    </row>
    <row r="15" spans="1:22" x14ac:dyDescent="0.25">
      <c r="A15" t="s">
        <v>394</v>
      </c>
      <c r="B15" s="9"/>
      <c r="C15" s="8"/>
      <c r="D15" s="8"/>
      <c r="E15" s="8"/>
      <c r="F15" s="8">
        <v>2</v>
      </c>
      <c r="G15" s="8" t="s">
        <v>8</v>
      </c>
      <c r="H15" s="8">
        <v>3</v>
      </c>
      <c r="J15" t="s">
        <v>19</v>
      </c>
      <c r="K15">
        <v>1</v>
      </c>
      <c r="L15" t="s">
        <v>278</v>
      </c>
      <c r="N15" t="s">
        <v>286</v>
      </c>
    </row>
    <row r="16" spans="1:22" x14ac:dyDescent="0.25">
      <c r="A16" t="s">
        <v>90</v>
      </c>
      <c r="B16" s="9" t="s">
        <v>393</v>
      </c>
      <c r="C16" s="8"/>
      <c r="D16" s="8"/>
      <c r="E16" s="8"/>
      <c r="F16" s="8">
        <v>2</v>
      </c>
      <c r="G16" s="8" t="s">
        <v>8</v>
      </c>
      <c r="H16" s="8">
        <v>3</v>
      </c>
      <c r="J16" t="s">
        <v>279</v>
      </c>
      <c r="K16">
        <v>1</v>
      </c>
      <c r="L16" t="s">
        <v>278</v>
      </c>
      <c r="N16" t="s">
        <v>373</v>
      </c>
    </row>
    <row r="17" spans="1:14" x14ac:dyDescent="0.25">
      <c r="A17" s="8" t="s">
        <v>427</v>
      </c>
      <c r="B17" s="9" t="s">
        <v>429</v>
      </c>
      <c r="C17" s="8"/>
      <c r="D17" s="8"/>
      <c r="E17" s="8" t="s">
        <v>428</v>
      </c>
      <c r="F17" s="8">
        <v>1</v>
      </c>
      <c r="G17" s="8" t="s">
        <v>9</v>
      </c>
      <c r="H17" s="8">
        <v>1</v>
      </c>
      <c r="J17" t="s">
        <v>20</v>
      </c>
      <c r="K17">
        <v>1</v>
      </c>
      <c r="L17" t="s">
        <v>278</v>
      </c>
      <c r="N17" t="s">
        <v>395</v>
      </c>
    </row>
    <row r="18" spans="1:14" ht="30" x14ac:dyDescent="0.25">
      <c r="A18" s="8" t="s">
        <v>151</v>
      </c>
      <c r="B18" s="9" t="s">
        <v>336</v>
      </c>
      <c r="C18" s="8" t="s">
        <v>338</v>
      </c>
      <c r="D18" s="8"/>
      <c r="E18" s="8"/>
      <c r="F18" s="8">
        <v>1</v>
      </c>
      <c r="G18" s="8" t="s">
        <v>9</v>
      </c>
      <c r="H18" s="8">
        <v>1</v>
      </c>
      <c r="J18" t="s">
        <v>19</v>
      </c>
      <c r="K18">
        <v>1</v>
      </c>
      <c r="L18" t="s">
        <v>280</v>
      </c>
      <c r="N18" t="s">
        <v>396</v>
      </c>
    </row>
    <row r="19" spans="1:14" ht="30" x14ac:dyDescent="0.25">
      <c r="A19" s="8" t="s">
        <v>151</v>
      </c>
      <c r="B19" s="9" t="s">
        <v>337</v>
      </c>
      <c r="C19" s="8" t="s">
        <v>339</v>
      </c>
      <c r="D19" s="8"/>
      <c r="E19" s="8"/>
      <c r="F19" s="8">
        <v>1</v>
      </c>
      <c r="G19" s="8" t="s">
        <v>9</v>
      </c>
      <c r="H19" s="8">
        <v>1</v>
      </c>
      <c r="J19" t="s">
        <v>20</v>
      </c>
      <c r="K19">
        <v>1</v>
      </c>
      <c r="L19" t="s">
        <v>280</v>
      </c>
      <c r="N19" t="s">
        <v>398</v>
      </c>
    </row>
    <row r="20" spans="1:14" ht="45" x14ac:dyDescent="0.25">
      <c r="A20" s="8" t="s">
        <v>151</v>
      </c>
      <c r="B20" s="9" t="s">
        <v>340</v>
      </c>
      <c r="C20" s="8" t="s">
        <v>341</v>
      </c>
      <c r="D20" s="8"/>
      <c r="E20" s="8"/>
      <c r="F20" s="8">
        <v>1</v>
      </c>
      <c r="G20" s="8" t="s">
        <v>9</v>
      </c>
      <c r="H20" s="8">
        <v>1</v>
      </c>
      <c r="J20" t="s">
        <v>282</v>
      </c>
      <c r="K20">
        <v>1</v>
      </c>
      <c r="L20" t="s">
        <v>281</v>
      </c>
      <c r="N20" t="s">
        <v>376</v>
      </c>
    </row>
    <row r="21" spans="1:14" ht="30" x14ac:dyDescent="0.25">
      <c r="A21" s="8" t="s">
        <v>151</v>
      </c>
      <c r="B21" s="9" t="s">
        <v>342</v>
      </c>
      <c r="C21" s="8" t="s">
        <v>343</v>
      </c>
      <c r="D21" s="8"/>
      <c r="E21" s="8"/>
      <c r="F21" s="8">
        <v>1</v>
      </c>
      <c r="G21" s="8" t="s">
        <v>9</v>
      </c>
      <c r="H21" s="8">
        <v>1</v>
      </c>
      <c r="J21" t="s">
        <v>283</v>
      </c>
      <c r="K21">
        <v>1</v>
      </c>
      <c r="L21" t="s">
        <v>281</v>
      </c>
      <c r="N21" t="s">
        <v>378</v>
      </c>
    </row>
    <row r="22" spans="1:14" ht="30" x14ac:dyDescent="0.25">
      <c r="A22" s="8" t="s">
        <v>151</v>
      </c>
      <c r="B22" s="9" t="s">
        <v>344</v>
      </c>
      <c r="C22" s="8" t="s">
        <v>345</v>
      </c>
      <c r="D22" s="8"/>
      <c r="E22" s="8"/>
      <c r="F22" s="8">
        <v>1</v>
      </c>
      <c r="G22" s="8" t="s">
        <v>9</v>
      </c>
      <c r="H22" s="8">
        <v>1</v>
      </c>
      <c r="J22" t="s">
        <v>284</v>
      </c>
      <c r="K22">
        <v>1</v>
      </c>
      <c r="L22" t="s">
        <v>281</v>
      </c>
      <c r="N22" t="s">
        <v>413</v>
      </c>
    </row>
    <row r="23" spans="1:14" ht="45" x14ac:dyDescent="0.25">
      <c r="A23" s="8" t="s">
        <v>151</v>
      </c>
      <c r="B23" s="9" t="s">
        <v>346</v>
      </c>
      <c r="C23" s="8" t="s">
        <v>347</v>
      </c>
      <c r="D23" s="8"/>
      <c r="E23" s="8"/>
      <c r="F23" s="8">
        <v>1</v>
      </c>
      <c r="G23" s="8" t="s">
        <v>9</v>
      </c>
      <c r="H23" s="8">
        <v>1</v>
      </c>
      <c r="J23" t="s">
        <v>285</v>
      </c>
      <c r="K23">
        <v>1</v>
      </c>
      <c r="L23" t="s">
        <v>281</v>
      </c>
      <c r="N23" t="s">
        <v>439</v>
      </c>
    </row>
    <row r="24" spans="1:14" x14ac:dyDescent="0.25">
      <c r="A24" s="8" t="s">
        <v>151</v>
      </c>
      <c r="B24" s="9" t="s">
        <v>350</v>
      </c>
      <c r="C24" s="8" t="s">
        <v>351</v>
      </c>
      <c r="D24" s="8"/>
      <c r="E24" s="8"/>
      <c r="F24" s="8">
        <v>1</v>
      </c>
      <c r="G24" s="8" t="s">
        <v>9</v>
      </c>
      <c r="H24" s="8">
        <v>1</v>
      </c>
      <c r="J24" t="s">
        <v>287</v>
      </c>
      <c r="K24">
        <v>1</v>
      </c>
      <c r="L24" t="s">
        <v>286</v>
      </c>
      <c r="N24" t="s">
        <v>441</v>
      </c>
    </row>
    <row r="25" spans="1:14" x14ac:dyDescent="0.25">
      <c r="A25" s="8" t="s">
        <v>11</v>
      </c>
      <c r="B25" s="9" t="s">
        <v>426</v>
      </c>
      <c r="C25" s="8" t="s">
        <v>123</v>
      </c>
      <c r="D25" s="8"/>
      <c r="E25" s="8"/>
      <c r="F25" s="8">
        <v>2</v>
      </c>
      <c r="G25" s="8" t="s">
        <v>9</v>
      </c>
      <c r="H25" s="8">
        <v>1</v>
      </c>
      <c r="J25" t="s">
        <v>288</v>
      </c>
      <c r="K25">
        <v>1</v>
      </c>
      <c r="L25" t="s">
        <v>286</v>
      </c>
      <c r="N25" t="s">
        <v>444</v>
      </c>
    </row>
    <row r="26" spans="1:14" ht="30" x14ac:dyDescent="0.25">
      <c r="A26" s="8" t="s">
        <v>151</v>
      </c>
      <c r="B26" s="9" t="s">
        <v>348</v>
      </c>
      <c r="C26" s="8"/>
      <c r="D26" s="8"/>
      <c r="E26" s="8"/>
      <c r="F26" s="8">
        <v>1</v>
      </c>
      <c r="G26" s="8" t="s">
        <v>9</v>
      </c>
      <c r="H26" s="8">
        <v>2</v>
      </c>
      <c r="J26" t="s">
        <v>289</v>
      </c>
      <c r="K26">
        <v>2</v>
      </c>
      <c r="L26" t="s">
        <v>286</v>
      </c>
      <c r="N26" t="s">
        <v>446</v>
      </c>
    </row>
    <row r="27" spans="1:14" ht="30" x14ac:dyDescent="0.25">
      <c r="A27" s="8" t="s">
        <v>151</v>
      </c>
      <c r="B27" s="9" t="s">
        <v>349</v>
      </c>
      <c r="C27" s="8"/>
      <c r="D27" s="8"/>
      <c r="E27" s="8"/>
      <c r="F27" s="8">
        <v>1</v>
      </c>
      <c r="G27" s="8" t="s">
        <v>9</v>
      </c>
      <c r="H27" s="8">
        <v>2</v>
      </c>
      <c r="J27" t="s">
        <v>290</v>
      </c>
      <c r="K27">
        <v>1</v>
      </c>
      <c r="L27" t="s">
        <v>286</v>
      </c>
      <c r="N27" t="s">
        <v>449</v>
      </c>
    </row>
    <row r="28" spans="1:14" x14ac:dyDescent="0.25">
      <c r="A28" s="8" t="s">
        <v>389</v>
      </c>
      <c r="B28" s="9" t="s">
        <v>431</v>
      </c>
      <c r="C28" s="8"/>
      <c r="D28" s="8" t="s">
        <v>430</v>
      </c>
      <c r="E28" s="8">
        <v>1043</v>
      </c>
      <c r="F28" s="8">
        <v>1</v>
      </c>
      <c r="G28" s="8" t="s">
        <v>9</v>
      </c>
      <c r="H28" s="8">
        <v>1</v>
      </c>
      <c r="J28" t="s">
        <v>291</v>
      </c>
      <c r="K28">
        <v>5</v>
      </c>
      <c r="L28" t="s">
        <v>286</v>
      </c>
      <c r="N28" t="s">
        <v>29</v>
      </c>
    </row>
    <row r="29" spans="1:14" x14ac:dyDescent="0.25">
      <c r="A29" s="8" t="s">
        <v>389</v>
      </c>
      <c r="B29" s="9" t="s">
        <v>431</v>
      </c>
      <c r="C29" s="8"/>
      <c r="D29" s="8" t="s">
        <v>430</v>
      </c>
      <c r="E29" s="8">
        <v>4100</v>
      </c>
      <c r="F29" s="8">
        <v>1</v>
      </c>
      <c r="G29" s="8" t="s">
        <v>9</v>
      </c>
      <c r="H29" s="8">
        <v>1</v>
      </c>
      <c r="J29" t="s">
        <v>292</v>
      </c>
      <c r="K29">
        <v>2</v>
      </c>
      <c r="L29" t="s">
        <v>286</v>
      </c>
    </row>
    <row r="30" spans="1:14" x14ac:dyDescent="0.25">
      <c r="A30" s="8" t="s">
        <v>389</v>
      </c>
      <c r="B30" s="9" t="s">
        <v>432</v>
      </c>
      <c r="C30" s="8"/>
      <c r="D30" s="8"/>
      <c r="E30" s="8"/>
      <c r="F30" s="8">
        <v>2</v>
      </c>
      <c r="G30" s="8" t="s">
        <v>9</v>
      </c>
      <c r="H30" s="8">
        <v>1</v>
      </c>
      <c r="J30" t="s">
        <v>293</v>
      </c>
      <c r="K30">
        <v>1</v>
      </c>
      <c r="L30" t="s">
        <v>286</v>
      </c>
    </row>
    <row r="31" spans="1:14" x14ac:dyDescent="0.25">
      <c r="A31" s="8" t="s">
        <v>389</v>
      </c>
      <c r="B31" s="9" t="s">
        <v>433</v>
      </c>
      <c r="C31" s="8"/>
      <c r="D31" s="8" t="s">
        <v>360</v>
      </c>
      <c r="E31" s="8"/>
      <c r="F31" s="8">
        <v>2</v>
      </c>
      <c r="G31" s="8" t="s">
        <v>9</v>
      </c>
      <c r="H31" s="8">
        <v>1</v>
      </c>
      <c r="J31" t="s">
        <v>332</v>
      </c>
      <c r="K31">
        <v>1</v>
      </c>
      <c r="L31" t="s">
        <v>358</v>
      </c>
    </row>
    <row r="32" spans="1:14" x14ac:dyDescent="0.25">
      <c r="A32" s="8" t="s">
        <v>389</v>
      </c>
      <c r="B32" s="9" t="s">
        <v>434</v>
      </c>
      <c r="C32" s="8"/>
      <c r="D32" s="8"/>
      <c r="E32" s="8"/>
      <c r="F32" s="8">
        <v>2</v>
      </c>
      <c r="G32" s="8" t="s">
        <v>9</v>
      </c>
      <c r="H32" s="8">
        <v>1</v>
      </c>
      <c r="J32" t="s">
        <v>333</v>
      </c>
      <c r="K32">
        <v>1</v>
      </c>
      <c r="L32" t="s">
        <v>358</v>
      </c>
    </row>
    <row r="33" spans="1:12" x14ac:dyDescent="0.25">
      <c r="A33" s="8" t="s">
        <v>100</v>
      </c>
      <c r="B33" s="9" t="s">
        <v>366</v>
      </c>
      <c r="C33" s="8"/>
      <c r="D33" s="8" t="s">
        <v>360</v>
      </c>
      <c r="E33" s="8"/>
      <c r="F33" s="8">
        <v>3</v>
      </c>
      <c r="G33" s="8" t="s">
        <v>10</v>
      </c>
      <c r="H33" s="8">
        <v>1</v>
      </c>
      <c r="J33" t="s">
        <v>334</v>
      </c>
      <c r="K33">
        <v>2</v>
      </c>
      <c r="L33" t="s">
        <v>358</v>
      </c>
    </row>
    <row r="34" spans="1:12" ht="45" x14ac:dyDescent="0.25">
      <c r="A34" s="8" t="s">
        <v>92</v>
      </c>
      <c r="B34" s="9" t="str">
        <f>bolso("Bolso de corta vidrios",Table69[])</f>
        <v xml:space="preserve">Bolso de corta vidrios Contiene:  Corta vidrios holmatro x1,  Corta cinturones x2, </v>
      </c>
      <c r="C34" s="8"/>
      <c r="D34" s="8"/>
      <c r="E34" s="8"/>
      <c r="F34" s="8">
        <v>1</v>
      </c>
      <c r="G34" s="8" t="s">
        <v>10</v>
      </c>
      <c r="H34" s="8">
        <v>1</v>
      </c>
      <c r="J34" t="s">
        <v>335</v>
      </c>
      <c r="K34">
        <v>2</v>
      </c>
      <c r="L34" t="s">
        <v>358</v>
      </c>
    </row>
    <row r="35" spans="1:12" ht="60" x14ac:dyDescent="0.25">
      <c r="A35" s="8" t="s">
        <v>92</v>
      </c>
      <c r="B35" s="9" t="str">
        <f>bolso("Bolso de comando de minicojines 2",Table69[])</f>
        <v xml:space="preserve">Bolso de comando de minicojines 2 Contiene:  Comando de minicojines x1,  Reductor de presion para minicojines x1, </v>
      </c>
      <c r="C35" s="8"/>
      <c r="D35" s="8"/>
      <c r="E35" s="8"/>
      <c r="F35" s="8">
        <v>1</v>
      </c>
      <c r="G35" s="8" t="s">
        <v>10</v>
      </c>
      <c r="H35" s="8">
        <v>1</v>
      </c>
      <c r="J35" t="s">
        <v>355</v>
      </c>
      <c r="K35">
        <v>1</v>
      </c>
      <c r="L35" t="s">
        <v>354</v>
      </c>
    </row>
    <row r="36" spans="1:12" ht="30" x14ac:dyDescent="0.25">
      <c r="A36" s="8" t="s">
        <v>92</v>
      </c>
      <c r="B36" s="9" t="s">
        <v>361</v>
      </c>
      <c r="C36" s="8"/>
      <c r="D36" s="8"/>
      <c r="E36" s="8"/>
      <c r="F36" s="8">
        <v>1</v>
      </c>
      <c r="G36" s="8" t="s">
        <v>10</v>
      </c>
      <c r="H36" s="8">
        <v>1</v>
      </c>
      <c r="J36" t="s">
        <v>356</v>
      </c>
      <c r="K36">
        <v>2</v>
      </c>
      <c r="L36" t="s">
        <v>354</v>
      </c>
    </row>
    <row r="37" spans="1:12" ht="45" x14ac:dyDescent="0.25">
      <c r="A37" s="8" t="s">
        <v>92</v>
      </c>
      <c r="B37" s="9" t="str">
        <f>bolso("Caja de cubre parantes",Table69[])</f>
        <v xml:space="preserve">Caja de cubre parantes Contiene:  Cubre parantes chico x6,  Cubre parantes grande x6, </v>
      </c>
      <c r="C37" s="8"/>
      <c r="D37" s="8" t="s">
        <v>360</v>
      </c>
      <c r="E37" s="8"/>
      <c r="F37" s="8">
        <v>1</v>
      </c>
      <c r="G37" s="8" t="s">
        <v>10</v>
      </c>
      <c r="H37" s="8">
        <v>1</v>
      </c>
      <c r="J37" t="s">
        <v>332</v>
      </c>
      <c r="K37">
        <v>1</v>
      </c>
      <c r="L37" t="s">
        <v>359</v>
      </c>
    </row>
    <row r="38" spans="1:12" ht="45" x14ac:dyDescent="0.25">
      <c r="A38" s="8" t="s">
        <v>92</v>
      </c>
      <c r="B38" s="9" t="str">
        <f>bolso("Caja de seguridad en la escena",Table69[])</f>
        <v xml:space="preserve">Caja de seguridad en la escena Contiene:  lampara vial marca signalite x4,  Lampara vial marca tildawn x1, </v>
      </c>
      <c r="C38" s="8"/>
      <c r="D38" s="8"/>
      <c r="E38" s="8"/>
      <c r="F38" s="8">
        <v>1</v>
      </c>
      <c r="G38" s="8" t="s">
        <v>10</v>
      </c>
      <c r="H38" s="8">
        <v>1</v>
      </c>
      <c r="J38" t="s">
        <v>333</v>
      </c>
      <c r="K38">
        <v>1</v>
      </c>
      <c r="L38" t="s">
        <v>359</v>
      </c>
    </row>
    <row r="39" spans="1:12" ht="30" x14ac:dyDescent="0.25">
      <c r="A39" s="8" t="s">
        <v>92</v>
      </c>
      <c r="B39" s="9" t="str">
        <f>bolso("Cajon de tacos 1",Table69[])</f>
        <v xml:space="preserve">Cajon de tacos 1 Contiene:  Tacos varios de madera x12, </v>
      </c>
      <c r="C39" s="8"/>
      <c r="D39" s="8"/>
      <c r="E39" s="8"/>
      <c r="F39" s="8">
        <v>1</v>
      </c>
      <c r="G39" s="8" t="s">
        <v>10</v>
      </c>
      <c r="H39" s="8">
        <v>1</v>
      </c>
      <c r="J39" t="s">
        <v>364</v>
      </c>
      <c r="K39">
        <v>6</v>
      </c>
      <c r="L39" t="s">
        <v>363</v>
      </c>
    </row>
    <row r="40" spans="1:12" ht="45" x14ac:dyDescent="0.25">
      <c r="A40" s="8" t="s">
        <v>92</v>
      </c>
      <c r="B40" s="9" t="str">
        <f>bolso("Cajon de tacos 2",Table69[])</f>
        <v xml:space="preserve">Cajon de tacos 2 Contiene:  Cuña plastica x11,  Taco plastico fino x5,  Taco plastico ancho x6, </v>
      </c>
      <c r="C40" s="8"/>
      <c r="D40" s="8"/>
      <c r="E40" s="8"/>
      <c r="F40" s="8">
        <v>1</v>
      </c>
      <c r="G40" s="8" t="s">
        <v>10</v>
      </c>
      <c r="H40" s="8">
        <v>1</v>
      </c>
      <c r="J40" t="s">
        <v>365</v>
      </c>
      <c r="K40">
        <v>6</v>
      </c>
      <c r="L40" t="s">
        <v>363</v>
      </c>
    </row>
    <row r="41" spans="1:12" x14ac:dyDescent="0.25">
      <c r="A41" s="8" t="s">
        <v>368</v>
      </c>
      <c r="B41" s="9" t="s">
        <v>369</v>
      </c>
      <c r="C41" s="8"/>
      <c r="D41" s="8" t="s">
        <v>360</v>
      </c>
      <c r="E41" s="8">
        <v>58115</v>
      </c>
      <c r="F41" s="8">
        <v>1</v>
      </c>
      <c r="G41" s="8" t="s">
        <v>10</v>
      </c>
      <c r="H41" s="8">
        <v>1</v>
      </c>
      <c r="J41" t="s">
        <v>374</v>
      </c>
      <c r="K41">
        <v>4</v>
      </c>
      <c r="L41" t="s">
        <v>373</v>
      </c>
    </row>
    <row r="42" spans="1:12" x14ac:dyDescent="0.25">
      <c r="A42" s="8" t="s">
        <v>83</v>
      </c>
      <c r="B42" s="9" t="s">
        <v>369</v>
      </c>
      <c r="C42" s="8"/>
      <c r="D42" s="8" t="s">
        <v>360</v>
      </c>
      <c r="E42" s="8">
        <v>114947</v>
      </c>
      <c r="F42" s="8">
        <v>1</v>
      </c>
      <c r="G42" s="8" t="s">
        <v>10</v>
      </c>
      <c r="H42" s="8">
        <v>1</v>
      </c>
      <c r="J42" t="s">
        <v>375</v>
      </c>
      <c r="K42">
        <v>1</v>
      </c>
      <c r="L42" t="s">
        <v>373</v>
      </c>
    </row>
    <row r="43" spans="1:12" x14ac:dyDescent="0.25">
      <c r="A43" s="8" t="s">
        <v>242</v>
      </c>
      <c r="B43" s="9"/>
      <c r="C43" s="8"/>
      <c r="D43" s="8" t="s">
        <v>360</v>
      </c>
      <c r="E43" s="8"/>
      <c r="F43" s="8">
        <v>2</v>
      </c>
      <c r="G43" s="8" t="s">
        <v>10</v>
      </c>
      <c r="H43" s="8">
        <v>1</v>
      </c>
      <c r="J43" t="s">
        <v>377</v>
      </c>
      <c r="K43">
        <v>12</v>
      </c>
      <c r="L43" t="s">
        <v>376</v>
      </c>
    </row>
    <row r="44" spans="1:12" x14ac:dyDescent="0.25">
      <c r="A44" s="8" t="s">
        <v>242</v>
      </c>
      <c r="B44" s="9"/>
      <c r="C44" s="8"/>
      <c r="D44" s="8" t="s">
        <v>362</v>
      </c>
      <c r="E44" s="8"/>
      <c r="F44" s="8">
        <v>2</v>
      </c>
      <c r="G44" s="8" t="s">
        <v>10</v>
      </c>
      <c r="H44" s="8">
        <v>1</v>
      </c>
      <c r="J44" t="s">
        <v>379</v>
      </c>
      <c r="K44">
        <v>11</v>
      </c>
      <c r="L44" t="s">
        <v>378</v>
      </c>
    </row>
    <row r="45" spans="1:12" x14ac:dyDescent="0.25">
      <c r="A45" s="8" t="s">
        <v>242</v>
      </c>
      <c r="B45" s="9"/>
      <c r="C45" s="8"/>
      <c r="D45" s="8"/>
      <c r="E45" s="8"/>
      <c r="F45" s="8">
        <v>1</v>
      </c>
      <c r="G45" s="8" t="s">
        <v>10</v>
      </c>
      <c r="H45" s="8">
        <v>1</v>
      </c>
      <c r="J45" t="s">
        <v>380</v>
      </c>
      <c r="K45">
        <v>5</v>
      </c>
      <c r="L45" t="s">
        <v>378</v>
      </c>
    </row>
    <row r="46" spans="1:12" ht="30" x14ac:dyDescent="0.25">
      <c r="A46" s="8" t="s">
        <v>80</v>
      </c>
      <c r="B46" s="9" t="s">
        <v>372</v>
      </c>
      <c r="C46" s="8"/>
      <c r="D46" s="8" t="s">
        <v>360</v>
      </c>
      <c r="E46" s="8">
        <v>122054</v>
      </c>
      <c r="F46" s="8">
        <v>1</v>
      </c>
      <c r="G46" s="8" t="s">
        <v>10</v>
      </c>
      <c r="H46" s="8">
        <v>1</v>
      </c>
      <c r="J46" t="s">
        <v>381</v>
      </c>
      <c r="K46">
        <v>6</v>
      </c>
      <c r="L46" t="s">
        <v>378</v>
      </c>
    </row>
    <row r="47" spans="1:12" x14ac:dyDescent="0.25">
      <c r="A47" s="8" t="s">
        <v>352</v>
      </c>
      <c r="B47" s="9" t="s">
        <v>353</v>
      </c>
      <c r="C47" s="8"/>
      <c r="D47" s="8"/>
      <c r="E47" s="8"/>
      <c r="F47" s="8">
        <v>4</v>
      </c>
      <c r="G47" s="8" t="s">
        <v>10</v>
      </c>
      <c r="H47" s="8">
        <v>1</v>
      </c>
      <c r="J47" t="s">
        <v>391</v>
      </c>
      <c r="K47">
        <v>8</v>
      </c>
      <c r="L47" t="s">
        <v>395</v>
      </c>
    </row>
    <row r="48" spans="1:12" x14ac:dyDescent="0.25">
      <c r="A48" s="8" t="s">
        <v>371</v>
      </c>
      <c r="B48" s="9" t="s">
        <v>369</v>
      </c>
      <c r="C48" s="8"/>
      <c r="D48" s="8" t="s">
        <v>360</v>
      </c>
      <c r="E48" s="8">
        <v>57523</v>
      </c>
      <c r="F48" s="8">
        <v>1</v>
      </c>
      <c r="G48" s="8" t="s">
        <v>10</v>
      </c>
      <c r="H48" s="8">
        <v>1</v>
      </c>
      <c r="J48" t="s">
        <v>392</v>
      </c>
      <c r="K48">
        <v>3</v>
      </c>
      <c r="L48" t="s">
        <v>395</v>
      </c>
    </row>
    <row r="49" spans="1:12" x14ac:dyDescent="0.25">
      <c r="A49" s="8" t="s">
        <v>258</v>
      </c>
      <c r="B49" s="9" t="s">
        <v>357</v>
      </c>
      <c r="C49" s="8"/>
      <c r="D49" s="8"/>
      <c r="E49" s="8"/>
      <c r="F49" s="8">
        <v>1</v>
      </c>
      <c r="G49" s="8" t="s">
        <v>10</v>
      </c>
      <c r="H49" s="8">
        <v>1</v>
      </c>
      <c r="J49" t="s">
        <v>392</v>
      </c>
      <c r="K49">
        <v>1</v>
      </c>
      <c r="L49" t="s">
        <v>396</v>
      </c>
    </row>
    <row r="50" spans="1:12" x14ac:dyDescent="0.25">
      <c r="A50" s="8" t="s">
        <v>95</v>
      </c>
      <c r="B50" s="9" t="s">
        <v>370</v>
      </c>
      <c r="C50" s="8"/>
      <c r="D50" s="8" t="s">
        <v>360</v>
      </c>
      <c r="E50" s="8" t="s">
        <v>367</v>
      </c>
      <c r="F50" s="8">
        <v>1</v>
      </c>
      <c r="G50" s="8" t="s">
        <v>10</v>
      </c>
      <c r="H50" s="8">
        <v>1</v>
      </c>
      <c r="J50" t="s">
        <v>397</v>
      </c>
      <c r="K50">
        <v>3</v>
      </c>
      <c r="L50" t="s">
        <v>396</v>
      </c>
    </row>
    <row r="51" spans="1:12" x14ac:dyDescent="0.25">
      <c r="A51" s="8" t="s">
        <v>95</v>
      </c>
      <c r="B51" s="9" t="s">
        <v>369</v>
      </c>
      <c r="C51" s="8"/>
      <c r="D51" s="8" t="s">
        <v>360</v>
      </c>
      <c r="E51" s="8">
        <v>54864</v>
      </c>
      <c r="F51" s="8">
        <v>1</v>
      </c>
      <c r="G51" s="8" t="s">
        <v>10</v>
      </c>
      <c r="H51" s="8">
        <v>1</v>
      </c>
      <c r="J51" t="s">
        <v>391</v>
      </c>
      <c r="K51">
        <v>2</v>
      </c>
      <c r="L51" t="s">
        <v>396</v>
      </c>
    </row>
    <row r="52" spans="1:12" x14ac:dyDescent="0.25">
      <c r="A52" s="8" t="s">
        <v>95</v>
      </c>
      <c r="B52" s="9" t="s">
        <v>369</v>
      </c>
      <c r="C52" s="8"/>
      <c r="D52" s="8" t="s">
        <v>360</v>
      </c>
      <c r="E52" s="8">
        <v>88310</v>
      </c>
      <c r="F52" s="8">
        <v>1</v>
      </c>
      <c r="G52" s="8" t="s">
        <v>10</v>
      </c>
      <c r="H52" s="8">
        <v>1</v>
      </c>
      <c r="J52" t="s">
        <v>392</v>
      </c>
      <c r="K52">
        <v>1</v>
      </c>
      <c r="L52" t="s">
        <v>398</v>
      </c>
    </row>
    <row r="53" spans="1:12" x14ac:dyDescent="0.25">
      <c r="A53" s="8" t="s">
        <v>100</v>
      </c>
      <c r="B53" s="9" t="s">
        <v>423</v>
      </c>
      <c r="C53" s="8"/>
      <c r="D53" s="8"/>
      <c r="E53" s="8"/>
      <c r="F53" s="8">
        <v>1</v>
      </c>
      <c r="G53" s="8" t="s">
        <v>10</v>
      </c>
      <c r="H53" t="s">
        <v>410</v>
      </c>
      <c r="J53" t="s">
        <v>414</v>
      </c>
      <c r="K53">
        <v>9</v>
      </c>
      <c r="L53" t="s">
        <v>413</v>
      </c>
    </row>
    <row r="54" spans="1:12" ht="45" x14ac:dyDescent="0.25">
      <c r="A54" s="8" t="s">
        <v>412</v>
      </c>
      <c r="B54" s="9" t="str">
        <f>bolso("Cajon de tacos 3",Table69[] )</f>
        <v xml:space="preserve">Cajon de tacos 3 Contiene:  Tacos grandes cuadrados x9,  Cuñas grandes x4,  Cuñas chicas x5, </v>
      </c>
      <c r="C54" s="8"/>
      <c r="D54" s="8"/>
      <c r="E54" s="8"/>
      <c r="F54" s="8">
        <v>1</v>
      </c>
      <c r="G54" s="8" t="s">
        <v>10</v>
      </c>
      <c r="H54" t="s">
        <v>410</v>
      </c>
      <c r="J54" t="s">
        <v>415</v>
      </c>
      <c r="K54">
        <v>4</v>
      </c>
      <c r="L54" t="s">
        <v>413</v>
      </c>
    </row>
    <row r="55" spans="1:12" x14ac:dyDescent="0.25">
      <c r="A55" s="8" t="s">
        <v>352</v>
      </c>
      <c r="B55" s="9" t="s">
        <v>417</v>
      </c>
      <c r="C55" s="8"/>
      <c r="D55" s="8"/>
      <c r="E55" s="8"/>
      <c r="F55" s="8">
        <v>5</v>
      </c>
      <c r="G55" s="8" t="s">
        <v>10</v>
      </c>
      <c r="H55" t="s">
        <v>410</v>
      </c>
      <c r="J55" t="s">
        <v>416</v>
      </c>
      <c r="K55">
        <v>5</v>
      </c>
      <c r="L55" t="s">
        <v>413</v>
      </c>
    </row>
    <row r="56" spans="1:12" x14ac:dyDescent="0.25">
      <c r="A56" s="8" t="s">
        <v>226</v>
      </c>
      <c r="B56" s="9" t="s">
        <v>418</v>
      </c>
      <c r="C56" s="8"/>
      <c r="D56" s="8" t="s">
        <v>419</v>
      </c>
      <c r="E56" s="8" t="s">
        <v>420</v>
      </c>
      <c r="F56" s="8">
        <v>1</v>
      </c>
      <c r="G56" s="8" t="s">
        <v>10</v>
      </c>
      <c r="H56" t="s">
        <v>410</v>
      </c>
      <c r="J56" t="s">
        <v>440</v>
      </c>
      <c r="K56">
        <v>2</v>
      </c>
      <c r="L56" t="s">
        <v>439</v>
      </c>
    </row>
    <row r="57" spans="1:12" x14ac:dyDescent="0.25">
      <c r="A57" s="8" t="s">
        <v>226</v>
      </c>
      <c r="B57" s="9" t="s">
        <v>418</v>
      </c>
      <c r="C57" s="8"/>
      <c r="D57" s="8" t="s">
        <v>421</v>
      </c>
      <c r="E57" s="8" t="s">
        <v>422</v>
      </c>
      <c r="F57" s="8">
        <v>1</v>
      </c>
      <c r="G57" s="8" t="s">
        <v>10</v>
      </c>
      <c r="H57" t="s">
        <v>410</v>
      </c>
      <c r="J57" t="s">
        <v>442</v>
      </c>
      <c r="K57">
        <v>1</v>
      </c>
      <c r="L57" t="s">
        <v>441</v>
      </c>
    </row>
    <row r="58" spans="1:12" x14ac:dyDescent="0.25">
      <c r="A58" s="8" t="s">
        <v>111</v>
      </c>
      <c r="B58" s="9" t="s">
        <v>411</v>
      </c>
      <c r="C58" s="8"/>
      <c r="D58" s="8"/>
      <c r="E58" s="8"/>
      <c r="F58" s="8">
        <v>4</v>
      </c>
      <c r="G58" s="8" t="s">
        <v>10</v>
      </c>
      <c r="H58" t="s">
        <v>410</v>
      </c>
      <c r="J58" t="s">
        <v>443</v>
      </c>
      <c r="K58">
        <v>1</v>
      </c>
      <c r="L58" t="s">
        <v>441</v>
      </c>
    </row>
    <row r="59" spans="1:12" ht="45" x14ac:dyDescent="0.25">
      <c r="A59" s="8" t="s">
        <v>92</v>
      </c>
      <c r="B59" s="9" t="str">
        <f>bolso("Bolso de martillo demoledor",Table69[])</f>
        <v xml:space="preserve">Bolso de martillo demoledor Contiene:  Martillo demoledor 220v grande BOSCH D70745 x1,  Mecha x2, </v>
      </c>
      <c r="C59" s="8"/>
      <c r="D59" s="8"/>
      <c r="E59" s="8"/>
      <c r="F59" s="8">
        <v>1</v>
      </c>
      <c r="G59" s="8" t="s">
        <v>257</v>
      </c>
      <c r="H59" s="8">
        <v>1</v>
      </c>
      <c r="J59" t="s">
        <v>445</v>
      </c>
      <c r="K59">
        <v>2</v>
      </c>
      <c r="L59" t="s">
        <v>444</v>
      </c>
    </row>
    <row r="60" spans="1:12" ht="45" x14ac:dyDescent="0.25">
      <c r="A60" s="8" t="s">
        <v>92</v>
      </c>
      <c r="B60" s="9" t="str">
        <f>bolso("Bolso de rotomartillo",Table69[])</f>
        <v xml:space="preserve">Bolso de rotomartillo Contiene:  Rotomartillo 220v BOSCH GBH5470DCE x1,  Mecha sincel x2,  Mecha x2, </v>
      </c>
      <c r="C60" s="8"/>
      <c r="D60" s="8"/>
      <c r="E60" s="8"/>
      <c r="F60" s="8">
        <v>1</v>
      </c>
      <c r="G60" s="8" t="s">
        <v>257</v>
      </c>
      <c r="H60" s="8">
        <v>1</v>
      </c>
      <c r="J60" t="s">
        <v>448</v>
      </c>
      <c r="K60">
        <v>1</v>
      </c>
      <c r="L60" t="s">
        <v>447</v>
      </c>
    </row>
    <row r="61" spans="1:12" ht="90" x14ac:dyDescent="0.25">
      <c r="A61" s="8" t="s">
        <v>92</v>
      </c>
      <c r="B61" s="9" t="str">
        <f>bolso("Bolso de amoladora",Table69[])</f>
        <v xml:space="preserve">Bolso de amoladora Contiene:  Amoladora Dewalt electrica a bateria s/n 580426 x1,  Bateria DeWalt x2,  Cargador de bateria DeWalt DW911-6AR x2,  Herramienta para cambio de disco de amoladora x2, </v>
      </c>
      <c r="C61" s="8"/>
      <c r="D61" s="8" t="s">
        <v>268</v>
      </c>
      <c r="E61" s="8"/>
      <c r="F61" s="8">
        <v>1</v>
      </c>
      <c r="G61" s="8" t="s">
        <v>257</v>
      </c>
      <c r="H61" s="8">
        <v>1</v>
      </c>
      <c r="J61" t="s">
        <v>450</v>
      </c>
      <c r="K61">
        <v>4</v>
      </c>
      <c r="L61" t="s">
        <v>449</v>
      </c>
    </row>
    <row r="62" spans="1:12" ht="45" x14ac:dyDescent="0.25">
      <c r="A62" s="8" t="s">
        <v>92</v>
      </c>
      <c r="B62" s="9" t="str">
        <f>bolso("Bolso de sierra sable",Table69[])</f>
        <v xml:space="preserve">Bolso de sierra sable Contiene:  Sierra sable Dewalt s/n 959421  x1,  Bateria DeWalt x1, </v>
      </c>
      <c r="C62" s="8"/>
      <c r="D62" s="8" t="s">
        <v>268</v>
      </c>
      <c r="E62" s="8"/>
      <c r="F62" s="8">
        <v>1</v>
      </c>
      <c r="G62" s="8" t="s">
        <v>257</v>
      </c>
      <c r="H62" s="8">
        <v>1</v>
      </c>
      <c r="J62" t="s">
        <v>451</v>
      </c>
      <c r="K62">
        <v>1</v>
      </c>
      <c r="L62" t="s">
        <v>29</v>
      </c>
    </row>
    <row r="63" spans="1:12" ht="30" x14ac:dyDescent="0.25">
      <c r="A63" s="8" t="s">
        <v>92</v>
      </c>
      <c r="B63" s="9" t="str">
        <f>bolso("Bolso de carpintero 1",Table69[])</f>
        <v xml:space="preserve">Bolso de carpintero 1 Contiene:  Martillo x1,  Pinza x1,  Alicate x1, </v>
      </c>
      <c r="C63" s="8"/>
      <c r="D63" s="8"/>
      <c r="E63" s="8"/>
      <c r="F63" s="8">
        <v>1</v>
      </c>
      <c r="G63" s="8" t="s">
        <v>257</v>
      </c>
      <c r="H63" s="8">
        <v>1</v>
      </c>
      <c r="J63" t="s">
        <v>200</v>
      </c>
      <c r="K63">
        <v>1</v>
      </c>
      <c r="L63" t="s">
        <v>29</v>
      </c>
    </row>
    <row r="64" spans="1:12" ht="30" x14ac:dyDescent="0.25">
      <c r="A64" s="8" t="s">
        <v>92</v>
      </c>
      <c r="B64" s="9" t="str">
        <f>bolso("Bolso de carpintero 2",Table69[])</f>
        <v xml:space="preserve">Bolso de carpintero 2 Contiene:  Martillo x1,  Alicate x1, </v>
      </c>
      <c r="C64" s="8"/>
      <c r="D64" s="8"/>
      <c r="E64" s="8"/>
      <c r="F64" s="8">
        <v>1</v>
      </c>
      <c r="G64" s="8" t="s">
        <v>257</v>
      </c>
      <c r="H64" s="8">
        <v>1</v>
      </c>
      <c r="J64" t="s">
        <v>452</v>
      </c>
      <c r="K64">
        <v>2</v>
      </c>
      <c r="L64" t="s">
        <v>29</v>
      </c>
    </row>
    <row r="65" spans="1:12" ht="60" x14ac:dyDescent="0.25">
      <c r="A65" s="8" t="s">
        <v>92</v>
      </c>
      <c r="B65" s="9" t="str">
        <f>bolso("Caja de eslingas 1",Table69[])</f>
        <v xml:space="preserve">Caja de eslingas 1 Contiene:  Eslinga 3tn año 01/2011 x1,  Eslinga 3tn año 01/2012 x1,  Eslinga 6tn año 11/2010 x1,  Eslinga 6tn Sin año x1, </v>
      </c>
      <c r="C65" s="8"/>
      <c r="D65" s="8"/>
      <c r="E65" s="8"/>
      <c r="F65" s="8">
        <v>1</v>
      </c>
      <c r="G65" s="8" t="s">
        <v>257</v>
      </c>
      <c r="H65" s="8">
        <v>1</v>
      </c>
      <c r="J65" t="s">
        <v>453</v>
      </c>
      <c r="K65">
        <v>2</v>
      </c>
      <c r="L65" t="s">
        <v>29</v>
      </c>
    </row>
    <row r="66" spans="1:12" ht="90" x14ac:dyDescent="0.25">
      <c r="A66" s="8" t="s">
        <v>92</v>
      </c>
      <c r="B66" s="9" t="str">
        <f>bolso("Caja de eslingas 2",Table69[])</f>
        <v xml:space="preserve">Caja de eslingas 2 Contiene:  Eslinga fina x1,  Eslinga will 1tn año 02/2013 x1,  Eslinga grande 6TN año 02/2015 x2,  Grillete chico x1,  Grillete mediano x5,  Grillete grande x2,  Grillete muy grande x1, </v>
      </c>
      <c r="C66" s="8"/>
      <c r="D66" s="8"/>
      <c r="E66" s="8"/>
      <c r="F66" s="8">
        <v>1</v>
      </c>
      <c r="G66" s="8" t="s">
        <v>257</v>
      </c>
      <c r="H66" s="8">
        <v>1</v>
      </c>
      <c r="J66" t="s">
        <v>19</v>
      </c>
      <c r="K66">
        <v>1</v>
      </c>
      <c r="L66" t="s">
        <v>29</v>
      </c>
    </row>
    <row r="67" spans="1:12" ht="90" x14ac:dyDescent="0.25">
      <c r="A67" s="8" t="s">
        <v>92</v>
      </c>
      <c r="B67" s="9" t="str">
        <f>bolso("Bolso de comando de minicojines 1",Table69[])</f>
        <v xml:space="preserve">Bolso de comando de minicojines 1 Contiene:  Comando de minicojines x1,  Reductor de presion para minicojines x1,  Mangueras de aire comprimido para minicojines x2,  Valvula de presion con manometro x2, </v>
      </c>
      <c r="C67" s="8"/>
      <c r="D67" s="8"/>
      <c r="E67" s="8"/>
      <c r="F67" s="8">
        <v>1</v>
      </c>
      <c r="G67" s="8" t="s">
        <v>257</v>
      </c>
      <c r="H67" s="8">
        <v>1</v>
      </c>
      <c r="J67" t="s">
        <v>454</v>
      </c>
      <c r="K67">
        <v>1</v>
      </c>
      <c r="L67" t="s">
        <v>29</v>
      </c>
    </row>
    <row r="68" spans="1:12" x14ac:dyDescent="0.25">
      <c r="A68" s="8" t="s">
        <v>156</v>
      </c>
      <c r="B68" s="9" t="s">
        <v>424</v>
      </c>
      <c r="C68" s="8" t="s">
        <v>158</v>
      </c>
      <c r="D68" s="8"/>
      <c r="E68" s="8"/>
      <c r="F68" s="8">
        <v>3</v>
      </c>
      <c r="G68" s="8" t="s">
        <v>257</v>
      </c>
      <c r="H68" s="8">
        <v>1</v>
      </c>
      <c r="J68" t="s">
        <v>455</v>
      </c>
      <c r="K68">
        <v>3</v>
      </c>
      <c r="L68" t="s">
        <v>29</v>
      </c>
    </row>
    <row r="69" spans="1:12" x14ac:dyDescent="0.25">
      <c r="A69" s="8" t="s">
        <v>156</v>
      </c>
      <c r="B69" s="9" t="s">
        <v>425</v>
      </c>
      <c r="C69" s="8" t="s">
        <v>158</v>
      </c>
      <c r="D69" s="8"/>
      <c r="E69" s="8"/>
      <c r="F69" s="8">
        <v>1</v>
      </c>
      <c r="G69" s="8" t="s">
        <v>257</v>
      </c>
      <c r="H69" s="8">
        <v>1</v>
      </c>
      <c r="J69" t="s">
        <v>456</v>
      </c>
      <c r="K69">
        <v>1</v>
      </c>
      <c r="L69" t="s">
        <v>29</v>
      </c>
    </row>
    <row r="70" spans="1:12" x14ac:dyDescent="0.25">
      <c r="A70" s="8" t="s">
        <v>12</v>
      </c>
      <c r="B70" s="9" t="s">
        <v>267</v>
      </c>
      <c r="C70" s="8"/>
      <c r="D70" s="8" t="s">
        <v>268</v>
      </c>
      <c r="E70" s="11" t="s">
        <v>269</v>
      </c>
      <c r="F70" s="8">
        <v>1</v>
      </c>
      <c r="G70" s="8" t="s">
        <v>257</v>
      </c>
      <c r="H70" s="8">
        <v>1</v>
      </c>
      <c r="J70" t="s">
        <v>457</v>
      </c>
      <c r="K70">
        <v>1</v>
      </c>
      <c r="L70" t="s">
        <v>29</v>
      </c>
    </row>
    <row r="71" spans="1:12" ht="30" x14ac:dyDescent="0.25">
      <c r="A71" t="s">
        <v>258</v>
      </c>
      <c r="B71" s="9" t="s">
        <v>259</v>
      </c>
      <c r="C71" s="8"/>
      <c r="D71" s="8"/>
      <c r="E71" s="8"/>
      <c r="F71" s="8">
        <v>3</v>
      </c>
      <c r="G71" s="8" t="s">
        <v>257</v>
      </c>
      <c r="H71" s="8">
        <v>1</v>
      </c>
      <c r="J71" t="s">
        <v>458</v>
      </c>
      <c r="K71">
        <v>1</v>
      </c>
      <c r="L71" t="s">
        <v>29</v>
      </c>
    </row>
    <row r="72" spans="1:12" x14ac:dyDescent="0.25">
      <c r="A72" s="8" t="s">
        <v>87</v>
      </c>
      <c r="B72" s="9" t="s">
        <v>260</v>
      </c>
      <c r="C72" s="8"/>
      <c r="D72" s="8"/>
      <c r="E72" s="8"/>
      <c r="F72" s="8">
        <v>9</v>
      </c>
      <c r="G72" s="8" t="s">
        <v>257</v>
      </c>
      <c r="H72" s="8">
        <v>1</v>
      </c>
      <c r="J72" t="s">
        <v>459</v>
      </c>
      <c r="K72">
        <v>1</v>
      </c>
      <c r="L72" t="s">
        <v>29</v>
      </c>
    </row>
    <row r="73" spans="1:12" x14ac:dyDescent="0.25">
      <c r="A73" s="8" t="s">
        <v>87</v>
      </c>
      <c r="B73" s="9" t="s">
        <v>277</v>
      </c>
      <c r="C73" s="8"/>
      <c r="D73" s="8"/>
      <c r="E73" s="8"/>
      <c r="F73" s="8">
        <v>2</v>
      </c>
      <c r="G73" s="8" t="s">
        <v>257</v>
      </c>
      <c r="H73" s="8">
        <v>1</v>
      </c>
      <c r="J73" t="s">
        <v>460</v>
      </c>
      <c r="K73">
        <v>1</v>
      </c>
      <c r="L73" t="s">
        <v>29</v>
      </c>
    </row>
    <row r="74" spans="1:12" x14ac:dyDescent="0.25">
      <c r="A74" s="8" t="s">
        <v>409</v>
      </c>
      <c r="B74" s="9"/>
      <c r="C74" s="8"/>
      <c r="D74" s="8"/>
      <c r="E74" s="8"/>
      <c r="F74" s="8">
        <v>4</v>
      </c>
      <c r="G74" s="8" t="s">
        <v>7</v>
      </c>
      <c r="H74" s="8">
        <v>1</v>
      </c>
      <c r="J74" t="s">
        <v>461</v>
      </c>
      <c r="K74">
        <v>1</v>
      </c>
      <c r="L74" t="s">
        <v>29</v>
      </c>
    </row>
    <row r="75" spans="1:12" x14ac:dyDescent="0.25">
      <c r="A75" s="8" t="s">
        <v>404</v>
      </c>
      <c r="B75" s="9"/>
      <c r="C75" s="8" t="s">
        <v>405</v>
      </c>
      <c r="D75" s="8"/>
      <c r="E75" s="8"/>
      <c r="F75" s="8">
        <v>1</v>
      </c>
      <c r="G75" s="8" t="s">
        <v>7</v>
      </c>
      <c r="H75" s="8">
        <v>1</v>
      </c>
      <c r="J75" t="s">
        <v>462</v>
      </c>
      <c r="K75">
        <v>1</v>
      </c>
      <c r="L75" t="s">
        <v>29</v>
      </c>
    </row>
    <row r="76" spans="1:12" x14ac:dyDescent="0.25">
      <c r="A76" s="8" t="s">
        <v>404</v>
      </c>
      <c r="B76" s="9"/>
      <c r="C76" s="8" t="s">
        <v>406</v>
      </c>
      <c r="D76" s="8"/>
      <c r="E76" s="8"/>
      <c r="F76" s="8">
        <v>1</v>
      </c>
      <c r="G76" s="8" t="s">
        <v>7</v>
      </c>
      <c r="H76" s="8">
        <v>1</v>
      </c>
    </row>
    <row r="77" spans="1:12" x14ac:dyDescent="0.25">
      <c r="A77" s="8" t="s">
        <v>188</v>
      </c>
      <c r="B77" s="9" t="s">
        <v>408</v>
      </c>
      <c r="C77" s="8"/>
      <c r="D77" s="8"/>
      <c r="E77" s="8"/>
      <c r="F77" s="8">
        <v>1</v>
      </c>
      <c r="G77" s="8" t="s">
        <v>7</v>
      </c>
      <c r="H77" s="8">
        <v>1</v>
      </c>
    </row>
    <row r="78" spans="1:12" x14ac:dyDescent="0.25">
      <c r="A78" s="8" t="s">
        <v>212</v>
      </c>
      <c r="B78" s="9"/>
      <c r="C78" s="8"/>
      <c r="D78" s="8"/>
      <c r="E78" s="8"/>
      <c r="F78" s="8">
        <v>1</v>
      </c>
      <c r="G78" s="8" t="s">
        <v>7</v>
      </c>
      <c r="H78" s="8">
        <v>1</v>
      </c>
    </row>
    <row r="79" spans="1:12" x14ac:dyDescent="0.25">
      <c r="A79" s="8" t="s">
        <v>258</v>
      </c>
      <c r="B79" s="9" t="s">
        <v>407</v>
      </c>
      <c r="C79" s="8"/>
      <c r="D79" s="8"/>
      <c r="E79" s="8"/>
      <c r="F79" s="8">
        <v>1</v>
      </c>
      <c r="G79" s="8" t="s">
        <v>7</v>
      </c>
      <c r="H79" s="8">
        <v>1</v>
      </c>
    </row>
    <row r="80" spans="1:12" x14ac:dyDescent="0.25">
      <c r="A80" s="8" t="s">
        <v>160</v>
      </c>
      <c r="B80" s="9" t="s">
        <v>435</v>
      </c>
      <c r="C80" s="8"/>
      <c r="D80" s="8"/>
      <c r="E80" s="8"/>
      <c r="F80" s="8">
        <v>2</v>
      </c>
      <c r="G80" s="8" t="s">
        <v>5</v>
      </c>
      <c r="H80" s="8">
        <v>1</v>
      </c>
    </row>
    <row r="81" spans="1:8" x14ac:dyDescent="0.25">
      <c r="A81" s="8" t="s">
        <v>160</v>
      </c>
      <c r="B81" s="9" t="s">
        <v>164</v>
      </c>
      <c r="C81" s="8"/>
      <c r="D81" s="8"/>
      <c r="E81" s="8"/>
      <c r="F81" s="8">
        <v>2</v>
      </c>
      <c r="G81" s="8" t="s">
        <v>5</v>
      </c>
      <c r="H81" s="8">
        <v>1</v>
      </c>
    </row>
    <row r="82" spans="1:8" x14ac:dyDescent="0.25">
      <c r="A82" s="8" t="s">
        <v>46</v>
      </c>
      <c r="B82" s="9"/>
      <c r="C82" s="8"/>
      <c r="D82" s="8"/>
      <c r="E82" s="8"/>
      <c r="F82" s="8">
        <v>3</v>
      </c>
      <c r="G82" s="8" t="s">
        <v>5</v>
      </c>
      <c r="H82" s="8">
        <v>1</v>
      </c>
    </row>
    <row r="83" spans="1:8" x14ac:dyDescent="0.25">
      <c r="A83" s="8" t="s">
        <v>436</v>
      </c>
      <c r="B83" s="9"/>
      <c r="C83" s="8"/>
      <c r="D83" s="8"/>
      <c r="E83" s="8"/>
      <c r="F83" s="8">
        <v>1</v>
      </c>
      <c r="G83" s="8" t="s">
        <v>5</v>
      </c>
      <c r="H83" s="8">
        <v>1</v>
      </c>
    </row>
    <row r="84" spans="1:8" x14ac:dyDescent="0.25">
      <c r="A84" s="8" t="s">
        <v>244</v>
      </c>
      <c r="B84" s="9" t="s">
        <v>437</v>
      </c>
      <c r="C84" s="8"/>
      <c r="D84" s="8" t="s">
        <v>438</v>
      </c>
      <c r="E84" s="8"/>
      <c r="F84" s="8">
        <v>1</v>
      </c>
      <c r="G84" s="8" t="s">
        <v>5</v>
      </c>
      <c r="H84" s="8">
        <v>1</v>
      </c>
    </row>
    <row r="85" spans="1:8" ht="30" x14ac:dyDescent="0.25">
      <c r="A85" s="8" t="s">
        <v>92</v>
      </c>
      <c r="B85" s="9" t="str">
        <f>bolso("Cajon de cuerdas trenzadas",Table69[])</f>
        <v xml:space="preserve">Cajon de cuerdas trenzadas Contiene:  Cuerda naranja de salvamento naval x2, </v>
      </c>
      <c r="C85" s="8"/>
      <c r="D85" s="8"/>
      <c r="E85" s="8"/>
      <c r="F85" s="8">
        <v>1</v>
      </c>
      <c r="G85" s="8" t="s">
        <v>5</v>
      </c>
      <c r="H85" s="8">
        <v>1</v>
      </c>
    </row>
    <row r="86" spans="1:8" ht="45" x14ac:dyDescent="0.25">
      <c r="A86" s="8" t="s">
        <v>92</v>
      </c>
      <c r="B86" s="9" t="str">
        <f>bolso("Cajon de poda",Table69[])</f>
        <v xml:space="preserve">Cajon de poda Contiene:  Mameluco de seguridad para motosierras x1,  Casco de poda x1, </v>
      </c>
      <c r="C86" s="8"/>
      <c r="D86" s="8"/>
      <c r="E86" s="8"/>
      <c r="F86" s="8">
        <v>1</v>
      </c>
      <c r="G86" s="8" t="s">
        <v>5</v>
      </c>
      <c r="H86" s="8">
        <v>1</v>
      </c>
    </row>
    <row r="87" spans="1:8" ht="30" x14ac:dyDescent="0.25">
      <c r="A87" s="8" t="s">
        <v>92</v>
      </c>
      <c r="B87" s="9" t="str">
        <f>bolso("Cajon de botas wader",Table69[])</f>
        <v xml:space="preserve">Cajon de botas wader Contiene:  Botas wader x2, </v>
      </c>
      <c r="C87" s="8"/>
      <c r="D87" s="8"/>
      <c r="E87" s="8"/>
      <c r="F87" s="8">
        <v>1</v>
      </c>
      <c r="G87" s="8" t="s">
        <v>5</v>
      </c>
      <c r="H87" s="8">
        <v>1</v>
      </c>
    </row>
    <row r="88" spans="1:8" x14ac:dyDescent="0.25">
      <c r="A88" s="8" t="s">
        <v>92</v>
      </c>
      <c r="B88" s="8" t="str">
        <f>bolso("Cajon de guantes",Table69[])</f>
        <v xml:space="preserve">Cajon de guantes Contiene:  Guantes varios x1, </v>
      </c>
      <c r="C88" s="8"/>
      <c r="D88" s="8"/>
      <c r="E88" s="8"/>
      <c r="F88" s="8">
        <v>1</v>
      </c>
      <c r="G88" s="8" t="s">
        <v>5</v>
      </c>
      <c r="H88" s="8">
        <v>1</v>
      </c>
    </row>
    <row r="89" spans="1:8" x14ac:dyDescent="0.25">
      <c r="A89" s="8" t="s">
        <v>92</v>
      </c>
      <c r="B89" s="8" t="str">
        <f>bolso("Cajon de reservorios de agua",Table69[])</f>
        <v xml:space="preserve">Cajon de reservorios de agua Contiene:  Reservorios de auga x4, </v>
      </c>
      <c r="C89" s="8"/>
      <c r="D89" s="8"/>
      <c r="E89" s="8"/>
      <c r="F89" s="8">
        <v>1</v>
      </c>
      <c r="G89" s="8" t="s">
        <v>5</v>
      </c>
      <c r="H89" s="8">
        <v>1</v>
      </c>
    </row>
    <row r="90" spans="1:8" ht="120" x14ac:dyDescent="0.25">
      <c r="A90" s="8" t="s">
        <v>92</v>
      </c>
      <c r="B90" s="9" t="str">
        <f>bolso("Bolso de corte",Table69[])</f>
        <v xml:space="preserve">Bolso de corte Contiene:  Extractor NH  x1,  Pinza dielectrica x1,  Destornillador plano x2,  Destornillador phillips x2,  Martillo x1,  pinza de punta dielectrica x1,  Juego de llaves alem x3,  llave 19mm x1,  Llave 17mm x1,  llave 19 y 17mm x1,  llave 32mm x1,  llave 12mm x1,  llave 13mm x1,  llave 11 mm x1, </v>
      </c>
      <c r="C90" s="8"/>
      <c r="D90" s="8"/>
      <c r="E90" s="8"/>
      <c r="F90" s="8">
        <v>1</v>
      </c>
      <c r="G90" s="8" t="s">
        <v>5</v>
      </c>
      <c r="H90" s="8">
        <v>1</v>
      </c>
    </row>
    <row r="91" spans="1:8" x14ac:dyDescent="0.25">
      <c r="A91" s="8" t="s">
        <v>156</v>
      </c>
      <c r="B91" s="9" t="s">
        <v>463</v>
      </c>
      <c r="C91" s="8"/>
      <c r="D91" s="8"/>
      <c r="E91" s="8"/>
      <c r="F91" s="8">
        <v>1</v>
      </c>
      <c r="G91" s="8" t="s">
        <v>6</v>
      </c>
      <c r="H91" s="8">
        <v>1</v>
      </c>
    </row>
    <row r="92" spans="1:8" x14ac:dyDescent="0.25">
      <c r="A92" s="8" t="s">
        <v>156</v>
      </c>
      <c r="B92" s="9" t="s">
        <v>464</v>
      </c>
      <c r="C92" s="8"/>
      <c r="D92" s="8"/>
      <c r="E92" s="8"/>
      <c r="F92" s="8">
        <v>1</v>
      </c>
      <c r="G92" s="8" t="s">
        <v>6</v>
      </c>
      <c r="H92" s="8">
        <v>1</v>
      </c>
    </row>
    <row r="93" spans="1:8" x14ac:dyDescent="0.25">
      <c r="A93" s="8" t="s">
        <v>156</v>
      </c>
      <c r="B93" s="9" t="s">
        <v>465</v>
      </c>
      <c r="C93" s="8" t="s">
        <v>108</v>
      </c>
      <c r="D93" s="8"/>
      <c r="E93" s="8"/>
      <c r="F93" s="8">
        <v>1</v>
      </c>
      <c r="G93" s="8" t="s">
        <v>6</v>
      </c>
      <c r="H93" s="8">
        <v>1</v>
      </c>
    </row>
    <row r="94" spans="1:8" x14ac:dyDescent="0.25">
      <c r="A94" s="8" t="s">
        <v>244</v>
      </c>
      <c r="B94" s="9"/>
      <c r="C94" s="8"/>
      <c r="D94" s="8" t="s">
        <v>466</v>
      </c>
      <c r="E94" s="8"/>
      <c r="F94" s="8">
        <v>1</v>
      </c>
      <c r="G94" s="8" t="s">
        <v>6</v>
      </c>
      <c r="H94" s="8">
        <v>1</v>
      </c>
    </row>
    <row r="95" spans="1:8" x14ac:dyDescent="0.25">
      <c r="A95" s="8" t="s">
        <v>156</v>
      </c>
      <c r="B95" s="9" t="s">
        <v>467</v>
      </c>
      <c r="C95" s="8" t="s">
        <v>108</v>
      </c>
      <c r="D95" s="8"/>
      <c r="E95" s="8"/>
      <c r="F95" s="8">
        <v>1</v>
      </c>
      <c r="G95" s="8" t="s">
        <v>6</v>
      </c>
      <c r="H95" s="8">
        <v>2</v>
      </c>
    </row>
    <row r="96" spans="1:8" x14ac:dyDescent="0.25">
      <c r="A96" s="8" t="s">
        <v>156</v>
      </c>
      <c r="B96" s="9" t="s">
        <v>468</v>
      </c>
      <c r="C96" s="8"/>
      <c r="D96" s="8"/>
      <c r="E96" s="8"/>
      <c r="F96" s="8">
        <v>1</v>
      </c>
      <c r="G96" s="8" t="s">
        <v>6</v>
      </c>
      <c r="H96" s="8">
        <v>2</v>
      </c>
    </row>
    <row r="97" spans="1:8" x14ac:dyDescent="0.25">
      <c r="A97" s="8" t="s">
        <v>156</v>
      </c>
      <c r="B97" s="9" t="s">
        <v>469</v>
      </c>
      <c r="C97" s="8" t="s">
        <v>470</v>
      </c>
      <c r="D97" s="8"/>
      <c r="E97" s="8"/>
      <c r="F97" s="8">
        <v>3</v>
      </c>
      <c r="G97" s="8" t="s">
        <v>6</v>
      </c>
      <c r="H97" s="8">
        <v>2</v>
      </c>
    </row>
    <row r="98" spans="1:8" x14ac:dyDescent="0.25">
      <c r="A98" s="8" t="s">
        <v>156</v>
      </c>
      <c r="B98" s="9" t="s">
        <v>177</v>
      </c>
      <c r="C98" s="8"/>
      <c r="D98" s="8"/>
      <c r="E98" s="8"/>
      <c r="F98" s="8">
        <v>3</v>
      </c>
      <c r="G98" s="8" t="s">
        <v>6</v>
      </c>
      <c r="H98" s="8">
        <v>2</v>
      </c>
    </row>
    <row r="99" spans="1:8" x14ac:dyDescent="0.25">
      <c r="A99" s="8" t="s">
        <v>156</v>
      </c>
      <c r="B99" s="9" t="s">
        <v>471</v>
      </c>
      <c r="C99" s="8"/>
      <c r="D99" s="8"/>
      <c r="E99" s="8"/>
      <c r="F99" s="8">
        <v>1</v>
      </c>
      <c r="G99" s="8" t="s">
        <v>6</v>
      </c>
      <c r="H99" s="8">
        <v>2</v>
      </c>
    </row>
    <row r="100" spans="1:8" x14ac:dyDescent="0.25">
      <c r="A100" s="8" t="s">
        <v>156</v>
      </c>
      <c r="B100" s="9" t="s">
        <v>168</v>
      </c>
      <c r="C100" s="8"/>
      <c r="D100" s="8"/>
      <c r="E100" s="8"/>
      <c r="F100" s="8">
        <v>1</v>
      </c>
      <c r="G100" s="8" t="s">
        <v>6</v>
      </c>
      <c r="H100" s="8">
        <v>2</v>
      </c>
    </row>
    <row r="101" spans="1:8" x14ac:dyDescent="0.25">
      <c r="A101" s="8" t="s">
        <v>90</v>
      </c>
      <c r="B101" s="9" t="s">
        <v>472</v>
      </c>
      <c r="C101" s="8"/>
      <c r="D101" s="8"/>
      <c r="E101" s="8"/>
      <c r="F101" s="8">
        <v>1</v>
      </c>
      <c r="G101" s="8" t="s">
        <v>6</v>
      </c>
      <c r="H101" s="8">
        <v>2</v>
      </c>
    </row>
    <row r="102" spans="1:8" x14ac:dyDescent="0.25">
      <c r="A102" s="8" t="s">
        <v>156</v>
      </c>
      <c r="B102" s="9" t="s">
        <v>473</v>
      </c>
      <c r="C102" s="8"/>
      <c r="D102" s="8"/>
      <c r="E102" s="8"/>
      <c r="F102" s="8">
        <v>1</v>
      </c>
      <c r="G102" s="8" t="s">
        <v>6</v>
      </c>
      <c r="H102" s="8">
        <v>2</v>
      </c>
    </row>
    <row r="103" spans="1:8" x14ac:dyDescent="0.25">
      <c r="A103" s="8" t="s">
        <v>474</v>
      </c>
      <c r="B103" s="9"/>
      <c r="C103" s="8"/>
      <c r="D103" s="8"/>
      <c r="E103" s="8"/>
      <c r="F103" s="8">
        <v>2</v>
      </c>
      <c r="G103" s="8" t="s">
        <v>6</v>
      </c>
      <c r="H103" s="8">
        <v>2</v>
      </c>
    </row>
    <row r="104" spans="1:8" x14ac:dyDescent="0.25">
      <c r="A104" s="8" t="s">
        <v>475</v>
      </c>
      <c r="B104" s="9"/>
      <c r="C104" s="8"/>
      <c r="D104" s="8"/>
      <c r="E104" s="8"/>
      <c r="F104" s="8">
        <v>2</v>
      </c>
      <c r="G104" s="8" t="s">
        <v>6</v>
      </c>
      <c r="H104" s="8">
        <v>2</v>
      </c>
    </row>
    <row r="105" spans="1:8" x14ac:dyDescent="0.25">
      <c r="A105" s="8" t="s">
        <v>476</v>
      </c>
      <c r="B105" s="9"/>
      <c r="C105" s="8"/>
      <c r="D105" s="8"/>
      <c r="E105" s="8"/>
      <c r="F105" s="8">
        <v>1</v>
      </c>
      <c r="G105" s="8" t="s">
        <v>6</v>
      </c>
      <c r="H105" s="8">
        <v>2</v>
      </c>
    </row>
    <row r="106" spans="1:8" x14ac:dyDescent="0.25">
      <c r="A106" s="8" t="s">
        <v>105</v>
      </c>
      <c r="B106" s="9"/>
      <c r="C106" s="8" t="s">
        <v>108</v>
      </c>
      <c r="D106" s="8"/>
      <c r="E106" s="8"/>
      <c r="F106" s="8">
        <v>9</v>
      </c>
      <c r="G106" s="8" t="s">
        <v>6</v>
      </c>
      <c r="H106" s="8">
        <v>3</v>
      </c>
    </row>
    <row r="107" spans="1:8" x14ac:dyDescent="0.25">
      <c r="A107" s="8" t="s">
        <v>105</v>
      </c>
      <c r="B107" s="9"/>
      <c r="C107" s="8" t="s">
        <v>477</v>
      </c>
      <c r="D107" s="8"/>
      <c r="E107" s="8"/>
      <c r="F107" s="8">
        <v>1</v>
      </c>
      <c r="G107" s="8" t="s">
        <v>6</v>
      </c>
      <c r="H107" s="8">
        <v>3</v>
      </c>
    </row>
    <row r="108" spans="1:8" x14ac:dyDescent="0.25">
      <c r="A108" s="8" t="s">
        <v>105</v>
      </c>
      <c r="B108" s="9"/>
      <c r="C108" s="8" t="s">
        <v>107</v>
      </c>
      <c r="D108" s="8"/>
      <c r="E108" s="8"/>
      <c r="F108" s="8">
        <v>1</v>
      </c>
      <c r="G108" s="8" t="s">
        <v>6</v>
      </c>
      <c r="H108" s="8">
        <v>3</v>
      </c>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C1 C7:C8 C11 C14:C15" xr:uid="{6488A263-FF48-4FEC-80AE-35972CA5F9FC}">
      <formula1>Medidas</formula1>
    </dataValidation>
    <dataValidation type="list" allowBlank="1" showInputMessage="1" showErrorMessage="1" sqref="A135:A136 A71:A102 A112:A117 A119:A128 A130:A133 A1 A3:A5 A7:A23 A25:A35 A37 A39:A50 A53:A55 A57:A58 A60 A63:A64 A66:A67 A105:A108" xr:uid="{249731DF-BADE-46D9-B5A8-B3EC2C698D09}">
      <formula1>categorias</formula1>
    </dataValidation>
    <dataValidation type="list" allowBlank="1" showInputMessage="1" showErrorMessage="1" sqref="G1:G1048576" xr:uid="{EAE55E3E-F157-4ACD-9F01-0379DB70EB22}">
      <formula1>CajonerasM41</formula1>
    </dataValidation>
    <dataValidation type="list" allowBlank="1" showInputMessage="1" showErrorMessage="1" sqref="H1:H65 H72:H1048576" xr:uid="{8D07CF95-E038-4BE1-B6BC-565113CE26F8}">
      <formula1>INDEX(CompartimientosM41,0,MATCH(OFFSET(INDIRECT(ADDRESS(ROW(), COLUMN())),0,-1),CajonerasM41,0))</formula1>
    </dataValidation>
    <dataValidation type="list" allowBlank="1" showInputMessage="1" showErrorMessage="1" sqref="L1:L8 L13:L14 L18:L19 L60:L1048576" xr:uid="{3501184E-8C21-4DF3-96BD-848BE0E51833}">
      <formula1>BolsosM41</formula1>
    </dataValidation>
  </dataValidations>
  <pageMargins left="0.7" right="0.7" top="0.75" bottom="0.75" header="0.3" footer="0.3"/>
  <pageSetup paperSize="9" orientation="portrait"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3">
        <x14:dataValidation type="list" allowBlank="1" showInputMessage="1" showErrorMessage="1" xr:uid="{67854B83-72E2-45DA-9537-3BF59273EE52}">
          <x14:formula1>
            <xm:f>Configuracion!$I$2:$I$7</xm:f>
          </x14:formula1>
          <xm:sqref>C136</xm:sqref>
        </x14:dataValidation>
        <x14:dataValidation type="list" allowBlank="1" showInputMessage="1" showErrorMessage="1" xr:uid="{0AAD383A-03C3-4E13-9B24-0444E0D14AD0}">
          <x14:formula1>
            <xm:f>Configuracion!$N$2:$N$9</xm:f>
          </x14:formula1>
          <xm:sqref>C120 C122</xm:sqref>
        </x14:dataValidation>
        <x14:dataValidation type="list" allowBlank="1" showInputMessage="1" showErrorMessage="1" xr:uid="{20157323-4604-4339-B969-E099A9C4E516}">
          <x14:formula1>
            <xm:f>Configuracion!$S$2:$S$10</xm:f>
          </x14:formula1>
          <xm:sqref>C96 C100:C101 C105 C6</xm:sqref>
        </x14:dataValidation>
        <x14:dataValidation type="list" allowBlank="1" showInputMessage="1" showErrorMessage="1" xr:uid="{348463CC-A3D8-448B-A233-5B714E9220AA}">
          <x14:formula1>
            <xm:f>Configuracion!$J$2:$J$5</xm:f>
          </x14:formula1>
          <xm:sqref>C25 C9:C10</xm:sqref>
        </x14:dataValidation>
        <x14:dataValidation type="list" allowBlank="1" showInputMessage="1" showErrorMessage="1" xr:uid="{7CF9AAF4-F6D4-4201-A507-D1FA1BD400B1}">
          <x14:formula1>
            <xm:f>Configuracion!$H$2:$H$6</xm:f>
          </x14:formula1>
          <xm:sqref>C21</xm:sqref>
        </x14:dataValidation>
        <x14:dataValidation type="list" allowBlank="1" showInputMessage="1" showErrorMessage="1" xr:uid="{74D6D946-EE5D-4B5F-9B13-A84781F0439B}">
          <x14:formula1>
            <xm:f>Configuracion!$H$2:$H$5</xm:f>
          </x14:formula1>
          <xm:sqref>C2</xm:sqref>
        </x14:dataValidation>
        <x14:dataValidation type="list" allowBlank="1" showInputMessage="1" showErrorMessage="1" xr:uid="{A0D77706-37A9-473C-89C7-A50B74CFECB3}">
          <x14:formula1>
            <xm:f>Configuracion!$Q$2:$Q$7</xm:f>
          </x14:formula1>
          <xm:sqref>C66:C67 C53 C70</xm:sqref>
        </x14:dataValidation>
        <x14:dataValidation type="list" allowBlank="1" showInputMessage="1" showErrorMessage="1" xr:uid="{9DD0FA53-D1D4-4A18-BC09-3B50E1E5518A}">
          <x14:formula1>
            <xm:f>Configuracion!$F$2:$F$10</xm:f>
          </x14:formula1>
          <xm:sqref>C64:C65 C125:C126</xm:sqref>
        </x14:dataValidation>
        <x14:dataValidation type="list" allowBlank="1" showInputMessage="1" showErrorMessage="1" xr:uid="{F1A00B96-EC87-4348-BB58-05A8B9CFC5FC}">
          <x14:formula1>
            <xm:f>Configuracion!$F$2:$F$9</xm:f>
          </x14:formula1>
          <xm:sqref>C63</xm:sqref>
        </x14:dataValidation>
        <x14:dataValidation type="list" allowBlank="1" showInputMessage="1" showErrorMessage="1" xr:uid="{75F0A6A2-119A-407D-BEAC-509EA9493C15}">
          <x14:formula1>
            <xm:f>Configuracion!$O$2:$O$7</xm:f>
          </x14:formula1>
          <xm:sqref>C38</xm:sqref>
        </x14:dataValidation>
        <x14:dataValidation type="list" allowBlank="1" showInputMessage="1" showErrorMessage="1" xr:uid="{C9D009DD-D1F8-4D64-B39F-C804C97124A3}">
          <x14:formula1>
            <xm:f>Configuracion!$F$2:$F$7</xm:f>
          </x14:formula1>
          <xm:sqref>C32</xm:sqref>
        </x14:dataValidation>
        <x14:dataValidation type="list" allowBlank="1" showInputMessage="1" showErrorMessage="1" xr:uid="{A51727B2-9D46-4E8B-B66F-93A64453285F}">
          <x14:formula1>
            <xm:f>Configuracion!$F$2:$F$6</xm:f>
          </x14:formula1>
          <xm:sqref>C30</xm:sqref>
        </x14:dataValidation>
        <x14:dataValidation type="list" allowBlank="1" showInputMessage="1" showErrorMessage="1" xr:uid="{53B4B296-9EBD-47C0-BB68-C57FA44A3C14}">
          <x14:formula1>
            <xm:f>Configuracion!$N$2:$N$6</xm:f>
          </x14:formula1>
          <xm:sqref>C5</xm:sqref>
        </x14:dataValidation>
        <x14:dataValidation type="list" allowBlank="1" showInputMessage="1" showErrorMessage="1" xr:uid="{E79B9A48-09A9-4697-8A22-965963A355E4}">
          <x14:formula1>
            <xm:f>Configuracion!$I$2:$I$5</xm:f>
          </x14:formula1>
          <xm:sqref>C3</xm:sqref>
        </x14:dataValidation>
        <x14:dataValidation type="list" allowBlank="1" showInputMessage="1" showErrorMessage="1" xr:uid="{22FADA56-8558-4B6E-BC89-7BD142B04764}">
          <x14:formula1>
            <xm:f>Configuracion!$F$2:$F$5</xm:f>
          </x14:formula1>
          <xm:sqref>C13 C28:C29</xm:sqref>
        </x14:dataValidation>
        <x14:dataValidation type="list" allowBlank="1" showInputMessage="1" showErrorMessage="1" xr:uid="{E17386E0-AC06-42F7-9A03-1A1C5C5C8C58}">
          <x14:formula1>
            <xm:f>Configuracion!$G$2:$G$3</xm:f>
          </x14:formula1>
          <xm:sqref>C27 C31 C127:C128</xm:sqref>
        </x14:dataValidation>
        <x14:dataValidation type="list" allowBlank="1" showInputMessage="1" showErrorMessage="1" xr:uid="{660548EC-BEBB-4E79-9559-1077CB028D8F}">
          <x14:formula1>
            <xm:f>Configuracion!$G$2:$G$5</xm:f>
          </x14:formula1>
          <xm:sqref>C12 C26</xm:sqref>
        </x14:dataValidation>
        <x14:dataValidation type="list" allowBlank="1" showInputMessage="1" showErrorMessage="1" xr:uid="{D1A81AEF-EA65-4688-8784-3C98A5D3FA5A}">
          <x14:formula1>
            <xm:f>Configuracion!$K$2:$K$4</xm:f>
          </x14:formula1>
          <xm:sqref>C4 C24</xm:sqref>
        </x14:dataValidation>
        <x14:dataValidation type="list" allowBlank="1" showInputMessage="1" showErrorMessage="1" xr:uid="{C6C77D14-28E4-4A53-8FAE-67503382FDFB}">
          <x14:formula1>
            <xm:f>Configuracion!$S$2:$S$11</xm:f>
          </x14:formula1>
          <xm:sqref>C22 C33 C35 C49 C80 C85 C94</xm:sqref>
        </x14:dataValidation>
        <x14:dataValidation type="list" allowBlank="1" showInputMessage="1" showErrorMessage="1" xr:uid="{2D2E3327-F058-4626-936F-59F63D72BAD9}">
          <x14:formula1>
            <xm:f>Configuracion!$F$2:$F$11</xm:f>
          </x14:formula1>
          <xm:sqref>C74</xm:sqref>
        </x14:dataValidation>
        <x14:dataValidation type="list" allowBlank="1" showInputMessage="1" showErrorMessage="1" xr:uid="{BB7F13D5-A9C9-4FC6-A2EA-0B6B3BCE317D}">
          <x14:formula1>
            <xm:f>Configuracion!$P$2:$P$3</xm:f>
          </x14:formula1>
          <xm:sqref>C106</xm:sqref>
        </x14:dataValidation>
        <x14:dataValidation type="list" allowBlank="1" showInputMessage="1" showErrorMessage="1" xr:uid="{908242DD-9C82-4F6E-A71A-A09229CBA672}">
          <x14:formula1>
            <xm:f>Configuracion!$P$2:$P$4</xm:f>
          </x14:formula1>
          <xm:sqref>C52</xm:sqref>
        </x14:dataValidation>
        <x14:dataValidation type="list" allowBlank="1" showInputMessage="1" showErrorMessage="1" xr:uid="{9C350AA2-1100-474A-8CAE-31E54BA6A034}">
          <x14:formula1>
            <xm:f>Configuracion!$P$2:$P$5</xm:f>
          </x14:formula1>
          <xm:sqref>C107:C108</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586B45-9186-4236-84A3-0FC2BCA17883}">
  <sheetPr codeName="Sheet5"/>
  <dimension ref="A1:U136"/>
  <sheetViews>
    <sheetView topLeftCell="J1" workbookViewId="0">
      <selection activeCell="G8" sqref="G8"/>
    </sheetView>
  </sheetViews>
  <sheetFormatPr defaultRowHeight="15" x14ac:dyDescent="0.25"/>
  <cols>
    <col min="1" max="1" width="26.42578125" bestFit="1" customWidth="1"/>
    <col min="2" max="2" width="37.42578125" style="10" customWidth="1"/>
    <col min="3" max="3" width="15.85546875" bestFit="1" customWidth="1"/>
    <col min="4" max="4" width="32.140625" bestFit="1" customWidth="1"/>
    <col min="5" max="5" width="22.28515625" bestFit="1" customWidth="1"/>
    <col min="6" max="6" width="7" bestFit="1" customWidth="1"/>
    <col min="7" max="7" width="11.140625" bestFit="1" customWidth="1"/>
    <col min="8" max="8" width="18" bestFit="1" customWidth="1"/>
    <col min="10" max="10" width="43.5703125" bestFit="1" customWidth="1"/>
    <col min="12" max="12" width="26.85546875" bestFit="1" customWidth="1"/>
    <col min="14" max="14" width="26.85546875" bestFit="1" customWidth="1"/>
    <col min="16" max="21" width="12.5703125" bestFit="1" customWidth="1"/>
  </cols>
  <sheetData>
    <row r="1" spans="1:21" x14ac:dyDescent="0.25">
      <c r="A1" s="6" t="s">
        <v>0</v>
      </c>
      <c r="B1" s="7" t="s">
        <v>1</v>
      </c>
      <c r="C1" s="6" t="s">
        <v>2</v>
      </c>
      <c r="D1" s="6" t="s">
        <v>3</v>
      </c>
      <c r="E1" s="6" t="s">
        <v>4</v>
      </c>
      <c r="F1" s="6" t="s">
        <v>240</v>
      </c>
      <c r="G1" s="6" t="s">
        <v>13</v>
      </c>
      <c r="H1" s="6" t="s">
        <v>232</v>
      </c>
    </row>
    <row r="2" spans="1:21" x14ac:dyDescent="0.25">
      <c r="A2" t="s">
        <v>32</v>
      </c>
      <c r="B2" s="9"/>
      <c r="C2" t="s">
        <v>294</v>
      </c>
      <c r="D2" s="8"/>
      <c r="E2" s="8" t="s">
        <v>295</v>
      </c>
      <c r="F2" s="8">
        <v>1</v>
      </c>
      <c r="G2" s="8" t="s">
        <v>8</v>
      </c>
      <c r="H2" s="8">
        <v>1</v>
      </c>
    </row>
    <row r="3" spans="1:21" x14ac:dyDescent="0.25">
      <c r="A3" s="8" t="s">
        <v>11</v>
      </c>
      <c r="B3" s="9"/>
      <c r="C3" t="s">
        <v>296</v>
      </c>
      <c r="D3" s="8"/>
      <c r="E3" s="8"/>
      <c r="F3" s="8">
        <v>5</v>
      </c>
      <c r="G3" s="8" t="s">
        <v>8</v>
      </c>
      <c r="H3" s="8">
        <v>1</v>
      </c>
      <c r="J3" t="s">
        <v>16</v>
      </c>
      <c r="K3" t="s">
        <v>18</v>
      </c>
      <c r="L3" t="s">
        <v>14</v>
      </c>
      <c r="N3" t="s">
        <v>28</v>
      </c>
      <c r="P3" s="13" t="s">
        <v>230</v>
      </c>
      <c r="Q3" s="13"/>
      <c r="R3" s="13"/>
      <c r="S3" s="13"/>
      <c r="T3" s="13"/>
      <c r="U3" s="13"/>
    </row>
    <row r="4" spans="1:21" x14ac:dyDescent="0.25">
      <c r="A4" s="8" t="s">
        <v>173</v>
      </c>
      <c r="B4" s="9"/>
      <c r="C4" s="8" t="s">
        <v>297</v>
      </c>
      <c r="D4" s="8"/>
      <c r="E4" s="8"/>
      <c r="F4" s="8">
        <v>1</v>
      </c>
      <c r="G4" s="8" t="s">
        <v>298</v>
      </c>
      <c r="H4" s="8">
        <v>1</v>
      </c>
      <c r="P4" t="s">
        <v>8</v>
      </c>
      <c r="Q4" t="s">
        <v>5</v>
      </c>
      <c r="R4" t="s">
        <v>298</v>
      </c>
      <c r="S4" t="s">
        <v>36</v>
      </c>
      <c r="T4" t="s">
        <v>7</v>
      </c>
    </row>
    <row r="5" spans="1:21" x14ac:dyDescent="0.25">
      <c r="A5" s="8" t="s">
        <v>35</v>
      </c>
      <c r="B5" s="9" t="s">
        <v>299</v>
      </c>
      <c r="C5" s="8" t="s">
        <v>300</v>
      </c>
      <c r="D5" s="8"/>
      <c r="E5" s="8"/>
      <c r="F5" s="8">
        <v>1</v>
      </c>
      <c r="G5" s="8" t="s">
        <v>36</v>
      </c>
      <c r="H5" s="8">
        <v>1</v>
      </c>
      <c r="P5">
        <v>1</v>
      </c>
      <c r="Q5">
        <v>1</v>
      </c>
      <c r="R5">
        <v>1</v>
      </c>
      <c r="S5">
        <v>1</v>
      </c>
      <c r="T5">
        <v>1</v>
      </c>
    </row>
    <row r="6" spans="1:21" x14ac:dyDescent="0.25">
      <c r="A6" s="8" t="s">
        <v>40</v>
      </c>
      <c r="B6" s="9" t="s">
        <v>301</v>
      </c>
      <c r="C6" s="8" t="s">
        <v>41</v>
      </c>
      <c r="D6" s="8"/>
      <c r="E6" s="11"/>
      <c r="F6" s="8">
        <v>1</v>
      </c>
      <c r="G6" s="8" t="s">
        <v>36</v>
      </c>
      <c r="H6" s="8">
        <v>1</v>
      </c>
    </row>
    <row r="7" spans="1:21" x14ac:dyDescent="0.25">
      <c r="A7" s="8" t="s">
        <v>139</v>
      </c>
      <c r="B7" s="9"/>
      <c r="C7" s="8"/>
      <c r="D7" s="8"/>
      <c r="E7" s="8"/>
      <c r="F7" s="8">
        <v>2</v>
      </c>
      <c r="G7" s="8" t="s">
        <v>36</v>
      </c>
      <c r="H7" s="8">
        <v>1</v>
      </c>
    </row>
    <row r="8" spans="1:21" x14ac:dyDescent="0.25">
      <c r="A8" s="8" t="s">
        <v>32</v>
      </c>
      <c r="B8" s="9"/>
      <c r="C8" s="8" t="s">
        <v>52</v>
      </c>
      <c r="D8" s="8" t="s">
        <v>302</v>
      </c>
      <c r="E8" s="8"/>
      <c r="F8" s="8">
        <v>1</v>
      </c>
      <c r="G8" s="8" t="s">
        <v>5</v>
      </c>
      <c r="H8" s="8">
        <v>1</v>
      </c>
    </row>
    <row r="9" spans="1:21" x14ac:dyDescent="0.25">
      <c r="A9" s="8" t="s">
        <v>11</v>
      </c>
      <c r="B9" s="9" t="s">
        <v>303</v>
      </c>
      <c r="C9" s="8" t="s">
        <v>123</v>
      </c>
      <c r="D9" s="8"/>
      <c r="E9" s="8"/>
      <c r="F9" s="8">
        <v>2</v>
      </c>
      <c r="G9" s="8" t="s">
        <v>5</v>
      </c>
      <c r="H9" s="8">
        <v>1</v>
      </c>
    </row>
    <row r="10" spans="1:21" x14ac:dyDescent="0.25">
      <c r="A10" s="8" t="s">
        <v>32</v>
      </c>
      <c r="B10" s="9" t="s">
        <v>305</v>
      </c>
      <c r="C10" s="8" t="s">
        <v>52</v>
      </c>
      <c r="D10" s="8" t="s">
        <v>304</v>
      </c>
      <c r="E10" s="8"/>
      <c r="F10" s="8">
        <v>2</v>
      </c>
      <c r="G10" s="8" t="s">
        <v>7</v>
      </c>
      <c r="H10" s="8">
        <v>1</v>
      </c>
    </row>
    <row r="11" spans="1:21" x14ac:dyDescent="0.25">
      <c r="A11" s="8" t="s">
        <v>156</v>
      </c>
      <c r="B11" s="9" t="s">
        <v>26</v>
      </c>
      <c r="C11" s="8"/>
      <c r="D11" s="8"/>
      <c r="E11" s="8"/>
      <c r="F11" s="8">
        <v>1</v>
      </c>
      <c r="G11" s="8" t="s">
        <v>7</v>
      </c>
      <c r="H11" s="8">
        <v>1</v>
      </c>
    </row>
    <row r="12" spans="1:21" x14ac:dyDescent="0.25">
      <c r="A12" s="8" t="s">
        <v>210</v>
      </c>
      <c r="B12" s="9" t="s">
        <v>306</v>
      </c>
      <c r="C12" s="8"/>
      <c r="D12" s="8"/>
      <c r="E12" s="8"/>
      <c r="F12" s="8">
        <v>1</v>
      </c>
      <c r="G12" s="8" t="s">
        <v>7</v>
      </c>
      <c r="H12" s="8">
        <v>1</v>
      </c>
    </row>
    <row r="13" spans="1:21" x14ac:dyDescent="0.25">
      <c r="A13" s="8" t="s">
        <v>44</v>
      </c>
      <c r="B13" s="9"/>
      <c r="C13" s="8" t="s">
        <v>67</v>
      </c>
      <c r="D13" s="8"/>
      <c r="E13" s="8"/>
      <c r="F13" s="8">
        <v>1</v>
      </c>
      <c r="G13" s="8" t="s">
        <v>7</v>
      </c>
      <c r="H13" s="8">
        <v>1</v>
      </c>
    </row>
    <row r="14" spans="1:21" x14ac:dyDescent="0.25">
      <c r="A14" s="8" t="s">
        <v>43</v>
      </c>
      <c r="B14" s="9" t="s">
        <v>68</v>
      </c>
      <c r="C14" s="8" t="s">
        <v>66</v>
      </c>
      <c r="D14" s="8"/>
      <c r="E14" s="8"/>
      <c r="F14" s="8">
        <v>2</v>
      </c>
      <c r="G14" s="8" t="s">
        <v>7</v>
      </c>
      <c r="H14" s="8">
        <v>1</v>
      </c>
    </row>
    <row r="15" spans="1:21" x14ac:dyDescent="0.25">
      <c r="A15" s="8" t="s">
        <v>44</v>
      </c>
      <c r="B15" s="9" t="s">
        <v>308</v>
      </c>
      <c r="C15" s="8" t="s">
        <v>307</v>
      </c>
      <c r="D15" s="8"/>
      <c r="E15" s="8"/>
      <c r="F15" s="8">
        <v>1</v>
      </c>
      <c r="G15" s="8" t="s">
        <v>7</v>
      </c>
      <c r="H15" s="8">
        <v>1</v>
      </c>
    </row>
    <row r="16" spans="1:21" x14ac:dyDescent="0.25">
      <c r="A16" s="8" t="s">
        <v>43</v>
      </c>
      <c r="B16" s="9" t="s">
        <v>247</v>
      </c>
      <c r="C16" s="8" t="s">
        <v>66</v>
      </c>
      <c r="D16" s="8"/>
      <c r="E16" s="8"/>
      <c r="F16" s="8">
        <v>2</v>
      </c>
      <c r="G16" s="8" t="s">
        <v>7</v>
      </c>
      <c r="H16" s="8">
        <v>1</v>
      </c>
    </row>
    <row r="17" spans="1:8" x14ac:dyDescent="0.25">
      <c r="A17" s="8"/>
      <c r="B17" s="9"/>
      <c r="C17" s="8"/>
      <c r="D17" s="8"/>
      <c r="E17" s="8"/>
      <c r="F17" s="8"/>
      <c r="G17" s="8"/>
      <c r="H17" s="8"/>
    </row>
    <row r="18" spans="1:8" x14ac:dyDescent="0.25">
      <c r="A18" s="8"/>
      <c r="B18" s="9"/>
      <c r="C18" s="8"/>
      <c r="D18" s="8"/>
      <c r="E18" s="8"/>
      <c r="F18" s="8"/>
      <c r="G18" s="8"/>
      <c r="H18" s="8"/>
    </row>
    <row r="19" spans="1:8" x14ac:dyDescent="0.25">
      <c r="A19" s="8"/>
      <c r="B19" s="9"/>
      <c r="C19" s="8"/>
      <c r="D19" s="8"/>
      <c r="E19" s="8"/>
      <c r="F19" s="8"/>
      <c r="G19" s="8"/>
      <c r="H19" s="8"/>
    </row>
    <row r="20" spans="1:8" x14ac:dyDescent="0.25">
      <c r="A20" s="8"/>
      <c r="B20" s="9"/>
      <c r="C20" s="8"/>
      <c r="D20" s="8"/>
      <c r="E20" s="8"/>
      <c r="F20" s="8"/>
      <c r="G20" s="8"/>
      <c r="H20" s="8"/>
    </row>
    <row r="21" spans="1:8" x14ac:dyDescent="0.25">
      <c r="A21" s="8"/>
      <c r="B21" s="9"/>
      <c r="C21" s="8"/>
      <c r="D21" s="8"/>
      <c r="E21" s="8"/>
      <c r="F21" s="8"/>
      <c r="G21" s="8"/>
      <c r="H21" s="8"/>
    </row>
    <row r="22" spans="1:8" x14ac:dyDescent="0.25">
      <c r="A22" s="8"/>
      <c r="B22" s="9"/>
      <c r="C22" s="8"/>
      <c r="D22" s="8"/>
      <c r="E22" s="8"/>
      <c r="F22" s="8"/>
      <c r="G22" s="8"/>
      <c r="H22" s="8"/>
    </row>
    <row r="23" spans="1:8" x14ac:dyDescent="0.25">
      <c r="A23" s="8"/>
      <c r="B23" s="9"/>
      <c r="C23" s="8"/>
      <c r="D23" s="8"/>
      <c r="E23" s="8"/>
      <c r="F23" s="8"/>
      <c r="G23" s="8"/>
      <c r="H23" s="8"/>
    </row>
    <row r="24" spans="1:8" x14ac:dyDescent="0.25">
      <c r="A24" s="8"/>
      <c r="B24" s="9"/>
      <c r="C24" s="8"/>
      <c r="D24" s="8"/>
      <c r="E24" s="8"/>
      <c r="F24" s="8"/>
      <c r="G24" s="8"/>
      <c r="H24" s="8"/>
    </row>
    <row r="25" spans="1:8" x14ac:dyDescent="0.25">
      <c r="A25" s="8"/>
      <c r="B25" s="9"/>
      <c r="C25" s="8"/>
      <c r="D25" s="8"/>
      <c r="E25" s="8"/>
      <c r="F25" s="8"/>
      <c r="G25" s="8"/>
      <c r="H25" s="8"/>
    </row>
    <row r="26" spans="1:8" x14ac:dyDescent="0.25">
      <c r="A26" s="8"/>
      <c r="B26" s="9"/>
      <c r="C26" s="8"/>
      <c r="D26" s="8"/>
      <c r="E26" s="8"/>
      <c r="F26" s="8"/>
      <c r="G26" s="8"/>
      <c r="H26" s="8"/>
    </row>
    <row r="27" spans="1:8" x14ac:dyDescent="0.25">
      <c r="A27" s="8"/>
      <c r="B27" s="9"/>
      <c r="C27" s="8"/>
      <c r="D27" s="8"/>
      <c r="E27" s="8"/>
      <c r="F27" s="8"/>
      <c r="G27" s="8"/>
      <c r="H27" s="8"/>
    </row>
    <row r="28" spans="1:8" x14ac:dyDescent="0.25">
      <c r="A28" s="8"/>
      <c r="B28" s="9"/>
      <c r="C28" s="8"/>
      <c r="D28" s="8"/>
      <c r="E28" s="8"/>
      <c r="F28" s="8"/>
      <c r="G28" s="8"/>
      <c r="H28" s="8"/>
    </row>
    <row r="29" spans="1:8" x14ac:dyDescent="0.25">
      <c r="A29" s="8"/>
      <c r="B29" s="9"/>
      <c r="C29" s="8"/>
      <c r="D29" s="8"/>
      <c r="E29" s="8"/>
      <c r="F29" s="8"/>
      <c r="G29" s="8"/>
      <c r="H29" s="8"/>
    </row>
    <row r="30" spans="1:8" x14ac:dyDescent="0.25">
      <c r="A30" s="8"/>
      <c r="B30" s="9"/>
      <c r="C30" s="8"/>
      <c r="D30" s="8"/>
      <c r="E30" s="8"/>
      <c r="F30" s="8"/>
      <c r="G30" s="8"/>
      <c r="H30" s="8"/>
    </row>
    <row r="31" spans="1:8" x14ac:dyDescent="0.25">
      <c r="A31" s="8"/>
      <c r="B31" s="9"/>
      <c r="C31" s="8"/>
      <c r="D31" s="8"/>
      <c r="E31" s="8"/>
      <c r="F31" s="8"/>
      <c r="G31" s="8"/>
      <c r="H31" s="8"/>
    </row>
    <row r="32" spans="1:8" x14ac:dyDescent="0.25">
      <c r="A32" s="8"/>
      <c r="B32" s="9"/>
      <c r="C32" s="8"/>
      <c r="D32" s="8"/>
      <c r="E32" s="8"/>
      <c r="F32" s="8"/>
      <c r="G32" s="8"/>
      <c r="H32" s="8"/>
    </row>
    <row r="33" spans="1:8" x14ac:dyDescent="0.25">
      <c r="A33" s="8"/>
      <c r="B33" s="9"/>
      <c r="C33" s="8"/>
      <c r="D33" s="8"/>
      <c r="E33" s="8"/>
      <c r="F33" s="8"/>
      <c r="G33" s="8"/>
      <c r="H33" s="8"/>
    </row>
    <row r="34" spans="1:8" x14ac:dyDescent="0.25">
      <c r="A34" s="8"/>
      <c r="B34" s="9"/>
      <c r="C34" s="8"/>
      <c r="D34" s="8"/>
      <c r="E34" s="8"/>
      <c r="F34" s="8"/>
      <c r="G34" s="8"/>
      <c r="H34" s="8"/>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A60" s="6"/>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A67" s="6"/>
      <c r="B67" s="9"/>
      <c r="C67" s="8"/>
      <c r="D67" s="8"/>
      <c r="E67" s="8"/>
      <c r="F67" s="8"/>
      <c r="G67" s="8"/>
      <c r="H67" s="8"/>
    </row>
    <row r="68" spans="1:8" x14ac:dyDescent="0.25">
      <c r="A68" s="8"/>
      <c r="B68" s="9"/>
      <c r="C68" s="6"/>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A73" s="6"/>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A81" s="6"/>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P3:U3"/>
  </mergeCells>
  <dataValidations count="5">
    <dataValidation type="list" allowBlank="1" showInputMessage="1" showErrorMessage="1" sqref="L1:L8 L13:L14 L18:L19 L31:L1048576" xr:uid="{68C63AC1-E1A0-465D-8AA6-A7D34FD829F6}">
      <formula1>BolsosM41</formula1>
    </dataValidation>
    <dataValidation type="list" allowBlank="1" showInputMessage="1" showErrorMessage="1" sqref="H1:H1048576" xr:uid="{09880160-2ACD-45AA-BB6A-FDBBF61AC463}">
      <formula1>INDEX(CompartimientosM39,0,MATCH(OFFSET(INDIRECT(ADDRESS(ROW(), COLUMN())),0,-1),CajonerasM39,0))</formula1>
    </dataValidation>
    <dataValidation type="list" allowBlank="1" showInputMessage="1" showErrorMessage="1" sqref="G1:G1048576" xr:uid="{0B4625BB-E65F-4B8D-888C-EEE1C1B457F2}">
      <formula1>CajonerasM39</formula1>
    </dataValidation>
    <dataValidation type="list" allowBlank="1" showInputMessage="1" showErrorMessage="1" sqref="A1:A1048576" xr:uid="{80729C1D-E205-468A-92C4-9CF2AA2AE09D}">
      <formula1>categorias</formula1>
    </dataValidation>
    <dataValidation type="list" allowBlank="1" showInputMessage="1" showErrorMessage="1" sqref="C1 C7" xr:uid="{7613A193-4422-4869-A221-12FF7835BA87}">
      <formula1>Medidas</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28">
        <x14:dataValidation type="list" allowBlank="1" showInputMessage="1" showErrorMessage="1" xr:uid="{56358B42-6997-4039-AB40-103A0DD7D746}">
          <x14:formula1>
            <xm:f>Configuracion!$G$2:$G$3</xm:f>
          </x14:formula1>
          <xm:sqref>C27 C31 C127:C128</xm:sqref>
        </x14:dataValidation>
        <x14:dataValidation type="list" allowBlank="1" showInputMessage="1" showErrorMessage="1" xr:uid="{923A0D31-4137-4ED9-8932-98900F97E36C}">
          <x14:formula1>
            <xm:f>Configuracion!$F$2:$F$5</xm:f>
          </x14:formula1>
          <xm:sqref>C28:C29</xm:sqref>
        </x14:dataValidation>
        <x14:dataValidation type="list" allowBlank="1" showInputMessage="1" showErrorMessage="1" xr:uid="{DEA81DCA-649C-42D7-BC28-947F26212BA5}">
          <x14:formula1>
            <xm:f>Configuracion!$F$2:$F$3</xm:f>
          </x14:formula1>
          <xm:sqref>C17</xm:sqref>
        </x14:dataValidation>
        <x14:dataValidation type="list" allowBlank="1" showInputMessage="1" showErrorMessage="1" xr:uid="{0683151C-C4AE-4443-9F2E-616B241C75F9}">
          <x14:formula1>
            <xm:f>Configuracion!$M$2:$M$6</xm:f>
          </x14:formula1>
          <xm:sqref>C18</xm:sqref>
        </x14:dataValidation>
        <x14:dataValidation type="list" allowBlank="1" showInputMessage="1" showErrorMessage="1" xr:uid="{824F4815-8F8F-4C0E-AA41-7937A7749451}">
          <x14:formula1>
            <xm:f>Configuracion!$F$2:$F$6</xm:f>
          </x14:formula1>
          <xm:sqref>C30</xm:sqref>
        </x14:dataValidation>
        <x14:dataValidation type="list" allowBlank="1" showInputMessage="1" showErrorMessage="1" xr:uid="{3C234E98-BF87-4E57-A4D7-A5BEEB9EEE5A}">
          <x14:formula1>
            <xm:f>Configuracion!$F$2:$F$7</xm:f>
          </x14:formula1>
          <xm:sqref>C32</xm:sqref>
        </x14:dataValidation>
        <x14:dataValidation type="list" allowBlank="1" showInputMessage="1" showErrorMessage="1" xr:uid="{7EA7F856-15B1-4C9C-BB23-5CE264AF00E7}">
          <x14:formula1>
            <xm:f>Configuracion!$O$2:$O$7</xm:f>
          </x14:formula1>
          <xm:sqref>C38 C41</xm:sqref>
        </x14:dataValidation>
        <x14:dataValidation type="list" allowBlank="1" showInputMessage="1" showErrorMessage="1" xr:uid="{8567C98F-0711-4501-8506-13EAC15D808C}">
          <x14:formula1>
            <xm:f>Configuracion!$F$2:$F$8</xm:f>
          </x14:formula1>
          <xm:sqref>C61:C62</xm:sqref>
        </x14:dataValidation>
        <x14:dataValidation type="list" allowBlank="1" showInputMessage="1" showErrorMessage="1" xr:uid="{D91E98EE-3878-4118-9704-47595F4700B7}">
          <x14:formula1>
            <xm:f>Configuracion!$F$2:$F$9</xm:f>
          </x14:formula1>
          <xm:sqref>C63</xm:sqref>
        </x14:dataValidation>
        <x14:dataValidation type="list" allowBlank="1" showInputMessage="1" showErrorMessage="1" xr:uid="{E139486A-AC6F-45EA-8466-CBFDC52F00F5}">
          <x14:formula1>
            <xm:f>Configuracion!$F$2:$F$10</xm:f>
          </x14:formula1>
          <xm:sqref>C64:C65 C125:C126</xm:sqref>
        </x14:dataValidation>
        <x14:dataValidation type="list" allowBlank="1" showInputMessage="1" showErrorMessage="1" xr:uid="{77856245-B7B4-4BD4-B144-1D25049A569A}">
          <x14:formula1>
            <xm:f>Configuracion!$Q$2:$Q$7</xm:f>
          </x14:formula1>
          <xm:sqref>C66:C67 C53 C70</xm:sqref>
        </x14:dataValidation>
        <x14:dataValidation type="list" allowBlank="1" showInputMessage="1" showErrorMessage="1" xr:uid="{8BF18621-F7D5-417B-BCC9-17F265681065}">
          <x14:formula1>
            <xm:f>Configuracion!$H$2:$H$6</xm:f>
          </x14:formula1>
          <xm:sqref>C21</xm:sqref>
        </x14:dataValidation>
        <x14:dataValidation type="list" allowBlank="1" showInputMessage="1" showErrorMessage="1" xr:uid="{EC0F64EE-C6C5-45B0-BF77-C56CCE93CD35}">
          <x14:formula1>
            <xm:f>Configuracion!$J$2:$J$3</xm:f>
          </x14:formula1>
          <xm:sqref>C23 C14 C16</xm:sqref>
        </x14:dataValidation>
        <x14:dataValidation type="list" allowBlank="1" showInputMessage="1" showErrorMessage="1" xr:uid="{19E9953B-6838-467F-856A-B1841DE82247}">
          <x14:formula1>
            <xm:f>Configuracion!$J$2:$J$5</xm:f>
          </x14:formula1>
          <xm:sqref>C25 C19:C20</xm:sqref>
        </x14:dataValidation>
        <x14:dataValidation type="list" allowBlank="1" showInputMessage="1" showErrorMessage="1" xr:uid="{3ECE4F60-782A-4E5A-9499-58A4BD037540}">
          <x14:formula1>
            <xm:f>Configuracion!$S$2:$S$10</xm:f>
          </x14:formula1>
          <xm:sqref>C96 C100:C101 C105</xm:sqref>
        </x14:dataValidation>
        <x14:dataValidation type="list" allowBlank="1" showInputMessage="1" showErrorMessage="1" xr:uid="{FE7DA706-32CA-4FF3-B780-9FE34A2F1C16}">
          <x14:formula1>
            <xm:f>Configuracion!$N$2:$N$9</xm:f>
          </x14:formula1>
          <xm:sqref>C120 C122</xm:sqref>
        </x14:dataValidation>
        <x14:dataValidation type="list" allowBlank="1" showInputMessage="1" showErrorMessage="1" xr:uid="{5A4A6FF7-68EF-4B13-84F1-19032B9773BC}">
          <x14:formula1>
            <xm:f>Configuracion!$I$2:$I$7</xm:f>
          </x14:formula1>
          <xm:sqref>C136 C6</xm:sqref>
        </x14:dataValidation>
        <x14:dataValidation type="list" allowBlank="1" showInputMessage="1" showErrorMessage="1" xr:uid="{8B28A5D5-EE29-4AC4-83F1-80C4038AEA57}">
          <x14:formula1>
            <xm:f>Configuracion!$G$2:$G$4</xm:f>
          </x14:formula1>
          <xm:sqref>C2</xm:sqref>
        </x14:dataValidation>
        <x14:dataValidation type="list" allowBlank="1" showInputMessage="1" showErrorMessage="1" xr:uid="{EA7B239B-636B-4AF9-BF51-FD5F2E9B18F3}">
          <x14:formula1>
            <xm:f>Configuracion!$H$2:$H$3</xm:f>
          </x14:formula1>
          <xm:sqref>C5</xm:sqref>
        </x14:dataValidation>
        <x14:dataValidation type="list" allowBlank="1" showInputMessage="1" showErrorMessage="1" xr:uid="{A5C16A9E-4A7F-4285-AE0B-5FF4A67E86AE}">
          <x14:formula1>
            <xm:f>Configuracion!$G$2:$G$5</xm:f>
          </x14:formula1>
          <xm:sqref>C12 C26</xm:sqref>
        </x14:dataValidation>
        <x14:dataValidation type="list" allowBlank="1" showInputMessage="1" showErrorMessage="1" xr:uid="{D8FF04ED-4FF0-4E0A-ACAF-B15B95CCB2CB}">
          <x14:formula1>
            <xm:f>Configuracion!$G$2:$G$6</xm:f>
          </x14:formula1>
          <xm:sqref>C8 C10</xm:sqref>
        </x14:dataValidation>
        <x14:dataValidation type="list" allowBlank="1" showInputMessage="1" showErrorMessage="1" xr:uid="{27EEF777-C79B-4183-A93C-4641D1A50756}">
          <x14:formula1>
            <xm:f>Configuracion!$F$2:$F$11</xm:f>
          </x14:formula1>
          <xm:sqref>C9</xm:sqref>
        </x14:dataValidation>
        <x14:dataValidation type="list" allowBlank="1" showInputMessage="1" showErrorMessage="1" xr:uid="{A20AEB71-D6D2-4208-B875-6A2D39D1D1EC}">
          <x14:formula1>
            <xm:f>Configuracion!$S$2:$S$11</xm:f>
          </x14:formula1>
          <xm:sqref>C11</xm:sqref>
        </x14:dataValidation>
        <x14:dataValidation type="list" allowBlank="1" showInputMessage="1" showErrorMessage="1" xr:uid="{DA9B2500-B527-4566-BC62-440C681C9307}">
          <x14:formula1>
            <xm:f>Configuracion!$K$2:$K$3</xm:f>
          </x14:formula1>
          <xm:sqref>C22</xm:sqref>
        </x14:dataValidation>
        <x14:dataValidation type="list" allowBlank="1" showInputMessage="1" showErrorMessage="1" xr:uid="{B6D8156D-1DDD-495E-AE89-03E3A639A565}">
          <x14:formula1>
            <xm:f>Configuracion!$K$2:$K$4</xm:f>
          </x14:formula1>
          <xm:sqref>C24</xm:sqref>
        </x14:dataValidation>
        <x14:dataValidation type="list" allowBlank="1" showInputMessage="1" showErrorMessage="1" xr:uid="{194F3B7F-881E-406F-BF96-66F73CD9B54D}">
          <x14:formula1>
            <xm:f>Configuracion!$K$2:$K$6</xm:f>
          </x14:formula1>
          <xm:sqref>C13</xm:sqref>
        </x14:dataValidation>
        <x14:dataValidation type="list" allowBlank="1" showInputMessage="1" showErrorMessage="1" xr:uid="{A3AE2984-F5AB-4656-A0EC-C2BF46322E52}">
          <x14:formula1>
            <xm:f>Configuracion!$K$2:$K$7</xm:f>
          </x14:formula1>
          <xm:sqref>C15</xm:sqref>
        </x14:dataValidation>
        <x14:dataValidation type="list" allowBlank="1" showInputMessage="1" showErrorMessage="1" xr:uid="{2ED28885-B110-4564-9064-21C87A3F7BBD}">
          <x14:formula1>
            <xm:f>Configuracion!$P$2:$P$4</xm:f>
          </x14:formula1>
          <xm:sqref>C52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357D8D-446C-43E9-A937-33CD713B885A}">
  <sheetPr codeName="Sheet6"/>
  <dimension ref="A1:X21"/>
  <sheetViews>
    <sheetView workbookViewId="0">
      <selection activeCell="G4" sqref="G4"/>
    </sheetView>
  </sheetViews>
  <sheetFormatPr defaultRowHeight="15" x14ac:dyDescent="0.25"/>
  <cols>
    <col min="1" max="1" width="22.42578125" customWidth="1"/>
    <col min="2" max="2" width="30.5703125" customWidth="1"/>
    <col min="3" max="3" width="13.85546875" bestFit="1" customWidth="1"/>
    <col min="4" max="4" width="8.5703125" bestFit="1" customWidth="1"/>
    <col min="5" max="5" width="13.140625" bestFit="1" customWidth="1"/>
    <col min="7" max="7" width="11.140625" bestFit="1" customWidth="1"/>
    <col min="8" max="8" width="18" bestFit="1" customWidth="1"/>
  </cols>
  <sheetData>
    <row r="1" spans="1:24" x14ac:dyDescent="0.25">
      <c r="A1" s="6" t="s">
        <v>0</v>
      </c>
      <c r="B1" s="7" t="s">
        <v>1</v>
      </c>
      <c r="C1" s="6" t="s">
        <v>2</v>
      </c>
      <c r="D1" s="6" t="s">
        <v>3</v>
      </c>
      <c r="E1" s="6" t="s">
        <v>4</v>
      </c>
      <c r="F1" s="6" t="s">
        <v>240</v>
      </c>
      <c r="G1" s="6" t="s">
        <v>13</v>
      </c>
      <c r="H1" s="6" t="s">
        <v>232</v>
      </c>
    </row>
    <row r="2" spans="1:24" ht="45" x14ac:dyDescent="0.25">
      <c r="A2" t="s">
        <v>258</v>
      </c>
      <c r="B2" s="9" t="s">
        <v>311</v>
      </c>
      <c r="D2" s="8"/>
      <c r="E2" s="8"/>
      <c r="F2" s="8">
        <v>4</v>
      </c>
      <c r="G2" s="8" t="s">
        <v>8</v>
      </c>
      <c r="H2" s="8">
        <v>1</v>
      </c>
    </row>
    <row r="3" spans="1:24" x14ac:dyDescent="0.25">
      <c r="A3" s="8" t="s">
        <v>11</v>
      </c>
      <c r="B3" s="9" t="s">
        <v>312</v>
      </c>
      <c r="C3" t="s">
        <v>79</v>
      </c>
      <c r="D3" s="8"/>
      <c r="E3" s="8"/>
      <c r="F3" s="8">
        <v>1</v>
      </c>
      <c r="G3" s="8" t="s">
        <v>5</v>
      </c>
      <c r="H3" s="8">
        <v>1</v>
      </c>
      <c r="J3" t="s">
        <v>16</v>
      </c>
      <c r="K3" t="s">
        <v>18</v>
      </c>
      <c r="L3" t="s">
        <v>14</v>
      </c>
      <c r="N3" t="s">
        <v>28</v>
      </c>
      <c r="P3" s="13" t="s">
        <v>230</v>
      </c>
      <c r="Q3" s="13"/>
      <c r="R3" s="13"/>
      <c r="S3" s="13"/>
      <c r="T3" s="13"/>
      <c r="U3" s="13"/>
    </row>
    <row r="4" spans="1:24" x14ac:dyDescent="0.25">
      <c r="A4" s="8" t="s">
        <v>313</v>
      </c>
      <c r="B4" s="9" t="s">
        <v>316</v>
      </c>
      <c r="C4" s="8"/>
      <c r="D4" s="8" t="s">
        <v>317</v>
      </c>
      <c r="E4" s="8"/>
      <c r="F4" s="8">
        <v>1</v>
      </c>
      <c r="G4" s="8" t="s">
        <v>6</v>
      </c>
      <c r="H4" s="8">
        <v>1</v>
      </c>
      <c r="P4" t="s">
        <v>8</v>
      </c>
      <c r="Q4" t="s">
        <v>5</v>
      </c>
      <c r="R4" t="s">
        <v>6</v>
      </c>
      <c r="S4" t="s">
        <v>9</v>
      </c>
      <c r="T4" t="s">
        <v>10</v>
      </c>
      <c r="U4" t="s">
        <v>257</v>
      </c>
      <c r="V4" t="s">
        <v>309</v>
      </c>
      <c r="W4" t="s">
        <v>310</v>
      </c>
      <c r="X4" t="s">
        <v>7</v>
      </c>
    </row>
    <row r="5" spans="1:24" ht="30" x14ac:dyDescent="0.25">
      <c r="A5" s="8" t="s">
        <v>313</v>
      </c>
      <c r="B5" s="9" t="s">
        <v>314</v>
      </c>
      <c r="C5" s="8"/>
      <c r="D5" s="8" t="s">
        <v>315</v>
      </c>
      <c r="E5" s="8"/>
      <c r="F5" s="8">
        <v>1</v>
      </c>
      <c r="G5" s="8" t="s">
        <v>6</v>
      </c>
      <c r="H5" s="8">
        <v>1</v>
      </c>
      <c r="P5">
        <v>1</v>
      </c>
      <c r="Q5">
        <v>1</v>
      </c>
      <c r="R5">
        <v>1</v>
      </c>
      <c r="S5">
        <v>1</v>
      </c>
      <c r="T5">
        <v>1</v>
      </c>
      <c r="U5">
        <v>1</v>
      </c>
      <c r="V5">
        <v>1</v>
      </c>
      <c r="W5">
        <v>1</v>
      </c>
      <c r="X5">
        <v>1</v>
      </c>
    </row>
    <row r="6" spans="1:24" x14ac:dyDescent="0.25">
      <c r="A6" s="8" t="s">
        <v>313</v>
      </c>
      <c r="B6" s="9" t="s">
        <v>318</v>
      </c>
      <c r="C6" s="8"/>
      <c r="D6" s="8" t="s">
        <v>319</v>
      </c>
      <c r="E6" s="11"/>
      <c r="F6" s="8">
        <v>1</v>
      </c>
      <c r="G6" s="8" t="s">
        <v>6</v>
      </c>
      <c r="H6" s="8">
        <v>1</v>
      </c>
    </row>
    <row r="7" spans="1:24" x14ac:dyDescent="0.25">
      <c r="A7" s="8" t="s">
        <v>320</v>
      </c>
      <c r="B7" s="9" t="s">
        <v>321</v>
      </c>
      <c r="C7" s="8"/>
      <c r="D7" s="8"/>
      <c r="E7" s="8"/>
      <c r="F7" s="8">
        <v>1</v>
      </c>
      <c r="G7" s="8" t="s">
        <v>6</v>
      </c>
      <c r="H7" s="8">
        <v>1</v>
      </c>
    </row>
    <row r="8" spans="1:24" x14ac:dyDescent="0.25">
      <c r="A8" s="8" t="s">
        <v>53</v>
      </c>
      <c r="B8" s="9" t="s">
        <v>238</v>
      </c>
      <c r="C8" s="8"/>
      <c r="D8" s="8"/>
      <c r="E8" s="8"/>
      <c r="F8" s="8">
        <v>4</v>
      </c>
      <c r="G8" s="8" t="s">
        <v>9</v>
      </c>
      <c r="H8" s="8">
        <v>1</v>
      </c>
    </row>
    <row r="9" spans="1:24" x14ac:dyDescent="0.25">
      <c r="A9" s="8" t="s">
        <v>11</v>
      </c>
      <c r="B9" s="9" t="s">
        <v>322</v>
      </c>
      <c r="C9" s="8" t="s">
        <v>123</v>
      </c>
      <c r="D9" s="8"/>
      <c r="E9" s="8"/>
      <c r="F9" s="8">
        <v>4</v>
      </c>
      <c r="G9" s="8" t="s">
        <v>9</v>
      </c>
      <c r="H9" s="8">
        <v>1</v>
      </c>
    </row>
    <row r="10" spans="1:24" x14ac:dyDescent="0.25">
      <c r="A10" s="8" t="s">
        <v>11</v>
      </c>
      <c r="B10" s="9" t="s">
        <v>322</v>
      </c>
      <c r="C10" s="8" t="s">
        <v>79</v>
      </c>
      <c r="D10" s="8"/>
      <c r="E10" s="8"/>
      <c r="F10" s="8">
        <v>1</v>
      </c>
      <c r="G10" s="8" t="s">
        <v>9</v>
      </c>
      <c r="H10" s="8">
        <v>1</v>
      </c>
    </row>
    <row r="11" spans="1:24" x14ac:dyDescent="0.25">
      <c r="A11" s="8" t="s">
        <v>46</v>
      </c>
      <c r="B11" s="9"/>
      <c r="C11" s="8"/>
      <c r="D11" s="8"/>
      <c r="E11" s="8"/>
      <c r="F11" s="8">
        <v>3</v>
      </c>
      <c r="G11" s="8" t="s">
        <v>10</v>
      </c>
      <c r="H11" s="8">
        <v>1</v>
      </c>
    </row>
    <row r="12" spans="1:24" x14ac:dyDescent="0.25">
      <c r="A12" s="8" t="s">
        <v>188</v>
      </c>
      <c r="B12" s="9" t="s">
        <v>323</v>
      </c>
      <c r="C12" s="8"/>
      <c r="D12" s="8"/>
      <c r="E12" s="8"/>
      <c r="F12" s="8">
        <v>2</v>
      </c>
      <c r="G12" s="8" t="s">
        <v>10</v>
      </c>
      <c r="H12" s="8">
        <v>1</v>
      </c>
    </row>
    <row r="13" spans="1:24" ht="30" x14ac:dyDescent="0.25">
      <c r="A13" s="8" t="s">
        <v>32</v>
      </c>
      <c r="B13" s="9" t="s">
        <v>324</v>
      </c>
      <c r="C13" s="8" t="s">
        <v>72</v>
      </c>
      <c r="D13" s="8"/>
      <c r="E13" s="8"/>
      <c r="F13" s="8">
        <v>1</v>
      </c>
      <c r="G13" s="8" t="s">
        <v>257</v>
      </c>
      <c r="H13" s="8">
        <v>1</v>
      </c>
    </row>
    <row r="14" spans="1:24" x14ac:dyDescent="0.25">
      <c r="A14" s="8" t="s">
        <v>11</v>
      </c>
      <c r="B14" s="9" t="s">
        <v>322</v>
      </c>
      <c r="C14" t="s">
        <v>77</v>
      </c>
      <c r="D14" s="8"/>
      <c r="E14" s="8"/>
      <c r="F14" s="8">
        <v>1</v>
      </c>
      <c r="G14" s="8" t="s">
        <v>257</v>
      </c>
      <c r="H14" s="8">
        <v>1</v>
      </c>
    </row>
    <row r="15" spans="1:24" x14ac:dyDescent="0.25">
      <c r="A15" s="8" t="s">
        <v>174</v>
      </c>
      <c r="B15" s="9"/>
      <c r="C15" s="8" t="s">
        <v>236</v>
      </c>
      <c r="D15" s="8"/>
      <c r="E15" s="8"/>
      <c r="F15" s="8">
        <v>1</v>
      </c>
      <c r="G15" s="8" t="s">
        <v>309</v>
      </c>
      <c r="H15" s="8">
        <v>1</v>
      </c>
    </row>
    <row r="16" spans="1:24" x14ac:dyDescent="0.25">
      <c r="A16" s="8" t="s">
        <v>88</v>
      </c>
      <c r="B16" s="9" t="s">
        <v>325</v>
      </c>
      <c r="C16" s="8"/>
      <c r="D16" s="8"/>
      <c r="E16" s="8"/>
      <c r="F16" s="8">
        <v>1</v>
      </c>
      <c r="G16" s="8" t="s">
        <v>309</v>
      </c>
      <c r="H16" s="8">
        <v>1</v>
      </c>
    </row>
    <row r="17" spans="1:8" ht="30" x14ac:dyDescent="0.25">
      <c r="A17" s="8" t="s">
        <v>326</v>
      </c>
      <c r="B17" s="9" t="s">
        <v>327</v>
      </c>
      <c r="C17" s="8"/>
      <c r="D17" s="8" t="s">
        <v>328</v>
      </c>
      <c r="E17" s="8"/>
      <c r="F17" s="8">
        <v>1</v>
      </c>
      <c r="G17" s="8" t="s">
        <v>309</v>
      </c>
      <c r="H17" s="8">
        <v>1</v>
      </c>
    </row>
    <row r="18" spans="1:8" x14ac:dyDescent="0.25">
      <c r="A18" s="8" t="s">
        <v>313</v>
      </c>
      <c r="B18" s="9" t="s">
        <v>318</v>
      </c>
      <c r="C18" s="8"/>
      <c r="D18" s="8" t="s">
        <v>329</v>
      </c>
      <c r="E18" s="8"/>
      <c r="F18" s="8">
        <v>1</v>
      </c>
      <c r="G18" s="8" t="s">
        <v>309</v>
      </c>
      <c r="H18" s="8">
        <v>1</v>
      </c>
    </row>
    <row r="19" spans="1:8" x14ac:dyDescent="0.25">
      <c r="A19" s="8" t="s">
        <v>160</v>
      </c>
      <c r="B19" s="9" t="s">
        <v>330</v>
      </c>
      <c r="C19" s="8"/>
      <c r="D19" s="8"/>
      <c r="E19" s="8"/>
      <c r="F19" s="8">
        <v>2</v>
      </c>
      <c r="G19" s="8" t="s">
        <v>310</v>
      </c>
      <c r="H19" s="8">
        <v>1</v>
      </c>
    </row>
    <row r="20" spans="1:8" x14ac:dyDescent="0.25">
      <c r="A20" s="8" t="s">
        <v>53</v>
      </c>
      <c r="B20" s="9" t="s">
        <v>238</v>
      </c>
      <c r="C20" s="8"/>
      <c r="D20" s="8"/>
      <c r="E20" s="8"/>
      <c r="F20" s="8">
        <v>5</v>
      </c>
      <c r="G20" s="8" t="s">
        <v>310</v>
      </c>
      <c r="H20" s="8">
        <v>1</v>
      </c>
    </row>
    <row r="21" spans="1:8" ht="30" x14ac:dyDescent="0.25">
      <c r="A21" s="8" t="s">
        <v>217</v>
      </c>
      <c r="B21" s="9" t="s">
        <v>331</v>
      </c>
      <c r="C21" s="8"/>
      <c r="D21" s="8"/>
      <c r="E21" s="8"/>
      <c r="F21" s="8">
        <v>4</v>
      </c>
      <c r="G21" s="8" t="s">
        <v>7</v>
      </c>
      <c r="H21" s="8">
        <v>1</v>
      </c>
    </row>
  </sheetData>
  <mergeCells count="1">
    <mergeCell ref="P3:U3"/>
  </mergeCells>
  <dataValidations count="5">
    <dataValidation type="list" allowBlank="1" showInputMessage="1" showErrorMessage="1" sqref="C1 C7" xr:uid="{3C802A8D-DE2F-43CA-8DF4-CD2FF194322C}">
      <formula1>Medidas</formula1>
    </dataValidation>
    <dataValidation type="list" allowBlank="1" showInputMessage="1" showErrorMessage="1" sqref="A1:A1048576" xr:uid="{5F197B22-094E-47F8-9C5C-8948A65FBB14}">
      <formula1>categorias</formula1>
    </dataValidation>
    <dataValidation type="list" allowBlank="1" showInputMessage="1" showErrorMessage="1" sqref="L1:L8 L13:L14" xr:uid="{42C64874-855B-480B-8A7B-2316FD54534D}">
      <formula1>BolsosM52</formula1>
    </dataValidation>
    <dataValidation type="list" allowBlank="1" showInputMessage="1" showErrorMessage="1" sqref="G1:G1048576" xr:uid="{F3C6345E-F318-4B35-A120-84D2B7230A8A}">
      <formula1>CajonerasM52</formula1>
    </dataValidation>
    <dataValidation type="list" allowBlank="1" showInputMessage="1" showErrorMessage="1" sqref="H1:H1048576" xr:uid="{A283BD8D-EECE-4081-ACFA-3FAA898DD540}">
      <formula1>INDEX(CompartimientosM52,0,MATCH(OFFSET(INDIRECT(ADDRESS(ROW(), COLUMN())),0,-1),CajonerasM52,0))</formula1>
    </dataValidation>
  </dataValidations>
  <pageMargins left="0.7" right="0.7" top="0.75" bottom="0.75" header="0.3" footer="0.3"/>
  <tableParts count="4">
    <tablePart r:id="rId1"/>
    <tablePart r:id="rId2"/>
    <tablePart r:id="rId3"/>
    <tablePart r:id="rId4"/>
  </tableParts>
  <extLst>
    <ext xmlns:x14="http://schemas.microsoft.com/office/spreadsheetml/2009/9/main" uri="{CCE6A557-97BC-4b89-ADB6-D9C93CAAB3DF}">
      <x14:dataValidations xmlns:xm="http://schemas.microsoft.com/office/excel/2006/main" count="8">
        <x14:dataValidation type="list" allowBlank="1" showInputMessage="1" showErrorMessage="1" xr:uid="{654917F6-8232-4BD7-9A27-23C858C415F5}">
          <x14:formula1>
            <xm:f>Configuracion!$S$2:$S$11</xm:f>
          </x14:formula1>
          <xm:sqref>C4 C11:C12</xm:sqref>
        </x14:dataValidation>
        <x14:dataValidation type="list" allowBlank="1" showInputMessage="1" showErrorMessage="1" xr:uid="{E54D2135-1140-4C8A-B256-438B7FA64CBD}">
          <x14:formula1>
            <xm:f>Configuracion!$F$2:$F$11</xm:f>
          </x14:formula1>
          <xm:sqref>C3 C9:C10</xm:sqref>
        </x14:dataValidation>
        <x14:dataValidation type="list" allowBlank="1" showInputMessage="1" showErrorMessage="1" xr:uid="{24D9DCDC-43D6-4958-9444-C586D1FCB3EB}">
          <x14:formula1>
            <xm:f>Configuracion!$G$2:$G$6</xm:f>
          </x14:formula1>
          <xm:sqref>C8 C13</xm:sqref>
        </x14:dataValidation>
        <x14:dataValidation type="list" allowBlank="1" showInputMessage="1" showErrorMessage="1" xr:uid="{4B6BB9E0-626D-4A5A-BDDC-91C5C50E6B53}">
          <x14:formula1>
            <xm:f>Configuracion!$H$2:$H$3</xm:f>
          </x14:formula1>
          <xm:sqref>C5</xm:sqref>
        </x14:dataValidation>
        <x14:dataValidation type="list" allowBlank="1" showInputMessage="1" showErrorMessage="1" xr:uid="{5C4C6FCE-47B9-4C89-8F6A-01A00FFB447E}">
          <x14:formula1>
            <xm:f>Configuracion!$G$2:$G$4</xm:f>
          </x14:formula1>
          <xm:sqref>C2</xm:sqref>
        </x14:dataValidation>
        <x14:dataValidation type="list" allowBlank="1" showInputMessage="1" showErrorMessage="1" xr:uid="{8959D12C-4957-4B88-A461-C3302D42CA0B}">
          <x14:formula1>
            <xm:f>Configuracion!$I$2:$I$7</xm:f>
          </x14:formula1>
          <xm:sqref>C6</xm:sqref>
        </x14:dataValidation>
        <x14:dataValidation type="list" allowBlank="1" showInputMessage="1" showErrorMessage="1" xr:uid="{88BFC9B6-278A-4005-BD2F-6848A245B852}">
          <x14:formula1>
            <xm:f>Configuracion!$J$2:$J$3</xm:f>
          </x14:formula1>
          <xm:sqref>C16</xm:sqref>
        </x14:dataValidation>
        <x14:dataValidation type="list" allowBlank="1" showInputMessage="1" showErrorMessage="1" xr:uid="{D858E76B-4C21-4FF3-B7EA-89E3A71D38BD}">
          <x14:formula1>
            <xm:f>Configuracion!$R$2:$R$11</xm:f>
          </x14:formula1>
          <xm:sqref>C15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71290-6352-4439-9184-BD28304A0296}">
  <sheetPr codeName="Sheet7">
    <pageSetUpPr fitToPage="1"/>
  </sheetPr>
  <dimension ref="A1:W136"/>
  <sheetViews>
    <sheetView topLeftCell="G1" workbookViewId="0">
      <pane ySplit="1" topLeftCell="A2" activePane="bottomLeft" state="frozen"/>
      <selection pane="bottomLeft" activeCell="B31" sqref="B31"/>
    </sheetView>
  </sheetViews>
  <sheetFormatPr defaultRowHeight="15" x14ac:dyDescent="0.25"/>
  <cols>
    <col min="1" max="1" width="26.42578125" style="6" bestFit="1" customWidth="1"/>
    <col min="2" max="2" width="39" style="7" customWidth="1"/>
    <col min="3" max="3" width="14.5703125" style="6" customWidth="1"/>
    <col min="4" max="4" width="13.28515625" style="6" customWidth="1"/>
    <col min="5" max="5" width="11.140625" style="6" customWidth="1"/>
    <col min="6" max="6" width="8.5703125" style="6" customWidth="1"/>
    <col min="7" max="7" width="10.85546875" style="6" bestFit="1" customWidth="1"/>
    <col min="8" max="8" width="18" style="6" bestFit="1" customWidth="1"/>
    <col min="9" max="9" width="18" bestFit="1" customWidth="1"/>
    <col min="10" max="10" width="29.85546875" bestFit="1" customWidth="1"/>
    <col min="11" max="11" width="21" bestFit="1" customWidth="1"/>
    <col min="12" max="12" width="21.5703125" bestFit="1" customWidth="1"/>
    <col min="13" max="14" width="21.5703125" customWidth="1"/>
    <col min="15" max="15" width="21.5703125" bestFit="1" customWidth="1"/>
    <col min="16" max="16" width="14.7109375" customWidth="1"/>
    <col min="17" max="17" width="26" customWidth="1"/>
    <col min="19" max="23" width="12.42578125" customWidth="1"/>
    <col min="24" max="24" width="9.85546875" customWidth="1"/>
  </cols>
  <sheetData>
    <row r="1" spans="1:23" x14ac:dyDescent="0.25">
      <c r="A1" s="6" t="s">
        <v>0</v>
      </c>
      <c r="B1" s="7" t="s">
        <v>1</v>
      </c>
      <c r="C1" s="6" t="s">
        <v>2</v>
      </c>
      <c r="D1" s="6" t="s">
        <v>3</v>
      </c>
      <c r="E1" s="6" t="s">
        <v>4</v>
      </c>
      <c r="F1" s="6" t="s">
        <v>240</v>
      </c>
      <c r="G1" s="6" t="s">
        <v>13</v>
      </c>
      <c r="H1" s="6" t="s">
        <v>232</v>
      </c>
    </row>
    <row r="2" spans="1:23" x14ac:dyDescent="0.25">
      <c r="A2" s="6" t="s">
        <v>409</v>
      </c>
      <c r="B2" s="9"/>
      <c r="C2" s="8"/>
      <c r="D2" s="8"/>
      <c r="E2" s="8"/>
      <c r="F2" s="8">
        <v>3</v>
      </c>
      <c r="G2" s="8" t="s">
        <v>235</v>
      </c>
      <c r="H2" s="8" t="s">
        <v>484</v>
      </c>
    </row>
    <row r="3" spans="1:23" x14ac:dyDescent="0.25">
      <c r="A3" s="8" t="s">
        <v>485</v>
      </c>
      <c r="B3" s="9" t="s">
        <v>486</v>
      </c>
      <c r="C3" s="8"/>
      <c r="D3" s="8"/>
      <c r="E3" s="8"/>
      <c r="F3" s="8">
        <v>1</v>
      </c>
      <c r="G3" s="8" t="s">
        <v>235</v>
      </c>
      <c r="H3" s="8" t="s">
        <v>484</v>
      </c>
      <c r="J3" t="s">
        <v>16</v>
      </c>
      <c r="K3" t="s">
        <v>18</v>
      </c>
      <c r="L3" t="s">
        <v>14</v>
      </c>
      <c r="M3" t="s">
        <v>0</v>
      </c>
      <c r="N3" t="s">
        <v>2</v>
      </c>
      <c r="P3" t="s">
        <v>28</v>
      </c>
      <c r="R3" s="13" t="s">
        <v>230</v>
      </c>
      <c r="S3" s="13"/>
      <c r="T3" s="13"/>
      <c r="U3" s="13"/>
      <c r="V3" s="13"/>
      <c r="W3" s="13"/>
    </row>
    <row r="4" spans="1:23" x14ac:dyDescent="0.25">
      <c r="A4" s="8" t="s">
        <v>92</v>
      </c>
      <c r="B4" s="9" t="str">
        <f>bolso("Bolso de RCP",Table621[])</f>
        <v xml:space="preserve">Bolso de RCP Contiene:  BVM x1, </v>
      </c>
      <c r="C4" s="8"/>
      <c r="D4" s="8"/>
      <c r="E4" s="8"/>
      <c r="F4" s="8">
        <v>1</v>
      </c>
      <c r="G4" t="s">
        <v>500</v>
      </c>
      <c r="H4" s="8" t="s">
        <v>484</v>
      </c>
      <c r="J4" t="s">
        <v>491</v>
      </c>
      <c r="K4">
        <v>1</v>
      </c>
      <c r="L4" t="s">
        <v>487</v>
      </c>
      <c r="M4" t="s">
        <v>489</v>
      </c>
      <c r="P4" t="s">
        <v>487</v>
      </c>
      <c r="R4" t="s">
        <v>500</v>
      </c>
      <c r="S4" t="s">
        <v>235</v>
      </c>
      <c r="T4" t="s">
        <v>8</v>
      </c>
      <c r="U4" t="s">
        <v>5</v>
      </c>
    </row>
    <row r="5" spans="1:23" ht="45" x14ac:dyDescent="0.25">
      <c r="A5" s="8" t="s">
        <v>92</v>
      </c>
      <c r="B5" s="9" t="str">
        <f>bolso("Bolso via aerea",Table621[])</f>
        <v xml:space="preserve">Bolso via aerea Contiene:  BVM x1,  Kit de canulas de mayo x5,  Pinza de maguill x1,  Kit de intubacion c/ larngoscopio x1, </v>
      </c>
      <c r="C5" s="8"/>
      <c r="D5" s="8"/>
      <c r="E5" s="8"/>
      <c r="F5" s="8">
        <v>1</v>
      </c>
      <c r="G5" t="s">
        <v>500</v>
      </c>
      <c r="H5" s="8" t="s">
        <v>484</v>
      </c>
      <c r="J5" t="s">
        <v>491</v>
      </c>
      <c r="K5">
        <v>1</v>
      </c>
      <c r="L5" t="s">
        <v>490</v>
      </c>
      <c r="M5" t="s">
        <v>489</v>
      </c>
      <c r="P5" t="s">
        <v>490</v>
      </c>
      <c r="R5">
        <v>1</v>
      </c>
      <c r="S5" t="s">
        <v>484</v>
      </c>
      <c r="T5">
        <v>1</v>
      </c>
      <c r="U5">
        <v>1</v>
      </c>
    </row>
    <row r="6" spans="1:23" ht="30" x14ac:dyDescent="0.25">
      <c r="A6" s="8" t="s">
        <v>92</v>
      </c>
      <c r="B6" s="9" t="str">
        <f>bolso("Bolso trauma liviano",Table621[])</f>
        <v xml:space="preserve">Bolso trauma liviano Contiene:  Mascara oxigeno x1,  Mascara rcp x1, </v>
      </c>
      <c r="C6" s="8"/>
      <c r="D6" s="8"/>
      <c r="E6" s="8"/>
      <c r="F6" s="8">
        <v>1</v>
      </c>
      <c r="G6" t="s">
        <v>500</v>
      </c>
      <c r="H6" s="8" t="s">
        <v>484</v>
      </c>
      <c r="J6" t="s">
        <v>493</v>
      </c>
      <c r="K6">
        <v>5</v>
      </c>
      <c r="L6" t="s">
        <v>490</v>
      </c>
      <c r="M6" t="s">
        <v>492</v>
      </c>
      <c r="P6" t="s">
        <v>497</v>
      </c>
      <c r="R6">
        <v>2</v>
      </c>
    </row>
    <row r="7" spans="1:23" x14ac:dyDescent="0.25">
      <c r="A7" s="8" t="s">
        <v>409</v>
      </c>
      <c r="B7" s="9"/>
      <c r="C7" s="8"/>
      <c r="D7" s="8"/>
      <c r="E7" s="8"/>
      <c r="F7" s="8">
        <v>1</v>
      </c>
      <c r="G7" t="s">
        <v>500</v>
      </c>
      <c r="H7" s="8" t="s">
        <v>484</v>
      </c>
      <c r="J7" t="s">
        <v>494</v>
      </c>
      <c r="K7">
        <v>1</v>
      </c>
      <c r="L7" t="s">
        <v>490</v>
      </c>
      <c r="M7" t="s">
        <v>494</v>
      </c>
      <c r="P7" t="s">
        <v>519</v>
      </c>
      <c r="R7">
        <v>3</v>
      </c>
    </row>
    <row r="8" spans="1:23" x14ac:dyDescent="0.25">
      <c r="A8" s="8" t="s">
        <v>489</v>
      </c>
      <c r="B8" s="9"/>
      <c r="C8" s="8"/>
      <c r="D8" s="8"/>
      <c r="E8" s="8"/>
      <c r="F8" s="8">
        <v>2</v>
      </c>
      <c r="G8" t="s">
        <v>500</v>
      </c>
      <c r="H8" s="8">
        <v>1</v>
      </c>
      <c r="J8" t="s">
        <v>496</v>
      </c>
      <c r="K8">
        <v>1</v>
      </c>
      <c r="L8" t="s">
        <v>490</v>
      </c>
      <c r="M8" t="s">
        <v>495</v>
      </c>
      <c r="P8" t="s">
        <v>521</v>
      </c>
      <c r="R8">
        <v>4</v>
      </c>
    </row>
    <row r="9" spans="1:23" x14ac:dyDescent="0.25">
      <c r="A9" s="8" t="s">
        <v>210</v>
      </c>
      <c r="B9" s="9">
        <v>2008</v>
      </c>
      <c r="C9" s="8"/>
      <c r="D9" s="8"/>
      <c r="E9" s="8"/>
      <c r="F9" s="8">
        <v>1</v>
      </c>
      <c r="G9" t="s">
        <v>500</v>
      </c>
      <c r="H9" s="8">
        <v>1</v>
      </c>
      <c r="J9" t="s">
        <v>498</v>
      </c>
      <c r="K9">
        <v>1</v>
      </c>
      <c r="L9" t="s">
        <v>497</v>
      </c>
      <c r="M9" t="s">
        <v>480</v>
      </c>
      <c r="P9" t="s">
        <v>532</v>
      </c>
      <c r="R9">
        <v>5</v>
      </c>
    </row>
    <row r="10" spans="1:23" x14ac:dyDescent="0.25">
      <c r="A10" s="8" t="s">
        <v>479</v>
      </c>
      <c r="B10" s="9" t="s">
        <v>501</v>
      </c>
      <c r="C10" s="8"/>
      <c r="D10" s="8"/>
      <c r="E10" s="8"/>
      <c r="F10" s="8">
        <v>1</v>
      </c>
      <c r="G10" t="s">
        <v>500</v>
      </c>
      <c r="H10" s="8">
        <v>1</v>
      </c>
      <c r="J10" t="s">
        <v>499</v>
      </c>
      <c r="K10">
        <v>1</v>
      </c>
      <c r="L10" t="s">
        <v>497</v>
      </c>
      <c r="M10" t="s">
        <v>499</v>
      </c>
      <c r="P10" t="s">
        <v>93</v>
      </c>
      <c r="R10">
        <v>6</v>
      </c>
    </row>
    <row r="11" spans="1:23" x14ac:dyDescent="0.25">
      <c r="A11" s="8" t="s">
        <v>480</v>
      </c>
      <c r="B11" s="9" t="s">
        <v>502</v>
      </c>
      <c r="C11" s="8"/>
      <c r="D11" s="8"/>
      <c r="E11" s="8"/>
      <c r="F11" s="8">
        <v>1</v>
      </c>
      <c r="G11" t="s">
        <v>500</v>
      </c>
      <c r="H11" s="8">
        <v>1</v>
      </c>
      <c r="J11" t="s">
        <v>522</v>
      </c>
      <c r="K11">
        <v>1</v>
      </c>
      <c r="L11" t="s">
        <v>521</v>
      </c>
      <c r="M11" t="s">
        <v>492</v>
      </c>
      <c r="R11">
        <v>7</v>
      </c>
    </row>
    <row r="12" spans="1:23" x14ac:dyDescent="0.25">
      <c r="A12" s="8" t="s">
        <v>480</v>
      </c>
      <c r="B12" s="9" t="s">
        <v>503</v>
      </c>
      <c r="C12" s="8"/>
      <c r="D12" s="8"/>
      <c r="E12" s="8"/>
      <c r="F12" s="8">
        <v>1</v>
      </c>
      <c r="G12" s="8" t="s">
        <v>500</v>
      </c>
      <c r="H12" s="8">
        <v>1</v>
      </c>
      <c r="J12" t="s">
        <v>524</v>
      </c>
      <c r="K12">
        <v>3</v>
      </c>
      <c r="L12" t="s">
        <v>521</v>
      </c>
      <c r="M12" t="s">
        <v>404</v>
      </c>
      <c r="R12" t="s">
        <v>484</v>
      </c>
    </row>
    <row r="13" spans="1:23" x14ac:dyDescent="0.25">
      <c r="A13" s="8" t="s">
        <v>504</v>
      </c>
      <c r="B13" s="9"/>
      <c r="C13" s="8"/>
      <c r="D13" s="8"/>
      <c r="E13" s="8"/>
      <c r="F13" s="8">
        <v>5</v>
      </c>
      <c r="G13" s="8" t="s">
        <v>500</v>
      </c>
      <c r="H13" s="8">
        <v>1</v>
      </c>
      <c r="J13" t="s">
        <v>525</v>
      </c>
      <c r="K13">
        <v>2</v>
      </c>
      <c r="L13" t="s">
        <v>521</v>
      </c>
      <c r="M13" t="s">
        <v>488</v>
      </c>
    </row>
    <row r="14" spans="1:23" x14ac:dyDescent="0.25">
      <c r="A14" s="8" t="s">
        <v>505</v>
      </c>
      <c r="B14" s="9"/>
      <c r="C14" s="8"/>
      <c r="D14" s="8"/>
      <c r="E14" s="8"/>
      <c r="F14" s="8">
        <v>1</v>
      </c>
      <c r="G14" s="8" t="s">
        <v>500</v>
      </c>
      <c r="H14" s="8">
        <v>2</v>
      </c>
      <c r="J14" t="s">
        <v>526</v>
      </c>
      <c r="K14">
        <v>5</v>
      </c>
      <c r="L14" t="s">
        <v>521</v>
      </c>
      <c r="M14" t="s">
        <v>523</v>
      </c>
    </row>
    <row r="15" spans="1:23" x14ac:dyDescent="0.25">
      <c r="A15" s="8" t="s">
        <v>506</v>
      </c>
      <c r="B15" s="9"/>
      <c r="C15" s="8"/>
      <c r="D15" s="8"/>
      <c r="E15" s="8"/>
      <c r="F15" s="8">
        <v>1</v>
      </c>
      <c r="G15" s="8" t="s">
        <v>500</v>
      </c>
      <c r="H15" s="8">
        <v>2</v>
      </c>
      <c r="J15" t="s">
        <v>528</v>
      </c>
      <c r="K15">
        <v>1</v>
      </c>
      <c r="L15" t="s">
        <v>521</v>
      </c>
      <c r="M15" t="s">
        <v>527</v>
      </c>
    </row>
    <row r="16" spans="1:23" x14ac:dyDescent="0.25">
      <c r="A16" s="8" t="s">
        <v>507</v>
      </c>
      <c r="B16" s="9"/>
      <c r="C16" s="8"/>
      <c r="D16" s="8"/>
      <c r="E16" s="8"/>
      <c r="F16" s="8">
        <v>1</v>
      </c>
      <c r="G16" s="8" t="s">
        <v>500</v>
      </c>
      <c r="H16" s="8">
        <v>2</v>
      </c>
      <c r="J16" t="s">
        <v>529</v>
      </c>
      <c r="K16">
        <v>1</v>
      </c>
      <c r="L16" t="s">
        <v>521</v>
      </c>
      <c r="M16" t="s">
        <v>479</v>
      </c>
    </row>
    <row r="17" spans="1:14" x14ac:dyDescent="0.25">
      <c r="A17" s="8" t="s">
        <v>508</v>
      </c>
      <c r="B17" s="9"/>
      <c r="C17" s="8"/>
      <c r="D17" s="8" t="s">
        <v>509</v>
      </c>
      <c r="E17" s="8" t="s">
        <v>510</v>
      </c>
      <c r="F17" s="8">
        <v>1</v>
      </c>
      <c r="G17" s="8" t="s">
        <v>500</v>
      </c>
      <c r="H17" s="8">
        <v>2</v>
      </c>
      <c r="J17" t="s">
        <v>147</v>
      </c>
      <c r="K17">
        <v>1</v>
      </c>
      <c r="L17" t="s">
        <v>521</v>
      </c>
      <c r="M17" t="s">
        <v>147</v>
      </c>
    </row>
    <row r="18" spans="1:14" x14ac:dyDescent="0.25">
      <c r="A18" s="8" t="s">
        <v>211</v>
      </c>
      <c r="B18" s="9" t="s">
        <v>511</v>
      </c>
      <c r="C18" s="8"/>
      <c r="D18" s="8"/>
      <c r="E18" s="8"/>
      <c r="F18" s="8">
        <v>1</v>
      </c>
      <c r="G18" s="8" t="s">
        <v>500</v>
      </c>
      <c r="H18" s="8">
        <v>2</v>
      </c>
      <c r="J18" t="s">
        <v>530</v>
      </c>
      <c r="K18">
        <v>1</v>
      </c>
      <c r="L18" t="s">
        <v>521</v>
      </c>
      <c r="M18" t="s">
        <v>505</v>
      </c>
    </row>
    <row r="19" spans="1:14" x14ac:dyDescent="0.25">
      <c r="A19" s="8" t="s">
        <v>512</v>
      </c>
      <c r="B19" s="9"/>
      <c r="C19" s="8"/>
      <c r="D19" s="8" t="s">
        <v>513</v>
      </c>
      <c r="E19" s="8" t="s">
        <v>514</v>
      </c>
      <c r="F19" s="8">
        <v>1</v>
      </c>
      <c r="G19" s="8" t="s">
        <v>500</v>
      </c>
      <c r="H19" s="8">
        <v>2</v>
      </c>
      <c r="J19" t="s">
        <v>146</v>
      </c>
      <c r="K19">
        <v>1</v>
      </c>
      <c r="L19" t="s">
        <v>532</v>
      </c>
      <c r="M19" t="s">
        <v>499</v>
      </c>
    </row>
    <row r="20" spans="1:14" x14ac:dyDescent="0.25">
      <c r="A20" s="8" t="s">
        <v>515</v>
      </c>
      <c r="B20" s="9"/>
      <c r="C20" s="8"/>
      <c r="D20" s="8"/>
      <c r="E20" s="8"/>
      <c r="F20" s="8">
        <v>1</v>
      </c>
      <c r="G20" s="8" t="s">
        <v>500</v>
      </c>
      <c r="H20" s="8">
        <v>4</v>
      </c>
      <c r="J20" t="s">
        <v>524</v>
      </c>
      <c r="K20">
        <v>3</v>
      </c>
      <c r="L20" t="s">
        <v>93</v>
      </c>
      <c r="M20" t="s">
        <v>404</v>
      </c>
    </row>
    <row r="21" spans="1:14" x14ac:dyDescent="0.25">
      <c r="A21" s="8" t="s">
        <v>516</v>
      </c>
      <c r="B21" s="9"/>
      <c r="C21" s="8"/>
      <c r="D21" s="8"/>
      <c r="E21" s="8"/>
      <c r="F21" s="8">
        <v>1</v>
      </c>
      <c r="G21" s="8" t="s">
        <v>500</v>
      </c>
      <c r="H21" s="8">
        <v>5</v>
      </c>
      <c r="J21" t="s">
        <v>538</v>
      </c>
      <c r="K21">
        <v>2</v>
      </c>
      <c r="L21" t="s">
        <v>93</v>
      </c>
      <c r="M21" t="s">
        <v>404</v>
      </c>
      <c r="N21" t="s">
        <v>539</v>
      </c>
    </row>
    <row r="22" spans="1:14" x14ac:dyDescent="0.25">
      <c r="A22" s="8" t="s">
        <v>517</v>
      </c>
      <c r="B22" s="9"/>
      <c r="C22" s="8"/>
      <c r="D22" s="8"/>
      <c r="E22" s="8"/>
      <c r="F22" s="8">
        <v>4</v>
      </c>
      <c r="G22" s="8" t="s">
        <v>500</v>
      </c>
      <c r="H22" s="8">
        <v>5</v>
      </c>
      <c r="J22" t="s">
        <v>540</v>
      </c>
      <c r="K22">
        <v>1</v>
      </c>
      <c r="L22" t="s">
        <v>93</v>
      </c>
      <c r="M22" t="s">
        <v>404</v>
      </c>
      <c r="N22" t="s">
        <v>541</v>
      </c>
    </row>
    <row r="23" spans="1:14" x14ac:dyDescent="0.25">
      <c r="A23" t="s">
        <v>518</v>
      </c>
      <c r="B23" s="9"/>
      <c r="C23" s="8"/>
      <c r="D23" s="8"/>
      <c r="E23" s="8"/>
      <c r="F23" s="8">
        <v>12</v>
      </c>
      <c r="G23" s="8" t="s">
        <v>500</v>
      </c>
      <c r="H23" s="8">
        <v>6</v>
      </c>
      <c r="J23" t="s">
        <v>542</v>
      </c>
      <c r="K23">
        <v>1</v>
      </c>
      <c r="L23" t="s">
        <v>93</v>
      </c>
      <c r="M23" t="s">
        <v>404</v>
      </c>
      <c r="N23" t="s">
        <v>405</v>
      </c>
    </row>
    <row r="24" spans="1:14" x14ac:dyDescent="0.25">
      <c r="A24" s="8" t="s">
        <v>409</v>
      </c>
      <c r="B24" s="9"/>
      <c r="C24" s="8"/>
      <c r="D24" s="8"/>
      <c r="E24" s="8"/>
      <c r="F24" s="8">
        <v>1</v>
      </c>
      <c r="G24" s="8" t="s">
        <v>500</v>
      </c>
      <c r="H24" s="8">
        <v>7</v>
      </c>
      <c r="J24" t="s">
        <v>543</v>
      </c>
      <c r="K24">
        <v>9</v>
      </c>
      <c r="L24" t="s">
        <v>93</v>
      </c>
      <c r="M24" t="s">
        <v>404</v>
      </c>
      <c r="N24" t="s">
        <v>406</v>
      </c>
    </row>
    <row r="25" spans="1:14" x14ac:dyDescent="0.25">
      <c r="A25" s="8" t="s">
        <v>92</v>
      </c>
      <c r="B25" s="9" t="s">
        <v>520</v>
      </c>
      <c r="C25" s="8"/>
      <c r="D25" s="8"/>
      <c r="E25" s="8"/>
      <c r="F25" s="8">
        <v>1</v>
      </c>
      <c r="G25" s="8" t="s">
        <v>500</v>
      </c>
      <c r="H25" s="8">
        <v>7</v>
      </c>
    </row>
    <row r="26" spans="1:14" ht="120" x14ac:dyDescent="0.25">
      <c r="A26" s="8" t="s">
        <v>92</v>
      </c>
      <c r="B26" s="9" t="str">
        <f>bolso("Bolso trauma pesado",Table621[])</f>
        <v xml:space="preserve">Bolso trauma pesado Contiene:  kit canulas de mayo x1,  Collar cervical regulable x3,  Ambu Pediatrico y adulto x2,  Ferulas inflables pierna, 1/2 pierna, brazo, 1/2 brazo, bota x5,  Manta termica para victimas x1,  Dispositivo manual de succion x1,  Tijera de trauma x1,  Tensiometro pediatrico x1, </v>
      </c>
      <c r="C26" s="8"/>
      <c r="D26" s="8"/>
      <c r="E26" s="8"/>
      <c r="F26" s="8">
        <v>1</v>
      </c>
      <c r="G26" s="8" t="s">
        <v>8</v>
      </c>
      <c r="H26" s="8">
        <v>1</v>
      </c>
    </row>
    <row r="27" spans="1:14" x14ac:dyDescent="0.25">
      <c r="A27" s="8" t="s">
        <v>88</v>
      </c>
      <c r="B27" s="9" t="s">
        <v>531</v>
      </c>
      <c r="C27" s="8"/>
      <c r="D27" s="8"/>
      <c r="E27" s="8"/>
      <c r="F27" s="8">
        <v>2</v>
      </c>
      <c r="G27" s="8" t="s">
        <v>8</v>
      </c>
      <c r="H27" s="8">
        <v>1</v>
      </c>
    </row>
    <row r="28" spans="1:14" x14ac:dyDescent="0.25">
      <c r="A28" s="8" t="s">
        <v>143</v>
      </c>
      <c r="B28" s="9"/>
      <c r="C28" s="8"/>
      <c r="D28" s="8"/>
      <c r="E28" s="8"/>
      <c r="F28" s="8">
        <v>1</v>
      </c>
      <c r="G28" s="8" t="s">
        <v>8</v>
      </c>
      <c r="H28" s="8">
        <v>1</v>
      </c>
    </row>
    <row r="29" spans="1:14" ht="30" x14ac:dyDescent="0.25">
      <c r="A29" s="8" t="s">
        <v>92</v>
      </c>
      <c r="B29" s="9" t="str">
        <f>bolso("Bolso quemados",Table621[])</f>
        <v xml:space="preserve">Bolso quemados Contiene:  Mascara RCP x1, </v>
      </c>
      <c r="C29" s="8"/>
      <c r="D29" s="8"/>
      <c r="E29" s="8"/>
      <c r="F29" s="8">
        <v>1</v>
      </c>
      <c r="G29" s="8" t="s">
        <v>8</v>
      </c>
      <c r="H29" s="8">
        <v>1</v>
      </c>
    </row>
    <row r="30" spans="1:14" ht="60" x14ac:dyDescent="0.25">
      <c r="A30" s="8" t="s">
        <v>92</v>
      </c>
      <c r="B30" s="9" t="str">
        <f>bolso("Bolso de collares",Table621[])</f>
        <v xml:space="preserve">Bolso de collares Contiene:  Collar cervical regulable x3,  Collar cervical P x2,  Collar cervical ch x1,  Collar cervical M x1,  Collar cervical G x9, </v>
      </c>
      <c r="C30" s="8"/>
      <c r="D30" s="8"/>
      <c r="E30" s="8"/>
      <c r="F30" s="8">
        <v>1</v>
      </c>
      <c r="G30" s="8" t="s">
        <v>8</v>
      </c>
      <c r="H30" s="8">
        <v>1</v>
      </c>
    </row>
    <row r="31" spans="1:14" x14ac:dyDescent="0.25">
      <c r="A31" s="8" t="s">
        <v>533</v>
      </c>
      <c r="B31" s="9" t="s">
        <v>534</v>
      </c>
      <c r="C31" s="8"/>
      <c r="D31" s="8"/>
      <c r="E31" s="8"/>
      <c r="F31" s="8">
        <v>1</v>
      </c>
      <c r="G31" s="8" t="s">
        <v>5</v>
      </c>
      <c r="H31" s="8">
        <v>1</v>
      </c>
    </row>
    <row r="32" spans="1:14" x14ac:dyDescent="0.25">
      <c r="A32" s="8" t="s">
        <v>533</v>
      </c>
      <c r="B32" s="9" t="s">
        <v>535</v>
      </c>
      <c r="C32" s="8"/>
      <c r="D32" s="8"/>
      <c r="E32" s="8"/>
      <c r="F32" s="8">
        <v>1</v>
      </c>
      <c r="G32" s="8" t="s">
        <v>5</v>
      </c>
      <c r="H32" s="8">
        <v>1</v>
      </c>
    </row>
    <row r="33" spans="1:8" x14ac:dyDescent="0.25">
      <c r="A33" s="8" t="s">
        <v>533</v>
      </c>
      <c r="B33" s="9" t="s">
        <v>536</v>
      </c>
      <c r="C33" s="8"/>
      <c r="D33" s="8"/>
      <c r="E33" s="8"/>
      <c r="F33" s="8">
        <v>5</v>
      </c>
      <c r="G33" s="8" t="s">
        <v>5</v>
      </c>
      <c r="H33" s="8">
        <v>1</v>
      </c>
    </row>
    <row r="34" spans="1:8" x14ac:dyDescent="0.25">
      <c r="A34" s="8" t="s">
        <v>533</v>
      </c>
      <c r="B34" s="9" t="s">
        <v>537</v>
      </c>
      <c r="C34" s="8"/>
      <c r="D34" s="8"/>
      <c r="E34" s="8"/>
      <c r="F34" s="8">
        <v>1</v>
      </c>
      <c r="G34" s="8" t="s">
        <v>5</v>
      </c>
      <c r="H34" s="8">
        <v>1</v>
      </c>
    </row>
    <row r="35" spans="1:8" x14ac:dyDescent="0.25">
      <c r="A35" s="8"/>
      <c r="B35" s="9"/>
      <c r="C35" s="8"/>
      <c r="D35" s="8"/>
      <c r="E35" s="8"/>
      <c r="F35" s="8"/>
      <c r="G35" s="8"/>
      <c r="H35" s="8"/>
    </row>
    <row r="36" spans="1:8" x14ac:dyDescent="0.25">
      <c r="A36" s="8"/>
      <c r="B36" s="9"/>
      <c r="C36" s="8"/>
      <c r="D36" s="8"/>
      <c r="E36" s="8"/>
      <c r="F36" s="8"/>
      <c r="G36" s="8"/>
      <c r="H36" s="8"/>
    </row>
    <row r="37" spans="1:8" x14ac:dyDescent="0.25">
      <c r="A37" s="8"/>
      <c r="B37" s="9"/>
      <c r="C37" s="8"/>
      <c r="D37" s="8"/>
      <c r="E37" s="8"/>
      <c r="F37" s="8"/>
      <c r="G37" s="8"/>
      <c r="H37" s="8"/>
    </row>
    <row r="38" spans="1:8" x14ac:dyDescent="0.25">
      <c r="A38" s="8"/>
      <c r="B38" s="9"/>
      <c r="C38" s="8"/>
      <c r="D38" s="8"/>
      <c r="E38" s="8"/>
      <c r="F38" s="8"/>
      <c r="G38" s="8"/>
      <c r="H38" s="8"/>
    </row>
    <row r="39" spans="1:8" x14ac:dyDescent="0.25">
      <c r="A39" s="8"/>
      <c r="B39" s="9"/>
      <c r="C39" s="8"/>
      <c r="D39" s="8"/>
      <c r="E39" s="8"/>
      <c r="F39" s="8"/>
      <c r="G39" s="8"/>
      <c r="H39" s="8"/>
    </row>
    <row r="40" spans="1:8" x14ac:dyDescent="0.25">
      <c r="A40" s="8"/>
      <c r="B40" s="9"/>
      <c r="C40" s="8"/>
      <c r="D40" s="8"/>
      <c r="E40" s="8"/>
      <c r="F40" s="8"/>
      <c r="G40" s="8"/>
      <c r="H40" s="8"/>
    </row>
    <row r="41" spans="1:8" x14ac:dyDescent="0.25">
      <c r="A41" s="8"/>
      <c r="B41" s="9"/>
      <c r="C41" s="8"/>
      <c r="D41" s="8"/>
      <c r="E41" s="8"/>
      <c r="F41" s="8"/>
      <c r="G41" s="8"/>
      <c r="H41" s="8"/>
    </row>
    <row r="42" spans="1:8" x14ac:dyDescent="0.25">
      <c r="A42" s="8"/>
      <c r="B42" s="9"/>
      <c r="C42" s="8"/>
      <c r="D42" s="8"/>
      <c r="E42" s="8"/>
      <c r="F42" s="8"/>
      <c r="G42" s="8"/>
      <c r="H42" s="8"/>
    </row>
    <row r="43" spans="1:8" x14ac:dyDescent="0.25">
      <c r="A43" s="8"/>
      <c r="B43" s="9"/>
      <c r="C43" s="8"/>
      <c r="D43" s="8"/>
      <c r="E43" s="8"/>
      <c r="F43" s="8"/>
      <c r="G43" s="8"/>
      <c r="H43" s="8"/>
    </row>
    <row r="44" spans="1:8" x14ac:dyDescent="0.25">
      <c r="A44" s="8"/>
      <c r="B44" s="9"/>
      <c r="C44" s="8"/>
      <c r="D44" s="8"/>
      <c r="E44" s="8"/>
      <c r="F44" s="8"/>
      <c r="G44" s="8"/>
      <c r="H44" s="8"/>
    </row>
    <row r="45" spans="1:8" x14ac:dyDescent="0.25">
      <c r="A45" s="8"/>
      <c r="B45" s="9"/>
      <c r="C45" s="8"/>
      <c r="D45" s="8"/>
      <c r="E45" s="8"/>
      <c r="F45" s="8"/>
      <c r="G45" s="8"/>
      <c r="H45" s="8"/>
    </row>
    <row r="46" spans="1:8" x14ac:dyDescent="0.25">
      <c r="A46" s="8"/>
      <c r="B46" s="9"/>
      <c r="C46" s="8"/>
      <c r="D46" s="8"/>
      <c r="E46" s="8"/>
      <c r="F46" s="8"/>
      <c r="G46" s="8"/>
      <c r="H46" s="8"/>
    </row>
    <row r="47" spans="1:8" x14ac:dyDescent="0.25">
      <c r="A47" s="8"/>
      <c r="B47" s="9"/>
      <c r="C47" s="8"/>
      <c r="D47" s="8"/>
      <c r="E47" s="8"/>
      <c r="F47" s="8"/>
      <c r="G47" s="8"/>
      <c r="H47" s="8"/>
    </row>
    <row r="48" spans="1:8" x14ac:dyDescent="0.25">
      <c r="A48" s="8"/>
      <c r="B48" s="9"/>
      <c r="C48" s="8"/>
      <c r="D48" s="8"/>
      <c r="E48" s="8"/>
      <c r="F48" s="8"/>
      <c r="G48" s="8"/>
      <c r="H48" s="8"/>
    </row>
    <row r="49" spans="1:8" x14ac:dyDescent="0.25">
      <c r="A49" s="8"/>
      <c r="B49" s="9"/>
      <c r="C49" s="8"/>
      <c r="D49" s="8"/>
      <c r="E49" s="8"/>
      <c r="F49" s="8"/>
      <c r="G49" s="8"/>
      <c r="H49" s="8"/>
    </row>
    <row r="50" spans="1:8" x14ac:dyDescent="0.25">
      <c r="A50" s="8"/>
      <c r="B50" s="9"/>
      <c r="C50" s="8"/>
      <c r="D50" s="8"/>
      <c r="E50" s="8"/>
      <c r="F50" s="8"/>
      <c r="G50" s="8"/>
      <c r="H50" s="8"/>
    </row>
    <row r="51" spans="1:8" x14ac:dyDescent="0.25">
      <c r="A51" s="8"/>
      <c r="B51" s="9"/>
      <c r="C51" s="8"/>
      <c r="D51" s="8"/>
      <c r="E51" s="8"/>
      <c r="F51" s="8"/>
      <c r="G51" s="8"/>
      <c r="H51" s="8"/>
    </row>
    <row r="52" spans="1:8" x14ac:dyDescent="0.25">
      <c r="A52" s="8"/>
      <c r="B52" s="9"/>
      <c r="C52" s="8"/>
      <c r="D52" s="8"/>
      <c r="E52" s="8"/>
      <c r="F52" s="8"/>
      <c r="G52" s="8"/>
      <c r="H52" s="8"/>
    </row>
    <row r="53" spans="1:8" x14ac:dyDescent="0.25">
      <c r="A53" s="8"/>
      <c r="B53" s="9"/>
      <c r="C53" s="8"/>
      <c r="D53" s="8"/>
      <c r="E53" s="8"/>
      <c r="F53" s="8"/>
      <c r="G53" s="8"/>
      <c r="H53" s="8"/>
    </row>
    <row r="54" spans="1:8" x14ac:dyDescent="0.25">
      <c r="A54" s="8"/>
      <c r="B54" s="9"/>
      <c r="C54" s="8"/>
      <c r="D54" s="8"/>
      <c r="E54" s="8"/>
      <c r="F54" s="8"/>
      <c r="G54" s="8"/>
      <c r="H54" s="8"/>
    </row>
    <row r="55" spans="1:8" x14ac:dyDescent="0.25">
      <c r="A55" s="8"/>
      <c r="B55" s="9"/>
      <c r="C55" s="8"/>
      <c r="D55" s="8"/>
      <c r="E55" s="8"/>
      <c r="F55" s="8"/>
      <c r="G55" s="8"/>
      <c r="H55" s="8"/>
    </row>
    <row r="56" spans="1:8" x14ac:dyDescent="0.25">
      <c r="A56" s="8"/>
      <c r="B56" s="9"/>
      <c r="C56" s="8"/>
      <c r="D56" s="8"/>
      <c r="E56" s="8"/>
      <c r="F56" s="8"/>
      <c r="G56" s="8"/>
      <c r="H56" s="8"/>
    </row>
    <row r="57" spans="1:8" x14ac:dyDescent="0.25">
      <c r="A57" s="8"/>
      <c r="B57" s="9"/>
      <c r="C57" s="8"/>
      <c r="D57" s="8"/>
      <c r="E57" s="8"/>
      <c r="F57" s="8"/>
      <c r="G57" s="8"/>
      <c r="H57" s="8"/>
    </row>
    <row r="58" spans="1:8" x14ac:dyDescent="0.25">
      <c r="A58" s="8"/>
      <c r="B58" s="9"/>
      <c r="C58" s="8"/>
      <c r="D58" s="8"/>
      <c r="E58" s="8"/>
      <c r="F58" s="8"/>
      <c r="G58" s="8"/>
      <c r="H58" s="8"/>
    </row>
    <row r="59" spans="1:8" x14ac:dyDescent="0.25">
      <c r="A59" s="8"/>
      <c r="B59" s="9"/>
      <c r="C59" s="8"/>
      <c r="D59" s="8"/>
      <c r="E59" s="8"/>
      <c r="F59" s="8"/>
      <c r="G59" s="8"/>
      <c r="H59" s="8"/>
    </row>
    <row r="60" spans="1:8" x14ac:dyDescent="0.25">
      <c r="B60" s="9"/>
      <c r="C60" s="8"/>
      <c r="D60" s="8"/>
      <c r="E60" s="8"/>
      <c r="F60" s="8"/>
      <c r="G60" s="8"/>
      <c r="H60" s="8"/>
    </row>
    <row r="61" spans="1:8" x14ac:dyDescent="0.25">
      <c r="A61" s="8"/>
      <c r="B61" s="9"/>
      <c r="C61" s="8"/>
      <c r="D61" s="8"/>
      <c r="E61" s="8"/>
      <c r="F61" s="8"/>
      <c r="G61" s="8"/>
      <c r="H61" s="8"/>
    </row>
    <row r="62" spans="1:8" x14ac:dyDescent="0.25">
      <c r="A62" s="8"/>
      <c r="B62" s="9"/>
      <c r="C62" s="8"/>
      <c r="D62" s="8"/>
      <c r="E62" s="8"/>
      <c r="F62" s="8"/>
      <c r="G62" s="8"/>
      <c r="H62" s="8"/>
    </row>
    <row r="63" spans="1:8" x14ac:dyDescent="0.25">
      <c r="A63" s="8"/>
      <c r="B63" s="9"/>
      <c r="C63" s="8"/>
      <c r="D63" s="8"/>
      <c r="E63" s="8"/>
      <c r="F63" s="8"/>
      <c r="G63" s="8"/>
      <c r="H63" s="8"/>
    </row>
    <row r="64" spans="1:8" x14ac:dyDescent="0.25">
      <c r="A64" s="8"/>
      <c r="B64" s="9"/>
      <c r="C64" s="8"/>
      <c r="D64" s="8"/>
      <c r="E64" s="8"/>
      <c r="F64" s="8"/>
      <c r="G64" s="8"/>
      <c r="H64" s="8"/>
    </row>
    <row r="65" spans="1:8" x14ac:dyDescent="0.25">
      <c r="A65" s="8"/>
      <c r="B65" s="9"/>
      <c r="C65" s="8"/>
      <c r="D65" s="8"/>
      <c r="E65" s="8"/>
      <c r="F65" s="8"/>
      <c r="G65" s="8"/>
      <c r="H65" s="8"/>
    </row>
    <row r="66" spans="1:8" x14ac:dyDescent="0.25">
      <c r="A66" s="8"/>
      <c r="B66" s="9"/>
      <c r="C66" s="8"/>
      <c r="D66" s="8"/>
      <c r="E66" s="8"/>
      <c r="F66" s="8"/>
      <c r="G66" s="8"/>
      <c r="H66" s="8"/>
    </row>
    <row r="67" spans="1:8" x14ac:dyDescent="0.25">
      <c r="B67" s="9"/>
      <c r="C67" s="8"/>
      <c r="D67" s="8"/>
      <c r="E67" s="8"/>
      <c r="F67" s="8"/>
      <c r="G67" s="8"/>
      <c r="H67" s="8"/>
    </row>
    <row r="68" spans="1:8" x14ac:dyDescent="0.25">
      <c r="A68" s="8"/>
      <c r="B68" s="9"/>
      <c r="D68" s="8"/>
      <c r="E68" s="8"/>
      <c r="F68" s="8"/>
      <c r="G68" s="8"/>
      <c r="H68" s="8"/>
    </row>
    <row r="69" spans="1:8" x14ac:dyDescent="0.25">
      <c r="A69" s="8"/>
      <c r="B69" s="9"/>
      <c r="C69" s="8"/>
      <c r="D69" s="8"/>
      <c r="E69" s="8"/>
      <c r="F69" s="8"/>
      <c r="G69" s="8"/>
      <c r="H69" s="8"/>
    </row>
    <row r="70" spans="1:8" x14ac:dyDescent="0.25">
      <c r="A70" s="8"/>
      <c r="B70" s="9"/>
      <c r="C70" s="8"/>
      <c r="D70" s="8"/>
      <c r="E70" s="8"/>
      <c r="F70" s="8"/>
      <c r="G70" s="8"/>
      <c r="H70" s="8"/>
    </row>
    <row r="71" spans="1:8" x14ac:dyDescent="0.25">
      <c r="A71" s="8"/>
      <c r="B71" s="9"/>
      <c r="C71" s="8"/>
      <c r="D71" s="8"/>
      <c r="E71" s="8"/>
      <c r="F71" s="8"/>
      <c r="G71" s="8"/>
      <c r="H71" s="8"/>
    </row>
    <row r="72" spans="1:8" x14ac:dyDescent="0.25">
      <c r="A72" s="8"/>
      <c r="B72" s="9"/>
      <c r="C72" s="8"/>
      <c r="D72" s="8"/>
      <c r="E72" s="8"/>
      <c r="F72" s="8"/>
      <c r="G72" s="8"/>
      <c r="H72" s="8"/>
    </row>
    <row r="73" spans="1:8" x14ac:dyDescent="0.25">
      <c r="B73" s="9"/>
      <c r="C73" s="8"/>
      <c r="D73" s="8"/>
      <c r="E73" s="8"/>
      <c r="F73" s="8"/>
      <c r="G73" s="8"/>
      <c r="H73" s="8"/>
    </row>
    <row r="74" spans="1:8" x14ac:dyDescent="0.25">
      <c r="A74" s="8"/>
      <c r="B74" s="9"/>
      <c r="C74" s="8"/>
      <c r="D74" s="8"/>
      <c r="E74" s="8"/>
      <c r="F74" s="8"/>
      <c r="G74" s="8"/>
      <c r="H74" s="8"/>
    </row>
    <row r="75" spans="1:8" x14ac:dyDescent="0.25">
      <c r="A75" s="8"/>
      <c r="B75" s="9"/>
      <c r="C75" s="8"/>
      <c r="D75" s="8"/>
      <c r="E75" s="8"/>
      <c r="F75" s="8"/>
      <c r="G75" s="8"/>
      <c r="H75" s="8"/>
    </row>
    <row r="76" spans="1:8" x14ac:dyDescent="0.25">
      <c r="A76" s="8"/>
      <c r="B76" s="9"/>
      <c r="C76" s="8"/>
      <c r="D76" s="8"/>
      <c r="E76" s="8"/>
      <c r="F76" s="8"/>
      <c r="G76" s="8"/>
      <c r="H76" s="8"/>
    </row>
    <row r="77" spans="1:8" x14ac:dyDescent="0.25">
      <c r="A77" s="8"/>
      <c r="B77" s="9"/>
      <c r="C77" s="8"/>
      <c r="D77" s="8"/>
      <c r="E77" s="8"/>
      <c r="F77" s="8"/>
      <c r="G77" s="8"/>
      <c r="H77" s="8"/>
    </row>
    <row r="78" spans="1:8" x14ac:dyDescent="0.25">
      <c r="A78" s="8"/>
      <c r="B78" s="9"/>
      <c r="C78" s="8"/>
      <c r="D78" s="8"/>
      <c r="E78" s="8"/>
      <c r="F78" s="8"/>
      <c r="G78" s="8"/>
      <c r="H78" s="8"/>
    </row>
    <row r="79" spans="1:8" x14ac:dyDescent="0.25">
      <c r="A79" s="8"/>
      <c r="B79" s="9"/>
      <c r="C79" s="8"/>
      <c r="D79" s="8"/>
      <c r="E79" s="8"/>
      <c r="F79" s="8"/>
      <c r="G79" s="8"/>
      <c r="H79" s="8"/>
    </row>
    <row r="80" spans="1:8" x14ac:dyDescent="0.25">
      <c r="A80" s="8"/>
      <c r="B80" s="9"/>
      <c r="C80" s="8"/>
      <c r="D80" s="8"/>
      <c r="E80" s="8"/>
      <c r="F80" s="8"/>
      <c r="G80" s="8"/>
      <c r="H80" s="8"/>
    </row>
    <row r="81" spans="1:8" x14ac:dyDescent="0.25">
      <c r="B81" s="9"/>
      <c r="C81" s="8"/>
      <c r="D81" s="8"/>
      <c r="E81" s="8"/>
      <c r="F81" s="8"/>
      <c r="G81" s="8"/>
      <c r="H81" s="8"/>
    </row>
    <row r="82" spans="1:8" x14ac:dyDescent="0.25">
      <c r="A82" s="8"/>
      <c r="B82" s="9"/>
      <c r="C82" s="8"/>
      <c r="D82" s="8"/>
      <c r="E82" s="8"/>
      <c r="F82" s="8"/>
      <c r="G82" s="8"/>
      <c r="H82" s="8"/>
    </row>
    <row r="83" spans="1:8" x14ac:dyDescent="0.25">
      <c r="A83" s="8"/>
      <c r="B83" s="9"/>
      <c r="C83" s="8"/>
      <c r="D83" s="8"/>
      <c r="E83" s="8"/>
      <c r="F83" s="8"/>
      <c r="G83" s="8"/>
      <c r="H83" s="8"/>
    </row>
    <row r="84" spans="1:8" x14ac:dyDescent="0.25">
      <c r="A84" s="8"/>
      <c r="B84" s="9"/>
      <c r="C84" s="8"/>
      <c r="D84" s="8"/>
      <c r="E84" s="8"/>
      <c r="F84" s="8"/>
      <c r="G84" s="8"/>
      <c r="H84" s="8"/>
    </row>
    <row r="85" spans="1:8" x14ac:dyDescent="0.25">
      <c r="A85" s="8"/>
      <c r="B85" s="9"/>
      <c r="C85" s="8"/>
      <c r="D85" s="8"/>
      <c r="E85" s="8"/>
      <c r="F85" s="8"/>
      <c r="G85" s="8"/>
      <c r="H85" s="8"/>
    </row>
    <row r="86" spans="1:8" x14ac:dyDescent="0.25">
      <c r="A86" s="8"/>
      <c r="B86" s="9"/>
      <c r="C86" s="8"/>
      <c r="D86" s="8"/>
      <c r="E86" s="8"/>
      <c r="F86" s="8"/>
      <c r="G86" s="8"/>
      <c r="H86" s="8"/>
    </row>
    <row r="87" spans="1:8" x14ac:dyDescent="0.25">
      <c r="A87" s="8"/>
      <c r="B87" s="9"/>
      <c r="C87" s="8"/>
      <c r="D87" s="8"/>
      <c r="E87" s="8"/>
      <c r="F87" s="8"/>
      <c r="G87" s="8"/>
      <c r="H87" s="8"/>
    </row>
    <row r="88" spans="1:8" x14ac:dyDescent="0.25">
      <c r="A88" s="8"/>
      <c r="B88" s="9"/>
      <c r="C88" s="8"/>
      <c r="D88" s="8"/>
      <c r="E88" s="8"/>
      <c r="F88" s="8"/>
      <c r="G88" s="8"/>
      <c r="H88" s="8"/>
    </row>
    <row r="89" spans="1:8" x14ac:dyDescent="0.25">
      <c r="A89" s="8"/>
      <c r="B89" s="9"/>
      <c r="C89" s="8"/>
      <c r="D89" s="8"/>
      <c r="E89" s="8"/>
      <c r="F89" s="8"/>
      <c r="G89" s="8"/>
      <c r="H89" s="8"/>
    </row>
    <row r="90" spans="1:8" x14ac:dyDescent="0.25">
      <c r="A90" s="8"/>
      <c r="B90" s="9"/>
      <c r="C90" s="8"/>
      <c r="D90" s="8"/>
      <c r="E90" s="8"/>
      <c r="F90" s="8"/>
      <c r="G90" s="8"/>
      <c r="H90" s="8"/>
    </row>
    <row r="91" spans="1:8" x14ac:dyDescent="0.25">
      <c r="A91" s="8"/>
      <c r="B91" s="9"/>
      <c r="C91" s="8"/>
      <c r="D91" s="8"/>
      <c r="E91" s="8"/>
      <c r="F91" s="8"/>
      <c r="G91" s="8"/>
      <c r="H91" s="8"/>
    </row>
    <row r="92" spans="1:8" x14ac:dyDescent="0.25">
      <c r="A92" s="8"/>
      <c r="B92" s="9"/>
      <c r="C92" s="8"/>
      <c r="D92" s="8"/>
      <c r="E92" s="8"/>
      <c r="F92" s="8"/>
      <c r="G92" s="8"/>
      <c r="H92" s="8"/>
    </row>
    <row r="93" spans="1:8" x14ac:dyDescent="0.25">
      <c r="A93" s="8"/>
      <c r="B93" s="9"/>
      <c r="C93" s="8"/>
      <c r="D93" s="8"/>
      <c r="E93" s="8"/>
      <c r="F93" s="8"/>
      <c r="G93" s="8"/>
      <c r="H93" s="8"/>
    </row>
    <row r="94" spans="1:8" x14ac:dyDescent="0.25">
      <c r="A94" s="8"/>
      <c r="B94" s="9"/>
      <c r="C94" s="8"/>
      <c r="D94" s="8"/>
      <c r="E94" s="8"/>
      <c r="F94" s="8"/>
      <c r="G94" s="8"/>
      <c r="H94" s="8"/>
    </row>
    <row r="95" spans="1:8" x14ac:dyDescent="0.25">
      <c r="A95" s="8"/>
      <c r="B95" s="9"/>
      <c r="C95" s="8"/>
      <c r="D95" s="8"/>
      <c r="E95" s="8"/>
      <c r="F95" s="8"/>
      <c r="G95" s="8"/>
      <c r="H95" s="8"/>
    </row>
    <row r="96" spans="1:8" x14ac:dyDescent="0.25">
      <c r="A96" s="8"/>
      <c r="B96" s="9"/>
      <c r="C96" s="8"/>
      <c r="D96" s="8"/>
      <c r="E96" s="8"/>
      <c r="F96" s="8"/>
      <c r="G96" s="8"/>
      <c r="H96" s="8"/>
    </row>
    <row r="97" spans="1:8" x14ac:dyDescent="0.25">
      <c r="A97" s="8"/>
      <c r="B97" s="9"/>
      <c r="C97" s="8"/>
      <c r="D97" s="8"/>
      <c r="E97" s="8"/>
      <c r="F97" s="8"/>
      <c r="G97" s="8"/>
      <c r="H97" s="8"/>
    </row>
    <row r="98" spans="1:8" x14ac:dyDescent="0.25">
      <c r="A98" s="8"/>
      <c r="B98" s="9"/>
      <c r="C98" s="8"/>
      <c r="D98" s="8"/>
      <c r="E98" s="8"/>
      <c r="F98" s="8"/>
      <c r="G98" s="8"/>
      <c r="H98" s="8"/>
    </row>
    <row r="99" spans="1:8" x14ac:dyDescent="0.25">
      <c r="A99" s="8"/>
      <c r="B99" s="9"/>
      <c r="C99" s="8"/>
      <c r="D99" s="8"/>
      <c r="E99" s="8"/>
      <c r="F99" s="8"/>
      <c r="G99" s="8"/>
      <c r="H99" s="8"/>
    </row>
    <row r="100" spans="1:8" x14ac:dyDescent="0.25">
      <c r="A100" s="8"/>
      <c r="B100" s="9"/>
      <c r="C100" s="8"/>
      <c r="D100" s="8"/>
      <c r="E100" s="8"/>
      <c r="F100" s="8"/>
      <c r="G100" s="8"/>
      <c r="H100" s="8"/>
    </row>
    <row r="101" spans="1:8" x14ac:dyDescent="0.25">
      <c r="A101" s="8"/>
      <c r="B101" s="9"/>
      <c r="C101" s="8"/>
      <c r="D101" s="8"/>
      <c r="E101" s="8"/>
      <c r="F101" s="8"/>
      <c r="G101" s="8"/>
      <c r="H101" s="8"/>
    </row>
    <row r="102" spans="1:8" x14ac:dyDescent="0.25">
      <c r="A102" s="8"/>
      <c r="B102" s="9"/>
      <c r="C102" s="8"/>
      <c r="D102" s="8"/>
      <c r="E102" s="8"/>
      <c r="F102" s="8"/>
      <c r="G102" s="8"/>
      <c r="H102" s="8"/>
    </row>
    <row r="103" spans="1:8" x14ac:dyDescent="0.25">
      <c r="A103" s="8"/>
      <c r="B103" s="9"/>
      <c r="C103" s="8"/>
      <c r="D103" s="8"/>
      <c r="E103" s="8"/>
      <c r="F103" s="8"/>
      <c r="G103" s="8"/>
      <c r="H103" s="8"/>
    </row>
    <row r="104" spans="1:8" x14ac:dyDescent="0.25">
      <c r="A104" s="8"/>
      <c r="B104" s="9"/>
      <c r="C104" s="8"/>
      <c r="D104" s="8"/>
      <c r="E104" s="8"/>
      <c r="F104" s="8"/>
      <c r="G104" s="8"/>
      <c r="H104" s="8"/>
    </row>
    <row r="105" spans="1:8" x14ac:dyDescent="0.25">
      <c r="A105" s="8"/>
      <c r="B105" s="9"/>
      <c r="C105" s="8"/>
      <c r="D105" s="8"/>
      <c r="E105" s="8"/>
      <c r="F105" s="8"/>
      <c r="G105" s="8"/>
      <c r="H105" s="8"/>
    </row>
    <row r="106" spans="1:8" x14ac:dyDescent="0.25">
      <c r="A106" s="8"/>
      <c r="B106" s="9"/>
      <c r="C106" s="8"/>
      <c r="D106" s="8"/>
      <c r="E106" s="8"/>
      <c r="F106" s="8"/>
      <c r="G106" s="8"/>
      <c r="H106" s="8"/>
    </row>
    <row r="107" spans="1:8" x14ac:dyDescent="0.25">
      <c r="A107" s="8"/>
      <c r="B107" s="9"/>
      <c r="C107" s="8"/>
      <c r="D107" s="8"/>
      <c r="E107" s="8"/>
      <c r="F107" s="8"/>
      <c r="G107" s="8"/>
      <c r="H107" s="8"/>
    </row>
    <row r="108" spans="1:8" x14ac:dyDescent="0.25">
      <c r="A108" s="8"/>
      <c r="B108" s="9"/>
      <c r="C108" s="8"/>
      <c r="D108" s="8"/>
      <c r="E108" s="8"/>
      <c r="F108" s="8"/>
      <c r="G108" s="8"/>
      <c r="H108" s="8"/>
    </row>
    <row r="109" spans="1:8" x14ac:dyDescent="0.25">
      <c r="A109" s="8"/>
      <c r="B109" s="9"/>
      <c r="C109" s="8"/>
      <c r="D109" s="8"/>
      <c r="E109" s="8"/>
      <c r="F109" s="8"/>
      <c r="G109" s="8"/>
      <c r="H109" s="8"/>
    </row>
    <row r="110" spans="1:8" x14ac:dyDescent="0.25">
      <c r="A110" s="8"/>
      <c r="B110" s="9"/>
      <c r="C110" s="8"/>
      <c r="D110" s="8"/>
      <c r="E110" s="8"/>
      <c r="F110" s="8"/>
      <c r="G110" s="8"/>
      <c r="H110" s="8"/>
    </row>
    <row r="111" spans="1:8" x14ac:dyDescent="0.25">
      <c r="A111" s="8"/>
      <c r="B111" s="9"/>
      <c r="C111" s="8"/>
      <c r="D111" s="8"/>
      <c r="E111" s="8"/>
      <c r="F111" s="8"/>
      <c r="G111" s="8"/>
      <c r="H111" s="8"/>
    </row>
    <row r="112" spans="1:8" x14ac:dyDescent="0.25">
      <c r="A112" s="8"/>
      <c r="B112" s="9"/>
      <c r="C112" s="8"/>
      <c r="D112" s="8"/>
      <c r="E112" s="8"/>
      <c r="F112" s="8"/>
      <c r="G112" s="8"/>
      <c r="H112" s="8"/>
    </row>
    <row r="113" spans="1:8" x14ac:dyDescent="0.25">
      <c r="A113" s="8"/>
      <c r="B113" s="9"/>
      <c r="C113" s="8"/>
      <c r="D113" s="8"/>
      <c r="E113" s="8"/>
      <c r="F113" s="8"/>
      <c r="G113" s="8"/>
      <c r="H113" s="8"/>
    </row>
    <row r="114" spans="1:8" x14ac:dyDescent="0.25">
      <c r="A114" s="8"/>
      <c r="B114" s="9"/>
      <c r="C114" s="8"/>
      <c r="D114" s="8"/>
      <c r="E114" s="8"/>
      <c r="F114" s="8"/>
      <c r="G114" s="8"/>
      <c r="H114" s="8"/>
    </row>
    <row r="115" spans="1:8" x14ac:dyDescent="0.25">
      <c r="A115" s="8"/>
      <c r="B115" s="9"/>
      <c r="C115" s="8"/>
      <c r="D115" s="8"/>
      <c r="E115" s="8"/>
      <c r="F115" s="8"/>
      <c r="G115" s="8"/>
      <c r="H115" s="8"/>
    </row>
    <row r="116" spans="1:8" x14ac:dyDescent="0.25">
      <c r="A116" s="8"/>
      <c r="B116" s="9"/>
      <c r="C116" s="8"/>
      <c r="D116" s="8"/>
      <c r="E116" s="8"/>
      <c r="F116" s="8"/>
      <c r="G116" s="8"/>
      <c r="H116" s="8"/>
    </row>
    <row r="117" spans="1:8" x14ac:dyDescent="0.25">
      <c r="A117" s="8"/>
      <c r="B117" s="9"/>
      <c r="C117" s="8"/>
      <c r="D117" s="8"/>
      <c r="E117" s="8"/>
      <c r="F117" s="8"/>
      <c r="G117" s="8"/>
      <c r="H117" s="8"/>
    </row>
    <row r="118" spans="1:8" x14ac:dyDescent="0.25">
      <c r="A118" s="8"/>
      <c r="B118" s="9"/>
      <c r="C118" s="8"/>
      <c r="D118" s="8"/>
      <c r="E118" s="8"/>
      <c r="F118" s="8"/>
      <c r="G118" s="8"/>
      <c r="H118" s="8"/>
    </row>
    <row r="119" spans="1:8" x14ac:dyDescent="0.25">
      <c r="A119" s="8"/>
      <c r="B119" s="9"/>
      <c r="C119" s="8"/>
      <c r="D119" s="8"/>
      <c r="E119" s="8"/>
      <c r="F119" s="8"/>
      <c r="G119" s="8"/>
      <c r="H119" s="8"/>
    </row>
    <row r="120" spans="1:8" x14ac:dyDescent="0.25">
      <c r="A120" s="8"/>
      <c r="B120" s="9"/>
      <c r="C120" s="8"/>
      <c r="D120" s="8"/>
      <c r="E120" s="8"/>
      <c r="F120" s="8"/>
      <c r="G120" s="8"/>
      <c r="H120" s="8"/>
    </row>
    <row r="121" spans="1:8" x14ac:dyDescent="0.25">
      <c r="A121" s="8"/>
      <c r="B121" s="9"/>
      <c r="C121" s="8"/>
      <c r="D121" s="8"/>
      <c r="E121" s="8"/>
      <c r="F121" s="8"/>
      <c r="G121" s="8"/>
      <c r="H121" s="8"/>
    </row>
    <row r="122" spans="1:8" x14ac:dyDescent="0.25">
      <c r="A122" s="8"/>
      <c r="B122" s="9"/>
      <c r="C122" s="8"/>
      <c r="D122" s="8"/>
      <c r="E122" s="8"/>
      <c r="F122" s="8"/>
      <c r="G122" s="8"/>
      <c r="H122" s="8"/>
    </row>
    <row r="123" spans="1:8" x14ac:dyDescent="0.25">
      <c r="A123" s="8"/>
      <c r="B123" s="9"/>
      <c r="C123" s="8"/>
      <c r="D123" s="9"/>
      <c r="E123" s="8"/>
      <c r="F123" s="8"/>
      <c r="G123" s="8"/>
      <c r="H123" s="8"/>
    </row>
    <row r="124" spans="1:8" x14ac:dyDescent="0.25">
      <c r="A124" s="8"/>
      <c r="B124" s="9"/>
      <c r="C124" s="8"/>
      <c r="D124" s="8"/>
      <c r="E124" s="8"/>
      <c r="F124" s="8"/>
      <c r="G124" s="8"/>
      <c r="H124" s="8"/>
    </row>
    <row r="125" spans="1:8" x14ac:dyDescent="0.25">
      <c r="A125" s="8"/>
      <c r="B125" s="9"/>
      <c r="C125" s="8"/>
      <c r="D125" s="8"/>
      <c r="E125" s="8"/>
      <c r="F125" s="8"/>
      <c r="G125" s="8"/>
      <c r="H125" s="8"/>
    </row>
    <row r="126" spans="1:8" x14ac:dyDescent="0.25">
      <c r="A126" s="8"/>
      <c r="B126" s="9"/>
      <c r="C126" s="8"/>
      <c r="D126" s="8"/>
      <c r="E126" s="8"/>
      <c r="F126" s="8"/>
      <c r="G126" s="8"/>
      <c r="H126" s="8"/>
    </row>
    <row r="127" spans="1:8" x14ac:dyDescent="0.25">
      <c r="A127" s="8"/>
      <c r="B127" s="9"/>
      <c r="C127" s="8"/>
      <c r="D127" s="8"/>
      <c r="E127" s="8"/>
      <c r="F127" s="8"/>
      <c r="G127" s="8"/>
      <c r="H127" s="8"/>
    </row>
    <row r="128" spans="1:8" x14ac:dyDescent="0.25">
      <c r="A128" s="8"/>
      <c r="B128" s="9"/>
      <c r="C128" s="8"/>
      <c r="D128" s="8"/>
      <c r="E128" s="8"/>
      <c r="F128" s="8"/>
      <c r="G128" s="8"/>
      <c r="H128" s="8"/>
    </row>
    <row r="129" spans="1:8" x14ac:dyDescent="0.25">
      <c r="A129" s="8"/>
      <c r="B129" s="9"/>
      <c r="C129" s="9"/>
      <c r="D129" s="8"/>
      <c r="E129" s="8"/>
      <c r="F129" s="8"/>
      <c r="G129" s="8"/>
      <c r="H129" s="8"/>
    </row>
    <row r="130" spans="1:8" x14ac:dyDescent="0.25">
      <c r="A130" s="8"/>
      <c r="B130" s="9"/>
      <c r="C130" s="8"/>
      <c r="D130" s="8"/>
      <c r="E130" s="8"/>
      <c r="F130" s="8"/>
      <c r="G130" s="8"/>
      <c r="H130" s="8"/>
    </row>
    <row r="131" spans="1:8" x14ac:dyDescent="0.25">
      <c r="A131" s="8"/>
      <c r="B131" s="9"/>
      <c r="C131" s="8"/>
      <c r="D131" s="8"/>
      <c r="E131" s="8"/>
      <c r="F131" s="8"/>
      <c r="G131" s="8"/>
      <c r="H131" s="8"/>
    </row>
    <row r="132" spans="1:8" x14ac:dyDescent="0.25">
      <c r="A132" s="8"/>
      <c r="B132" s="9"/>
      <c r="C132" s="8"/>
      <c r="D132" s="8"/>
      <c r="E132" s="8"/>
      <c r="F132" s="8"/>
      <c r="G132" s="8"/>
      <c r="H132" s="8"/>
    </row>
    <row r="133" spans="1:8" x14ac:dyDescent="0.25">
      <c r="A133" s="8"/>
      <c r="B133" s="9"/>
      <c r="C133" s="8"/>
      <c r="D133" s="8"/>
      <c r="E133" s="8"/>
      <c r="F133" s="8"/>
      <c r="G133" s="8"/>
      <c r="H133" s="8"/>
    </row>
    <row r="134" spans="1:8" x14ac:dyDescent="0.25">
      <c r="A134" s="8"/>
      <c r="B134" s="9"/>
      <c r="C134" s="8"/>
      <c r="D134" s="8"/>
      <c r="E134" s="8"/>
      <c r="F134" s="8"/>
      <c r="G134" s="8"/>
      <c r="H134" s="8"/>
    </row>
    <row r="135" spans="1:8" x14ac:dyDescent="0.25">
      <c r="A135" s="8"/>
      <c r="B135" s="9"/>
      <c r="C135" s="8"/>
      <c r="D135" s="8"/>
      <c r="E135" s="8"/>
      <c r="F135" s="8"/>
      <c r="G135" s="8"/>
      <c r="H135" s="8"/>
    </row>
    <row r="136" spans="1:8" x14ac:dyDescent="0.25">
      <c r="A136" s="8"/>
      <c r="B136" s="9"/>
      <c r="C136" s="8"/>
      <c r="D136" s="8"/>
      <c r="E136" s="8"/>
      <c r="F136" s="8"/>
      <c r="G136" s="8"/>
      <c r="H136" s="8"/>
    </row>
  </sheetData>
  <mergeCells count="1">
    <mergeCell ref="R3:W3"/>
  </mergeCells>
  <dataValidations count="6">
    <dataValidation type="list" allowBlank="1" showInputMessage="1" showErrorMessage="1" sqref="N4:N24 P14" xr:uid="{9186B44B-FBFF-4A1D-8BD2-44DAE8FD792F}">
      <formula1>INDEX(Medidas,0,MATCH(OFFSET(INDIRECT(ADDRESS(ROW(), COLUMN())),0,-1),categoriasDeMedidas,0))</formula1>
    </dataValidation>
    <dataValidation type="list" allowBlank="1" showInputMessage="1" showErrorMessage="1" sqref="N47:N1048576 H137:H1048576 N1:N3 H1:H12 H14:H135" xr:uid="{A511407A-EFE7-4D99-9194-23904B771402}">
      <formula1>INDEX(Compartimientos,0,MATCH(OFFSET(INDIRECT(ADDRESS(ROW(), COLUMN())),0,-1),Cajoneras,0))</formula1>
    </dataValidation>
    <dataValidation type="list" allowBlank="1" showInputMessage="1" showErrorMessage="1" sqref="H136 G1:G1048576" xr:uid="{7AD2AF08-251A-4AAE-95D1-A8BEA488287B}">
      <formula1>Cajoneras</formula1>
    </dataValidation>
    <dataValidation type="list" allowBlank="1" showInputMessage="1" showErrorMessage="1" sqref="L4:L24" xr:uid="{45F9DA28-064B-4DDC-8715-D638B83FC1A3}">
      <formula1>Bolsos</formula1>
    </dataValidation>
    <dataValidation type="list" allowBlank="1" showInputMessage="1" showErrorMessage="1" sqref="C1 C7:C8 C11:C12 C14" xr:uid="{351A2AAF-D193-4FAA-AFED-9A0A217BEF26}">
      <formula1>Medidas</formula1>
    </dataValidation>
    <dataValidation type="list" allowBlank="1" showInputMessage="1" showErrorMessage="1" sqref="A24:A99 A101 A105:A108 A112:A117 A119:A128 A130:A133 A135:A1048576 M4:M8 A1:A22 M10:M1048576" xr:uid="{6B216254-A207-423E-A421-6CE68F439DDA}">
      <formula1>categorias</formula1>
    </dataValidation>
  </dataValidations>
  <pageMargins left="0.70866141732283472" right="0.70866141732283472" top="0.74803149606299213" bottom="0.74803149606299213" header="0.31496062992125984" footer="0.31496062992125984"/>
  <pageSetup paperSize="9" scale="92" fitToHeight="0" orientation="landscape" r:id="rId1"/>
  <tableParts count="4">
    <tablePart r:id="rId2"/>
    <tablePart r:id="rId3"/>
    <tablePart r:id="rId4"/>
    <tablePart r:id="rId5"/>
  </tableParts>
  <extLst>
    <ext xmlns:x14="http://schemas.microsoft.com/office/spreadsheetml/2009/9/main" uri="{CCE6A557-97BC-4b89-ADB6-D9C93CAAB3DF}">
      <x14:dataValidations xmlns:xm="http://schemas.microsoft.com/office/excel/2006/main" count="24">
        <x14:dataValidation type="list" allowBlank="1" showInputMessage="1" showErrorMessage="1" xr:uid="{B8DE5393-EEB5-4C29-BCC1-279E6DC4BAC8}">
          <x14:formula1>
            <xm:f>Configuracion!$A$2:$A$74</xm:f>
          </x14:formula1>
          <xm:sqref>M1:M3</xm:sqref>
        </x14:dataValidation>
        <x14:dataValidation type="list" allowBlank="1" showInputMessage="1" showErrorMessage="1" xr:uid="{08F10873-845A-4AFC-896D-C344466B77DB}">
          <x14:formula1>
            <xm:f>Configuracion!$P$2:$P$4</xm:f>
          </x14:formula1>
          <xm:sqref>C52</xm:sqref>
        </x14:dataValidation>
        <x14:dataValidation type="list" allowBlank="1" showInputMessage="1" showErrorMessage="1" xr:uid="{83E3931F-6C3D-4FCE-9BFE-063A8FCC6DC8}">
          <x14:formula1>
            <xm:f>Configuracion!$K$2:$K$4</xm:f>
          </x14:formula1>
          <xm:sqref>C16 C24 C4:C6</xm:sqref>
        </x14:dataValidation>
        <x14:dataValidation type="list" allowBlank="1" showInputMessage="1" showErrorMessage="1" xr:uid="{7FC69D71-5AFC-4D0E-948B-FC79AA0CE8CE}">
          <x14:formula1>
            <xm:f>Configuracion!$K$2:$K$3</xm:f>
          </x14:formula1>
          <xm:sqref>C22</xm:sqref>
        </x14:dataValidation>
        <x14:dataValidation type="list" allowBlank="1" showInputMessage="1" showErrorMessage="1" xr:uid="{4C993AD6-1B02-499E-9521-9667513AF872}">
          <x14:formula1>
            <xm:f>Configuracion!$G$2:$G$5</xm:f>
          </x14:formula1>
          <xm:sqref>C26</xm:sqref>
        </x14:dataValidation>
        <x14:dataValidation type="list" allowBlank="1" showInputMessage="1" showErrorMessage="1" xr:uid="{0F95EB7B-0506-419E-8B8C-D7BAF9909280}">
          <x14:formula1>
            <xm:f>Configuracion!$I$2:$I$7</xm:f>
          </x14:formula1>
          <xm:sqref>C136</xm:sqref>
        </x14:dataValidation>
        <x14:dataValidation type="list" allowBlank="1" showInputMessage="1" showErrorMessage="1" xr:uid="{ABCF4B5D-9063-4AD1-BE3A-251405C5B9B7}">
          <x14:formula1>
            <xm:f>Configuracion!$N$2:$N$9</xm:f>
          </x14:formula1>
          <xm:sqref>C120 C122</xm:sqref>
        </x14:dataValidation>
        <x14:dataValidation type="list" allowBlank="1" showInputMessage="1" showErrorMessage="1" xr:uid="{DFBBC7EF-3020-4B69-B5CB-D3886525A278}">
          <x14:formula1>
            <xm:f>Configuracion!$S$2:$S$10</xm:f>
          </x14:formula1>
          <xm:sqref>C96 C100:C101 C105</xm:sqref>
        </x14:dataValidation>
        <x14:dataValidation type="list" allowBlank="1" showInputMessage="1" showErrorMessage="1" xr:uid="{6323199C-B73B-4952-AF10-29E71331AB33}">
          <x14:formula1>
            <xm:f>Configuracion!$J$2:$J$5</xm:f>
          </x14:formula1>
          <xm:sqref>C25 C19:C20 C9:C10</xm:sqref>
        </x14:dataValidation>
        <x14:dataValidation type="list" allowBlank="1" showInputMessage="1" showErrorMessage="1" xr:uid="{B578C26D-C835-45E2-A0F4-EB2879D5836A}">
          <x14:formula1>
            <xm:f>Configuracion!$J$2:$J$3</xm:f>
          </x14:formula1>
          <xm:sqref>C23</xm:sqref>
        </x14:dataValidation>
        <x14:dataValidation type="list" allowBlank="1" showInputMessage="1" showErrorMessage="1" xr:uid="{FE935924-CB12-4A67-93E4-FDC117379640}">
          <x14:formula1>
            <xm:f>Configuracion!$H$2:$H$6</xm:f>
          </x14:formula1>
          <xm:sqref>C21</xm:sqref>
        </x14:dataValidation>
        <x14:dataValidation type="list" allowBlank="1" showInputMessage="1" showErrorMessage="1" xr:uid="{225F5C36-C358-4021-9158-4EEF44B147A1}">
          <x14:formula1>
            <xm:f>Configuracion!$H$2:$H$5</xm:f>
          </x14:formula1>
          <xm:sqref>C2</xm:sqref>
        </x14:dataValidation>
        <x14:dataValidation type="list" allowBlank="1" showInputMessage="1" showErrorMessage="1" xr:uid="{22437FE1-AE49-47D7-996A-40C2B0851DF2}">
          <x14:formula1>
            <xm:f>Configuracion!$Q$2:$Q$7</xm:f>
          </x14:formula1>
          <xm:sqref>C66:C67 C53 C70</xm:sqref>
        </x14:dataValidation>
        <x14:dataValidation type="list" allowBlank="1" showInputMessage="1" showErrorMessage="1" xr:uid="{42AF795F-81B7-465E-928E-0B3B224E210A}">
          <x14:formula1>
            <xm:f>Configuracion!$F$2:$F$10</xm:f>
          </x14:formula1>
          <xm:sqref>C64:C65 C125:C126</xm:sqref>
        </x14:dataValidation>
        <x14:dataValidation type="list" allowBlank="1" showInputMessage="1" showErrorMessage="1" xr:uid="{36CEDA65-B8C4-49E5-8473-06F258D121C5}">
          <x14:formula1>
            <xm:f>Configuracion!$F$2:$F$9</xm:f>
          </x14:formula1>
          <xm:sqref>C63</xm:sqref>
        </x14:dataValidation>
        <x14:dataValidation type="list" allowBlank="1" showInputMessage="1" showErrorMessage="1" xr:uid="{E204640C-7DF9-441F-8615-F29F29EEE379}">
          <x14:formula1>
            <xm:f>Configuracion!$F$2:$F$8</xm:f>
          </x14:formula1>
          <xm:sqref>C61:C62</xm:sqref>
        </x14:dataValidation>
        <x14:dataValidation type="list" allowBlank="1" showInputMessage="1" showErrorMessage="1" xr:uid="{4E863B45-B9C2-4CA0-98B5-AC4574D7161A}">
          <x14:formula1>
            <xm:f>Configuracion!$O$2:$O$7</xm:f>
          </x14:formula1>
          <xm:sqref>C38 C41</xm:sqref>
        </x14:dataValidation>
        <x14:dataValidation type="list" allowBlank="1" showInputMessage="1" showErrorMessage="1" xr:uid="{06E78889-8370-4F9D-BD15-D3229A455638}">
          <x14:formula1>
            <xm:f>Configuracion!$F$2:$F$7</xm:f>
          </x14:formula1>
          <xm:sqref>C32</xm:sqref>
        </x14:dataValidation>
        <x14:dataValidation type="list" allowBlank="1" showInputMessage="1" showErrorMessage="1" xr:uid="{FEDDE663-595F-4359-8B30-A58644CB8D4C}">
          <x14:formula1>
            <xm:f>Configuracion!$I$2:$I$5</xm:f>
          </x14:formula1>
          <xm:sqref>C3</xm:sqref>
        </x14:dataValidation>
        <x14:dataValidation type="list" allowBlank="1" showInputMessage="1" showErrorMessage="1" xr:uid="{DAB025CD-B785-484D-B653-6D8239019941}">
          <x14:formula1>
            <xm:f>Configuracion!$M$2:$M$6</xm:f>
          </x14:formula1>
          <xm:sqref>C18</xm:sqref>
        </x14:dataValidation>
        <x14:dataValidation type="list" allowBlank="1" showInputMessage="1" showErrorMessage="1" xr:uid="{545B00E0-B0CE-4BE8-A831-AB09C0887839}">
          <x14:formula1>
            <xm:f>Configuracion!$F$2:$F$3</xm:f>
          </x14:formula1>
          <xm:sqref>C17</xm:sqref>
        </x14:dataValidation>
        <x14:dataValidation type="list" allowBlank="1" showInputMessage="1" showErrorMessage="1" xr:uid="{9E549F42-B6AC-48B0-98AC-329C5A327163}">
          <x14:formula1>
            <xm:f>Configuracion!$F$2:$F$5</xm:f>
          </x14:formula1>
          <xm:sqref>C13 C28:C29</xm:sqref>
        </x14:dataValidation>
        <x14:dataValidation type="list" allowBlank="1" showInputMessage="1" showErrorMessage="1" xr:uid="{6F9459D1-C764-4F40-9D53-4B324BC26EC2}">
          <x14:formula1>
            <xm:f>Configuracion!$G$2:$G$3</xm:f>
          </x14:formula1>
          <xm:sqref>C27 C31 C127:C128</xm:sqref>
        </x14:dataValidation>
        <x14:dataValidation type="list" allowBlank="1" showInputMessage="1" showErrorMessage="1" xr:uid="{FB2E0A08-F617-4694-A136-111C486A3147}">
          <x14:formula1>
            <xm:f>Configuracion!$S$2:$S$11</xm:f>
          </x14:formula1>
          <xm:sqref>C15 C30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
  <sheetViews>
    <sheetView workbookViewId="0">
      <selection activeCell="G23" sqref="G23"/>
    </sheetView>
  </sheetViews>
  <sheetFormatPr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V103"/>
  <sheetViews>
    <sheetView workbookViewId="0">
      <selection activeCell="I18" sqref="I18"/>
    </sheetView>
  </sheetViews>
  <sheetFormatPr defaultRowHeight="15" x14ac:dyDescent="0.25"/>
  <cols>
    <col min="1" max="1" width="22.140625" bestFit="1" customWidth="1"/>
    <col min="2" max="2" width="10.7109375" customWidth="1"/>
    <col min="5" max="5" width="11.28515625" customWidth="1"/>
    <col min="6" max="6" width="14" bestFit="1" customWidth="1"/>
    <col min="7" max="7" width="9" bestFit="1" customWidth="1"/>
    <col min="8" max="8" width="11.28515625" bestFit="1" customWidth="1"/>
    <col min="9" max="9" width="14.28515625" bestFit="1" customWidth="1"/>
    <col min="10" max="10" width="12.5703125" bestFit="1" customWidth="1"/>
    <col min="11" max="11" width="11.28515625" bestFit="1" customWidth="1"/>
    <col min="12" max="12" width="9" bestFit="1" customWidth="1"/>
    <col min="13" max="13" width="8.85546875" bestFit="1" customWidth="1"/>
    <col min="14" max="14" width="18.85546875" bestFit="1" customWidth="1"/>
    <col min="15" max="15" width="10.5703125" bestFit="1" customWidth="1"/>
    <col min="16" max="16" width="11" bestFit="1" customWidth="1"/>
    <col min="17" max="17" width="8.42578125" bestFit="1" customWidth="1"/>
    <col min="18" max="18" width="13.85546875" bestFit="1" customWidth="1"/>
  </cols>
  <sheetData>
    <row r="1" spans="1:22" x14ac:dyDescent="0.25">
      <c r="A1" s="2" t="s">
        <v>34</v>
      </c>
      <c r="F1" t="s">
        <v>11</v>
      </c>
      <c r="G1" t="s">
        <v>32</v>
      </c>
      <c r="H1" t="s">
        <v>35</v>
      </c>
      <c r="I1" t="s">
        <v>40</v>
      </c>
      <c r="J1" t="s">
        <v>43</v>
      </c>
      <c r="K1" t="s">
        <v>44</v>
      </c>
      <c r="L1" t="s">
        <v>54</v>
      </c>
      <c r="M1" t="s">
        <v>61</v>
      </c>
      <c r="N1" t="s">
        <v>59</v>
      </c>
      <c r="O1" t="s">
        <v>86</v>
      </c>
      <c r="P1" t="s">
        <v>105</v>
      </c>
      <c r="Q1" t="s">
        <v>109</v>
      </c>
      <c r="R1" t="s">
        <v>174</v>
      </c>
      <c r="S1" t="s">
        <v>175</v>
      </c>
      <c r="T1" s="8" t="s">
        <v>404</v>
      </c>
      <c r="U1" t="s">
        <v>212</v>
      </c>
      <c r="V1" t="s">
        <v>160</v>
      </c>
    </row>
    <row r="2" spans="1:22" x14ac:dyDescent="0.25">
      <c r="A2" t="s">
        <v>100</v>
      </c>
      <c r="F2" t="s">
        <v>119</v>
      </c>
      <c r="G2" t="s">
        <v>225</v>
      </c>
      <c r="H2" t="s">
        <v>37</v>
      </c>
      <c r="I2" t="s">
        <v>256</v>
      </c>
      <c r="J2" t="s">
        <v>66</v>
      </c>
      <c r="K2" t="s">
        <v>70</v>
      </c>
      <c r="M2" t="s">
        <v>614</v>
      </c>
      <c r="N2" t="s">
        <v>52</v>
      </c>
      <c r="P2" t="s">
        <v>107</v>
      </c>
      <c r="Q2" t="s">
        <v>127</v>
      </c>
      <c r="R2" t="s">
        <v>236</v>
      </c>
      <c r="S2" t="s">
        <v>237</v>
      </c>
      <c r="T2" t="s">
        <v>541</v>
      </c>
      <c r="U2" t="s">
        <v>470</v>
      </c>
      <c r="V2" t="s">
        <v>662</v>
      </c>
    </row>
    <row r="3" spans="1:22" x14ac:dyDescent="0.25">
      <c r="A3" t="s">
        <v>326</v>
      </c>
      <c r="F3" s="4" t="s">
        <v>50</v>
      </c>
      <c r="G3" t="s">
        <v>72</v>
      </c>
      <c r="H3" t="s">
        <v>38</v>
      </c>
      <c r="J3" t="s">
        <v>65</v>
      </c>
      <c r="K3" t="s">
        <v>69</v>
      </c>
      <c r="P3" t="s">
        <v>108</v>
      </c>
      <c r="Q3" t="s">
        <v>128</v>
      </c>
      <c r="S3" t="s">
        <v>553</v>
      </c>
      <c r="T3" t="s">
        <v>653</v>
      </c>
      <c r="U3" t="s">
        <v>108</v>
      </c>
      <c r="V3" t="s">
        <v>663</v>
      </c>
    </row>
    <row r="4" spans="1:22" x14ac:dyDescent="0.25">
      <c r="A4" t="s">
        <v>43</v>
      </c>
      <c r="F4" t="s">
        <v>79</v>
      </c>
      <c r="G4" t="s">
        <v>294</v>
      </c>
      <c r="H4" t="s">
        <v>103</v>
      </c>
      <c r="K4" t="s">
        <v>67</v>
      </c>
      <c r="P4" t="s">
        <v>106</v>
      </c>
      <c r="Q4" t="s">
        <v>129</v>
      </c>
      <c r="T4" t="s">
        <v>654</v>
      </c>
    </row>
    <row r="5" spans="1:22" x14ac:dyDescent="0.25">
      <c r="A5" t="s">
        <v>313</v>
      </c>
      <c r="F5" s="5" t="s">
        <v>30</v>
      </c>
      <c r="G5" t="s">
        <v>33</v>
      </c>
      <c r="K5" t="s">
        <v>45</v>
      </c>
      <c r="P5" t="s">
        <v>477</v>
      </c>
      <c r="Q5" t="s">
        <v>130</v>
      </c>
      <c r="T5" t="s">
        <v>655</v>
      </c>
    </row>
    <row r="6" spans="1:22" x14ac:dyDescent="0.25">
      <c r="A6" t="s">
        <v>475</v>
      </c>
      <c r="F6" t="s">
        <v>77</v>
      </c>
      <c r="G6" t="s">
        <v>52</v>
      </c>
      <c r="K6" t="s">
        <v>64</v>
      </c>
      <c r="Q6" t="s">
        <v>125</v>
      </c>
    </row>
    <row r="7" spans="1:22" x14ac:dyDescent="0.25">
      <c r="A7" t="s">
        <v>139</v>
      </c>
      <c r="F7" t="s">
        <v>58</v>
      </c>
      <c r="I7" t="s">
        <v>41</v>
      </c>
      <c r="K7" t="s">
        <v>307</v>
      </c>
      <c r="Q7" t="s">
        <v>126</v>
      </c>
    </row>
    <row r="8" spans="1:22" x14ac:dyDescent="0.25">
      <c r="A8" t="s">
        <v>109</v>
      </c>
      <c r="F8" t="s">
        <v>121</v>
      </c>
    </row>
    <row r="9" spans="1:22" x14ac:dyDescent="0.25">
      <c r="A9" t="s">
        <v>478</v>
      </c>
      <c r="F9" s="3" t="s">
        <v>31</v>
      </c>
      <c r="L9" t="s">
        <v>55</v>
      </c>
      <c r="M9" t="s">
        <v>63</v>
      </c>
      <c r="N9" t="s">
        <v>33</v>
      </c>
      <c r="O9" t="s">
        <v>52</v>
      </c>
    </row>
    <row r="10" spans="1:22" x14ac:dyDescent="0.25">
      <c r="A10" t="s">
        <v>476</v>
      </c>
      <c r="F10" t="s">
        <v>123</v>
      </c>
    </row>
    <row r="11" spans="1:22" x14ac:dyDescent="0.25">
      <c r="A11" t="s">
        <v>116</v>
      </c>
      <c r="F11" t="s">
        <v>296</v>
      </c>
    </row>
    <row r="12" spans="1:22" x14ac:dyDescent="0.25">
      <c r="A12" s="1" t="s">
        <v>92</v>
      </c>
    </row>
    <row r="13" spans="1:22" x14ac:dyDescent="0.25">
      <c r="A13" t="s">
        <v>215</v>
      </c>
    </row>
    <row r="14" spans="1:22" x14ac:dyDescent="0.25">
      <c r="A14" t="s">
        <v>382</v>
      </c>
    </row>
    <row r="15" spans="1:22" x14ac:dyDescent="0.25">
      <c r="A15" t="s">
        <v>143</v>
      </c>
    </row>
    <row r="16" spans="1:22" x14ac:dyDescent="0.25">
      <c r="A16" t="s">
        <v>409</v>
      </c>
    </row>
    <row r="17" spans="1:1" x14ac:dyDescent="0.25">
      <c r="A17" t="s">
        <v>89</v>
      </c>
    </row>
    <row r="18" spans="1:1" x14ac:dyDescent="0.25">
      <c r="A18" t="s">
        <v>253</v>
      </c>
    </row>
    <row r="19" spans="1:1" x14ac:dyDescent="0.25">
      <c r="A19" t="s">
        <v>46</v>
      </c>
    </row>
    <row r="20" spans="1:1" x14ac:dyDescent="0.25">
      <c r="A20" t="s">
        <v>368</v>
      </c>
    </row>
    <row r="21" spans="1:1" x14ac:dyDescent="0.25">
      <c r="A21" t="s">
        <v>436</v>
      </c>
    </row>
    <row r="22" spans="1:1" x14ac:dyDescent="0.25">
      <c r="A22" t="s">
        <v>404</v>
      </c>
    </row>
    <row r="23" spans="1:1" x14ac:dyDescent="0.25">
      <c r="A23" t="s">
        <v>173</v>
      </c>
    </row>
    <row r="24" spans="1:1" x14ac:dyDescent="0.25">
      <c r="A24" t="s">
        <v>53</v>
      </c>
    </row>
    <row r="25" spans="1:1" x14ac:dyDescent="0.25">
      <c r="A25" t="s">
        <v>83</v>
      </c>
    </row>
    <row r="26" spans="1:1" x14ac:dyDescent="0.25">
      <c r="A26" t="s">
        <v>242</v>
      </c>
    </row>
    <row r="27" spans="1:1" x14ac:dyDescent="0.25">
      <c r="A27" t="s">
        <v>191</v>
      </c>
    </row>
    <row r="28" spans="1:1" x14ac:dyDescent="0.25">
      <c r="A28" t="s">
        <v>174</v>
      </c>
    </row>
    <row r="29" spans="1:1" x14ac:dyDescent="0.25">
      <c r="A29" t="s">
        <v>427</v>
      </c>
    </row>
    <row r="30" spans="1:1" x14ac:dyDescent="0.25">
      <c r="A30" t="s">
        <v>188</v>
      </c>
    </row>
    <row r="31" spans="1:1" x14ac:dyDescent="0.25">
      <c r="A31" t="s">
        <v>80</v>
      </c>
    </row>
    <row r="32" spans="1:1" x14ac:dyDescent="0.25">
      <c r="A32" t="s">
        <v>35</v>
      </c>
    </row>
    <row r="33" spans="1:1" x14ac:dyDescent="0.25">
      <c r="A33" t="s">
        <v>352</v>
      </c>
    </row>
    <row r="34" spans="1:1" x14ac:dyDescent="0.25">
      <c r="A34" t="s">
        <v>386</v>
      </c>
    </row>
    <row r="35" spans="1:1" x14ac:dyDescent="0.25">
      <c r="A35" t="s">
        <v>371</v>
      </c>
    </row>
    <row r="36" spans="1:1" x14ac:dyDescent="0.25">
      <c r="A36" t="s">
        <v>160</v>
      </c>
    </row>
    <row r="37" spans="1:1" x14ac:dyDescent="0.25">
      <c r="A37" t="s">
        <v>61</v>
      </c>
    </row>
    <row r="38" spans="1:1" x14ac:dyDescent="0.25">
      <c r="A38" t="s">
        <v>135</v>
      </c>
    </row>
    <row r="39" spans="1:1" x14ac:dyDescent="0.25">
      <c r="A39" t="s">
        <v>226</v>
      </c>
    </row>
    <row r="40" spans="1:1" x14ac:dyDescent="0.25">
      <c r="A40" t="s">
        <v>105</v>
      </c>
    </row>
    <row r="41" spans="1:1" x14ac:dyDescent="0.25">
      <c r="A41" t="s">
        <v>482</v>
      </c>
    </row>
    <row r="42" spans="1:1" x14ac:dyDescent="0.25">
      <c r="A42" t="s">
        <v>210</v>
      </c>
    </row>
    <row r="43" spans="1:1" x14ac:dyDescent="0.25">
      <c r="A43" t="s">
        <v>97</v>
      </c>
    </row>
    <row r="44" spans="1:1" x14ac:dyDescent="0.25">
      <c r="A44" t="s">
        <v>154</v>
      </c>
    </row>
    <row r="45" spans="1:1" x14ac:dyDescent="0.25">
      <c r="A45" t="s">
        <v>156</v>
      </c>
    </row>
    <row r="46" spans="1:1" x14ac:dyDescent="0.25">
      <c r="A46" t="s">
        <v>12</v>
      </c>
    </row>
    <row r="47" spans="1:1" x14ac:dyDescent="0.25">
      <c r="A47" t="s">
        <v>32</v>
      </c>
    </row>
    <row r="48" spans="1:1" x14ac:dyDescent="0.25">
      <c r="A48" t="s">
        <v>59</v>
      </c>
    </row>
    <row r="49" spans="1:1" x14ac:dyDescent="0.25">
      <c r="A49" t="s">
        <v>483</v>
      </c>
    </row>
    <row r="50" spans="1:1" x14ac:dyDescent="0.25">
      <c r="A50" t="s">
        <v>211</v>
      </c>
    </row>
    <row r="51" spans="1:1" x14ac:dyDescent="0.25">
      <c r="A51" t="s">
        <v>111</v>
      </c>
    </row>
    <row r="52" spans="1:1" x14ac:dyDescent="0.25">
      <c r="A52" t="s">
        <v>241</v>
      </c>
    </row>
    <row r="53" spans="1:1" x14ac:dyDescent="0.25">
      <c r="A53" t="s">
        <v>40</v>
      </c>
    </row>
    <row r="54" spans="1:1" x14ac:dyDescent="0.25">
      <c r="A54" t="s">
        <v>195</v>
      </c>
    </row>
    <row r="55" spans="1:1" x14ac:dyDescent="0.25">
      <c r="A55" t="s">
        <v>480</v>
      </c>
    </row>
    <row r="56" spans="1:1" x14ac:dyDescent="0.25">
      <c r="A56" t="s">
        <v>146</v>
      </c>
    </row>
    <row r="57" spans="1:1" x14ac:dyDescent="0.25">
      <c r="A57" t="s">
        <v>320</v>
      </c>
    </row>
    <row r="58" spans="1:1" x14ac:dyDescent="0.25">
      <c r="A58" t="s">
        <v>140</v>
      </c>
    </row>
    <row r="59" spans="1:1" x14ac:dyDescent="0.25">
      <c r="A59" t="s">
        <v>151</v>
      </c>
    </row>
    <row r="60" spans="1:1" x14ac:dyDescent="0.25">
      <c r="A60" t="s">
        <v>144</v>
      </c>
    </row>
    <row r="61" spans="1:1" x14ac:dyDescent="0.25">
      <c r="A61" t="s">
        <v>388</v>
      </c>
    </row>
    <row r="62" spans="1:1" x14ac:dyDescent="0.25">
      <c r="A62" t="s">
        <v>258</v>
      </c>
    </row>
    <row r="63" spans="1:1" x14ac:dyDescent="0.25">
      <c r="A63" t="s">
        <v>86</v>
      </c>
    </row>
    <row r="64" spans="1:1" x14ac:dyDescent="0.25">
      <c r="A64" t="s">
        <v>131</v>
      </c>
    </row>
    <row r="65" spans="1:1" x14ac:dyDescent="0.25">
      <c r="A65" t="s">
        <v>243</v>
      </c>
    </row>
    <row r="66" spans="1:1" x14ac:dyDescent="0.25">
      <c r="A66" t="s">
        <v>244</v>
      </c>
    </row>
    <row r="67" spans="1:1" x14ac:dyDescent="0.25">
      <c r="A67" t="s">
        <v>400</v>
      </c>
    </row>
    <row r="68" spans="1:1" x14ac:dyDescent="0.25">
      <c r="A68" t="s">
        <v>394</v>
      </c>
    </row>
    <row r="69" spans="1:1" x14ac:dyDescent="0.25">
      <c r="A69" t="s">
        <v>217</v>
      </c>
    </row>
    <row r="70" spans="1:1" x14ac:dyDescent="0.25">
      <c r="A70" t="s">
        <v>95</v>
      </c>
    </row>
    <row r="71" spans="1:1" x14ac:dyDescent="0.25">
      <c r="A71" t="s">
        <v>44</v>
      </c>
    </row>
    <row r="72" spans="1:1" x14ac:dyDescent="0.25">
      <c r="A72" t="s">
        <v>193</v>
      </c>
    </row>
    <row r="73" spans="1:1" x14ac:dyDescent="0.25">
      <c r="A73" t="s">
        <v>485</v>
      </c>
    </row>
    <row r="74" spans="1:1" x14ac:dyDescent="0.25">
      <c r="A74" t="s">
        <v>479</v>
      </c>
    </row>
    <row r="75" spans="1:1" x14ac:dyDescent="0.25">
      <c r="A75" t="s">
        <v>88</v>
      </c>
    </row>
    <row r="76" spans="1:1" x14ac:dyDescent="0.25">
      <c r="A76" t="s">
        <v>481</v>
      </c>
    </row>
    <row r="77" spans="1:1" x14ac:dyDescent="0.25">
      <c r="A77" t="s">
        <v>87</v>
      </c>
    </row>
    <row r="78" spans="1:1" x14ac:dyDescent="0.25">
      <c r="A78" t="s">
        <v>403</v>
      </c>
    </row>
    <row r="79" spans="1:1" x14ac:dyDescent="0.25">
      <c r="A79" t="s">
        <v>147</v>
      </c>
    </row>
    <row r="80" spans="1:1" x14ac:dyDescent="0.25">
      <c r="A80" t="s">
        <v>90</v>
      </c>
    </row>
    <row r="81" spans="1:1" x14ac:dyDescent="0.25">
      <c r="A81" t="s">
        <v>11</v>
      </c>
    </row>
    <row r="82" spans="1:1" x14ac:dyDescent="0.25">
      <c r="A82" t="s">
        <v>54</v>
      </c>
    </row>
    <row r="83" spans="1:1" x14ac:dyDescent="0.25">
      <c r="A83" t="s">
        <v>175</v>
      </c>
    </row>
    <row r="84" spans="1:1" x14ac:dyDescent="0.25">
      <c r="A84" t="s">
        <v>489</v>
      </c>
    </row>
    <row r="85" spans="1:1" x14ac:dyDescent="0.25">
      <c r="A85" t="s">
        <v>492</v>
      </c>
    </row>
    <row r="86" spans="1:1" x14ac:dyDescent="0.25">
      <c r="A86" t="s">
        <v>494</v>
      </c>
    </row>
    <row r="87" spans="1:1" x14ac:dyDescent="0.25">
      <c r="A87" t="s">
        <v>495</v>
      </c>
    </row>
    <row r="88" spans="1:1" x14ac:dyDescent="0.25">
      <c r="A88" t="s">
        <v>504</v>
      </c>
    </row>
    <row r="89" spans="1:1" x14ac:dyDescent="0.25">
      <c r="A89" t="s">
        <v>505</v>
      </c>
    </row>
    <row r="90" spans="1:1" x14ac:dyDescent="0.25">
      <c r="A90" t="s">
        <v>506</v>
      </c>
    </row>
    <row r="91" spans="1:1" x14ac:dyDescent="0.25">
      <c r="A91" t="s">
        <v>507</v>
      </c>
    </row>
    <row r="92" spans="1:1" x14ac:dyDescent="0.25">
      <c r="A92" t="s">
        <v>508</v>
      </c>
    </row>
    <row r="93" spans="1:1" x14ac:dyDescent="0.25">
      <c r="A93" t="s">
        <v>512</v>
      </c>
    </row>
    <row r="94" spans="1:1" x14ac:dyDescent="0.25">
      <c r="A94" t="s">
        <v>515</v>
      </c>
    </row>
    <row r="95" spans="1:1" x14ac:dyDescent="0.25">
      <c r="A95" t="s">
        <v>516</v>
      </c>
    </row>
    <row r="96" spans="1:1" x14ac:dyDescent="0.25">
      <c r="A96" t="s">
        <v>517</v>
      </c>
    </row>
    <row r="97" spans="1:1" x14ac:dyDescent="0.25">
      <c r="A97" t="s">
        <v>518</v>
      </c>
    </row>
    <row r="98" spans="1:1" x14ac:dyDescent="0.25">
      <c r="A98" t="s">
        <v>523</v>
      </c>
    </row>
    <row r="99" spans="1:1" x14ac:dyDescent="0.25">
      <c r="A99" t="s">
        <v>527</v>
      </c>
    </row>
    <row r="100" spans="1:1" x14ac:dyDescent="0.25">
      <c r="A100" t="s">
        <v>569</v>
      </c>
    </row>
    <row r="101" spans="1:1" x14ac:dyDescent="0.25">
      <c r="A101" t="s">
        <v>628</v>
      </c>
    </row>
    <row r="102" spans="1:1" x14ac:dyDescent="0.25">
      <c r="A102" t="s">
        <v>635</v>
      </c>
    </row>
    <row r="103" spans="1:1" x14ac:dyDescent="0.25">
      <c r="A103" t="s">
        <v>641</v>
      </c>
    </row>
  </sheetData>
  <dataValidations count="1">
    <dataValidation type="list" allowBlank="1" showInputMessage="1" showErrorMessage="1" sqref="A5 T1" xr:uid="{CA02A1E7-7F8B-4366-B3D8-3CEE4A6D4640}">
      <formula1>categorias</formula1>
    </dataValidation>
  </dataValidations>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45</vt:i4>
      </vt:variant>
    </vt:vector>
  </HeadingPairs>
  <TitlesOfParts>
    <vt:vector size="53" baseType="lpstr">
      <vt:lpstr>Movil 51</vt:lpstr>
      <vt:lpstr>Movil 56</vt:lpstr>
      <vt:lpstr>Movil 41</vt:lpstr>
      <vt:lpstr>Movil 39</vt:lpstr>
      <vt:lpstr>Movil 52</vt:lpstr>
      <vt:lpstr>Movil 42</vt:lpstr>
      <vt:lpstr>Inventario general</vt:lpstr>
      <vt:lpstr>Configuracion</vt:lpstr>
      <vt:lpstr>'Movil 39'!Bolsos</vt:lpstr>
      <vt:lpstr>'Movil 42'!Bolsos</vt:lpstr>
      <vt:lpstr>Bolsos</vt:lpstr>
      <vt:lpstr>'Movil 39'!BolsosM41</vt:lpstr>
      <vt:lpstr>'Movil 42'!BolsosM41</vt:lpstr>
      <vt:lpstr>BolsosM41</vt:lpstr>
      <vt:lpstr>'Movil 42'!BolsosM52</vt:lpstr>
      <vt:lpstr>BolsosM52</vt:lpstr>
      <vt:lpstr>'Movil 39'!Cajoneras</vt:lpstr>
      <vt:lpstr>'Movil 42'!Cajoneras</vt:lpstr>
      <vt:lpstr>Cajoneras</vt:lpstr>
      <vt:lpstr>'Movil 39'!CajonerasM39</vt:lpstr>
      <vt:lpstr>'Movil 42'!CajonerasM39</vt:lpstr>
      <vt:lpstr>CajonerasM39</vt:lpstr>
      <vt:lpstr>'Movil 42'!CajonerasM41</vt:lpstr>
      <vt:lpstr>CajonerasM41</vt:lpstr>
      <vt:lpstr>'Movil 42'!CajonerasM52</vt:lpstr>
      <vt:lpstr>CajonerasM52</vt:lpstr>
      <vt:lpstr>'Movil 39'!categorias</vt:lpstr>
      <vt:lpstr>'Movil 42'!categorias</vt:lpstr>
      <vt:lpstr>categorias</vt:lpstr>
      <vt:lpstr>'Movil 42'!categoriasDeMedidas</vt:lpstr>
      <vt:lpstr>categoriasDeMedidas</vt:lpstr>
      <vt:lpstr>'Movil 39'!Compartimientos</vt:lpstr>
      <vt:lpstr>'Movil 42'!Compartimientos</vt:lpstr>
      <vt:lpstr>Compartimientos</vt:lpstr>
      <vt:lpstr>'Movil 42'!CompartimientosM39</vt:lpstr>
      <vt:lpstr>CompartimientosM39</vt:lpstr>
      <vt:lpstr>'Movil 39'!CompartimientosM41</vt:lpstr>
      <vt:lpstr>'Movil 42'!CompartimientosM41</vt:lpstr>
      <vt:lpstr>CompartimientosM41</vt:lpstr>
      <vt:lpstr>'Movil 42'!CompartimientosM52</vt:lpstr>
      <vt:lpstr>CompartimientosM52</vt:lpstr>
      <vt:lpstr>'Movil 39'!Medidas</vt:lpstr>
      <vt:lpstr>'Movil 42'!Medidas</vt:lpstr>
      <vt:lpstr>Medidas</vt:lpstr>
      <vt:lpstr>'Movil 42'!medidasDeCategorias</vt:lpstr>
      <vt:lpstr>medidasDeCategorias</vt:lpstr>
      <vt:lpstr>'Movil 42'!Print_Area</vt:lpstr>
      <vt:lpstr>'Movil 51'!Print_Area</vt:lpstr>
      <vt:lpstr>'Movil 42'!Print_Titles</vt:lpstr>
      <vt:lpstr>'Movil 51'!Print_Titles</vt:lpstr>
      <vt:lpstr>'Movil 39'!validacion</vt:lpstr>
      <vt:lpstr>'Movil 42'!validacion</vt:lpstr>
      <vt:lpstr>validacion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2019-02-27T22:31:19Z</dcterms:modified>
</cp:coreProperties>
</file>