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0_ncr:8100000_{51D65CB8-E9F2-43CC-A20A-9BC57DD3E396}" xr6:coauthVersionLast="34" xr6:coauthVersionMax="34" xr10:uidLastSave="{00000000-0000-0000-0000-000000000000}"/>
  <bookViews>
    <workbookView xWindow="0" yWindow="0" windowWidth="22260" windowHeight="12645" activeTab="2" xr2:uid="{00000000-000D-0000-FFFF-FFFF00000000}"/>
  </bookViews>
  <sheets>
    <sheet name="Movil 51" sheetId="1" r:id="rId1"/>
    <sheet name="Movil 41" sheetId="4" r:id="rId2"/>
    <sheet name="Movil 39" sheetId="5" r:id="rId3"/>
    <sheet name="Inventario general" sheetId="2" r:id="rId4"/>
    <sheet name="Configuracion" sheetId="3" r:id="rId5"/>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ca" localSheetId="2">#REF!</definedName>
    <definedName name="ca">#REF!</definedName>
    <definedName name="Cajoneras" localSheetId="2">Table5[#Headers]</definedName>
    <definedName name="Cajoneras">Table5[#Headers]</definedName>
    <definedName name="CajonerasM39">Table51115[#Headers]</definedName>
    <definedName name="CajonerasM41" localSheetId="2">Table51115[#Headers]</definedName>
    <definedName name="CajonerasM41">Table511[#Headers]</definedName>
    <definedName name="categorias" localSheetId="2">Table4[[#All],[Categorias disponibles]]</definedName>
    <definedName name="categorias">Table4[[#All],[Categorias disponibles]]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Medidas" localSheetId="2">Table3[#All]</definedName>
    <definedName name="Medidas">Table3[#All]</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3" i="4" l="1"/>
  <c r="B11" i="4"/>
  <c r="B8" i="4"/>
  <c r="B5" i="4"/>
  <c r="B18" i="1"/>
  <c r="B12" i="4"/>
  <c r="B10" i="4"/>
  <c r="B7" i="4"/>
  <c r="B4" i="4"/>
  <c r="B118" i="1"/>
  <c r="B119" i="1"/>
  <c r="B29" i="1"/>
  <c r="B80" i="1"/>
  <c r="B79" i="1"/>
</calcChain>
</file>

<file path=xl/sharedStrings.xml><?xml version="1.0" encoding="utf-8"?>
<sst xmlns="http://schemas.openxmlformats.org/spreadsheetml/2006/main" count="970" uniqueCount="335">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</sst>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3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31" dataDxfId="30">
  <autoFilter ref="A1:H136" xr:uid="{00000000-0009-0000-0100-000001000000}"/>
  <sortState ref="A2:H135">
    <sortCondition ref="G2:G135"/>
    <sortCondition ref="H2:H135"/>
    <sortCondition ref="A2:A135"/>
  </sortState>
  <tableColumns count="8">
    <tableColumn id="1" xr3:uid="{00000000-0010-0000-0000-000001000000}" name="Categoria" dataDxfId="29"/>
    <tableColumn id="2" xr3:uid="{00000000-0010-0000-0000-000002000000}" name="Descripcion" dataDxfId="28"/>
    <tableColumn id="3" xr3:uid="{00000000-0010-0000-0000-000003000000}" name="Medidas" dataDxfId="27"/>
    <tableColumn id="4" xr3:uid="{00000000-0010-0000-0000-000004000000}" name="marca" dataDxfId="26"/>
    <tableColumn id="5" xr3:uid="{00000000-0010-0000-0000-000005000000}" name="N/ de serie" dataDxfId="25"/>
    <tableColumn id="7" xr3:uid="{20A560DE-96A4-4C20-8E3B-6987DAD27B3D}" name="cant" dataDxfId="24"/>
    <tableColumn id="6" xr3:uid="{00000000-0010-0000-0000-000006000000}" name="Cajonera" dataDxfId="23"/>
    <tableColumn id="8" xr3:uid="{6A730937-5917-4102-A73F-F22FC5E46982}" name="Compartimiento" dataDxfId="2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3" totalsRowShown="0" headerRowDxfId="21" dataDxfId="20">
  <autoFilter ref="A1:H13" xr:uid="{00254174-483B-40DF-A806-D062C22867F7}"/>
  <sortState ref="A2:H135">
    <sortCondition ref="G2:G135"/>
    <sortCondition ref="H2:H135"/>
    <sortCondition ref="A2:A135"/>
  </sortState>
  <tableColumns count="8">
    <tableColumn id="1" xr3:uid="{5C129E02-49ED-404D-8803-23BEEE082B13}" name="Categoria" dataDxfId="19"/>
    <tableColumn id="2" xr3:uid="{08752A4C-B745-47BD-916C-8371AA823B30}" name="Descripcion" dataDxfId="18"/>
    <tableColumn id="3" xr3:uid="{D9947D9F-91DC-48F8-80F0-740777B930CC}" name="Medidas" dataDxfId="17"/>
    <tableColumn id="4" xr3:uid="{83541DD3-29AB-4FE0-9DE9-7D8BE5E78196}" name="marca" dataDxfId="16"/>
    <tableColumn id="5" xr3:uid="{9713A367-BEFE-4DF4-8B3D-E3AF8E87D8E7}" name="N/ de serie" dataDxfId="15"/>
    <tableColumn id="7" xr3:uid="{9D266E2D-E8B4-43A5-8816-E295D94D2A54}" name="cant" dataDxfId="14"/>
    <tableColumn id="6" xr3:uid="{4AF3B0F9-84DE-4653-A23E-C2CFBC721A37}" name="Cajonera" dataDxfId="13"/>
    <tableColumn id="8" xr3:uid="{255D225F-46DC-4AF1-9C5F-A6DC06571BC6}" name="Compartimiento" dataDxfId="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30" totalsRowShown="0">
  <autoFilter ref="J3:L30"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11" totalsRowShown="0">
  <autoFilter ref="N3:N11" xr:uid="{FB2636B5-DD04-42AA-9889-74DC28C61E72}"/>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U8" totalsRowShown="0">
  <autoFilter ref="P4:U8" xr:uid="{2FBCFBAD-01BE-43D1-BA81-5E73E891A103}"/>
  <tableColumns count="6">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9" dataDxfId="8">
  <autoFilter ref="A1:H16" xr:uid="{00254174-483B-40DF-A806-D062C22867F7}"/>
  <sortState ref="A2:H135">
    <sortCondition ref="G2:G135"/>
    <sortCondition ref="H2:H135"/>
    <sortCondition ref="A2:A135"/>
  </sortState>
  <tableColumns count="8">
    <tableColumn id="1" xr3:uid="{7762CF18-0359-4492-B4ED-710C2ACA3AD8}" name="Categoria" dataDxfId="7"/>
    <tableColumn id="2" xr3:uid="{982DCC3C-D12D-4640-A32E-79F71F293297}" name="Descripcion" dataDxfId="6"/>
    <tableColumn id="3" xr3:uid="{C74DD3A9-C890-46F2-B066-1E8734A70F10}" name="Medidas" dataDxfId="5"/>
    <tableColumn id="4" xr3:uid="{99E6F613-CBD2-473A-BDCE-1F04B38ED8A1}" name="marca" dataDxfId="4"/>
    <tableColumn id="5" xr3:uid="{D00DBFC2-B0D3-40E1-AACD-2CEA831C5A4A}" name="N/ de serie" dataDxfId="3"/>
    <tableColumn id="7" xr3:uid="{B766F210-A0F3-4E00-BCA4-192046AAC52E}" name="cant" dataDxfId="2"/>
    <tableColumn id="6" xr3:uid="{8D465A67-0F78-40E6-9E8A-323E2CC14EBF}" name="Cajonera" dataDxfId="1"/>
    <tableColumn id="8" xr3:uid="{3E183286-0CB5-4BAA-96D9-64884EE8C037}" name="Compartimiento"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6" totalsRowShown="0" headerRowDxfId="11" tableBorderDxfId="10">
  <autoFilter ref="A1:A56" xr:uid="{174CB354-0B9D-4924-BB13-8A0DA131CB54}"/>
  <sortState ref="A2:A56">
    <sortCondition ref="A1:A56"/>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6"/>
  <sheetViews>
    <sheetView workbookViewId="0">
      <pane ySplit="1" topLeftCell="A2" activePane="bottomLeft" state="frozen"/>
      <selection pane="bottomLeft" activeCell="B18" sqref="B18"/>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264</v>
      </c>
      <c r="G1" s="6" t="s">
        <v>13</v>
      </c>
      <c r="H1" s="6" t="s">
        <v>256</v>
      </c>
    </row>
    <row r="2" spans="1:22" x14ac:dyDescent="0.25">
      <c r="A2" s="6" t="s">
        <v>104</v>
      </c>
      <c r="B2" s="9" t="s">
        <v>86</v>
      </c>
      <c r="C2" s="8"/>
      <c r="D2" s="8" t="s">
        <v>103</v>
      </c>
      <c r="E2" s="8">
        <v>315000341</v>
      </c>
      <c r="F2" s="8">
        <v>1</v>
      </c>
      <c r="G2" s="8" t="s">
        <v>8</v>
      </c>
      <c r="H2" s="8">
        <v>1</v>
      </c>
    </row>
    <row r="3" spans="1:22" x14ac:dyDescent="0.25">
      <c r="A3" s="8" t="s">
        <v>266</v>
      </c>
      <c r="B3" s="9" t="s">
        <v>86</v>
      </c>
      <c r="C3" s="8"/>
      <c r="D3" s="8"/>
      <c r="E3" s="8"/>
      <c r="F3" s="8">
        <v>1</v>
      </c>
      <c r="G3" s="8" t="s">
        <v>8</v>
      </c>
      <c r="H3" s="8">
        <v>1</v>
      </c>
      <c r="J3" t="s">
        <v>16</v>
      </c>
      <c r="K3" t="s">
        <v>18</v>
      </c>
      <c r="L3" t="s">
        <v>14</v>
      </c>
      <c r="N3" t="s">
        <v>28</v>
      </c>
      <c r="P3" s="12" t="s">
        <v>254</v>
      </c>
      <c r="Q3" s="12"/>
      <c r="R3" s="12"/>
      <c r="S3" s="12"/>
      <c r="T3" s="12"/>
      <c r="U3" s="12"/>
    </row>
    <row r="4" spans="1:22" x14ac:dyDescent="0.25">
      <c r="A4" s="8" t="s">
        <v>102</v>
      </c>
      <c r="B4" s="9" t="s">
        <v>86</v>
      </c>
      <c r="C4" s="8"/>
      <c r="D4" s="8" t="s">
        <v>103</v>
      </c>
      <c r="E4" s="8">
        <v>28999</v>
      </c>
      <c r="F4" s="8">
        <v>1</v>
      </c>
      <c r="G4" s="8" t="s">
        <v>8</v>
      </c>
      <c r="H4" s="8">
        <v>1</v>
      </c>
      <c r="J4" t="s">
        <v>17</v>
      </c>
      <c r="K4">
        <v>2</v>
      </c>
      <c r="L4" t="s">
        <v>15</v>
      </c>
      <c r="N4" t="s">
        <v>15</v>
      </c>
      <c r="P4" t="s">
        <v>8</v>
      </c>
      <c r="Q4" t="s">
        <v>5</v>
      </c>
      <c r="R4" t="s">
        <v>6</v>
      </c>
      <c r="S4" t="s">
        <v>9</v>
      </c>
      <c r="T4" t="s">
        <v>10</v>
      </c>
      <c r="U4" t="s">
        <v>7</v>
      </c>
      <c r="V4" t="s">
        <v>36</v>
      </c>
    </row>
    <row r="5" spans="1:22" x14ac:dyDescent="0.25">
      <c r="A5" s="8" t="s">
        <v>107</v>
      </c>
      <c r="B5" s="9" t="s">
        <v>108</v>
      </c>
      <c r="C5" s="8"/>
      <c r="D5" s="8" t="s">
        <v>103</v>
      </c>
      <c r="E5" s="8">
        <v>150181011</v>
      </c>
      <c r="F5" s="8">
        <v>2</v>
      </c>
      <c r="G5" s="8" t="s">
        <v>8</v>
      </c>
      <c r="H5" s="8">
        <v>2</v>
      </c>
      <c r="J5" t="s">
        <v>19</v>
      </c>
      <c r="K5">
        <v>2</v>
      </c>
      <c r="L5" t="s">
        <v>15</v>
      </c>
      <c r="N5" t="s">
        <v>29</v>
      </c>
      <c r="P5">
        <v>1</v>
      </c>
      <c r="Q5">
        <v>1</v>
      </c>
      <c r="R5">
        <v>1</v>
      </c>
      <c r="S5">
        <v>1</v>
      </c>
      <c r="T5">
        <v>1</v>
      </c>
      <c r="U5" t="s">
        <v>255</v>
      </c>
      <c r="V5" t="s">
        <v>36</v>
      </c>
    </row>
    <row r="6" spans="1:22" x14ac:dyDescent="0.25">
      <c r="A6" s="8" t="s">
        <v>107</v>
      </c>
      <c r="B6" s="9" t="s">
        <v>109</v>
      </c>
      <c r="C6" s="8" t="s">
        <v>110</v>
      </c>
      <c r="D6" s="8"/>
      <c r="E6" s="8"/>
      <c r="F6" s="8">
        <v>1</v>
      </c>
      <c r="G6" s="8" t="s">
        <v>8</v>
      </c>
      <c r="H6" s="8">
        <v>2</v>
      </c>
      <c r="J6" t="s">
        <v>20</v>
      </c>
      <c r="K6">
        <v>1</v>
      </c>
      <c r="L6" t="s">
        <v>15</v>
      </c>
      <c r="N6" t="s">
        <v>96</v>
      </c>
      <c r="P6">
        <v>2</v>
      </c>
      <c r="T6">
        <v>2</v>
      </c>
      <c r="U6" t="s">
        <v>257</v>
      </c>
    </row>
    <row r="7" spans="1:22" x14ac:dyDescent="0.25">
      <c r="A7" s="8" t="s">
        <v>107</v>
      </c>
      <c r="B7" s="9" t="s">
        <v>109</v>
      </c>
      <c r="C7" s="8" t="s">
        <v>111</v>
      </c>
      <c r="D7" s="8"/>
      <c r="E7" s="8"/>
      <c r="F7" s="8">
        <v>1</v>
      </c>
      <c r="G7" s="8" t="s">
        <v>8</v>
      </c>
      <c r="H7" s="8">
        <v>2</v>
      </c>
      <c r="J7" t="s">
        <v>21</v>
      </c>
      <c r="K7">
        <v>1</v>
      </c>
      <c r="L7" t="s">
        <v>15</v>
      </c>
      <c r="N7" t="s">
        <v>153</v>
      </c>
      <c r="P7">
        <v>3</v>
      </c>
      <c r="T7">
        <v>3</v>
      </c>
      <c r="U7" t="s">
        <v>258</v>
      </c>
    </row>
    <row r="8" spans="1:22" x14ac:dyDescent="0.25">
      <c r="A8" s="8" t="s">
        <v>107</v>
      </c>
      <c r="B8" s="9" t="s">
        <v>120</v>
      </c>
      <c r="C8" s="8"/>
      <c r="D8" s="8" t="s">
        <v>103</v>
      </c>
      <c r="E8" s="8"/>
      <c r="F8" s="8">
        <v>2</v>
      </c>
      <c r="G8" s="8" t="s">
        <v>8</v>
      </c>
      <c r="H8" s="8">
        <v>2</v>
      </c>
      <c r="J8" t="s">
        <v>22</v>
      </c>
      <c r="K8">
        <v>1</v>
      </c>
      <c r="L8" t="s">
        <v>15</v>
      </c>
      <c r="N8" t="s">
        <v>161</v>
      </c>
      <c r="P8">
        <v>4</v>
      </c>
    </row>
    <row r="9" spans="1:22" x14ac:dyDescent="0.25">
      <c r="A9" s="8" t="s">
        <v>116</v>
      </c>
      <c r="B9" s="9" t="s">
        <v>117</v>
      </c>
      <c r="C9" s="8" t="s">
        <v>134</v>
      </c>
      <c r="D9" s="8"/>
      <c r="E9" s="8"/>
      <c r="F9" s="8">
        <v>2</v>
      </c>
      <c r="G9" s="8" t="s">
        <v>8</v>
      </c>
      <c r="H9" s="8">
        <v>2</v>
      </c>
      <c r="J9" t="s">
        <v>24</v>
      </c>
      <c r="K9">
        <v>1</v>
      </c>
      <c r="L9" t="s">
        <v>15</v>
      </c>
      <c r="N9" t="s">
        <v>204</v>
      </c>
    </row>
    <row r="10" spans="1:22" x14ac:dyDescent="0.25">
      <c r="A10" s="8" t="s">
        <v>116</v>
      </c>
      <c r="B10" s="9" t="s">
        <v>121</v>
      </c>
      <c r="C10" s="8"/>
      <c r="D10" s="8"/>
      <c r="E10" s="8"/>
      <c r="F10" s="8">
        <v>1</v>
      </c>
      <c r="G10" s="8" t="s">
        <v>8</v>
      </c>
      <c r="H10" s="8">
        <v>2</v>
      </c>
      <c r="J10" t="s">
        <v>25</v>
      </c>
      <c r="K10">
        <v>1</v>
      </c>
      <c r="L10" t="s">
        <v>15</v>
      </c>
      <c r="N10" t="s">
        <v>29</v>
      </c>
    </row>
    <row r="11" spans="1:22" x14ac:dyDescent="0.25">
      <c r="A11" s="8" t="s">
        <v>267</v>
      </c>
      <c r="B11" s="9"/>
      <c r="C11" s="8"/>
      <c r="D11" s="8" t="s">
        <v>103</v>
      </c>
      <c r="E11" s="8"/>
      <c r="F11" s="8">
        <v>1</v>
      </c>
      <c r="G11" s="8" t="s">
        <v>8</v>
      </c>
      <c r="H11" s="8">
        <v>2</v>
      </c>
      <c r="J11" t="s">
        <v>26</v>
      </c>
      <c r="K11">
        <v>4</v>
      </c>
      <c r="L11" t="s">
        <v>15</v>
      </c>
    </row>
    <row r="12" spans="1:22" ht="30" x14ac:dyDescent="0.25">
      <c r="A12" s="8" t="s">
        <v>112</v>
      </c>
      <c r="B12" s="9"/>
      <c r="C12" s="8" t="s">
        <v>114</v>
      </c>
      <c r="D12" s="8"/>
      <c r="E12" s="8"/>
      <c r="F12" s="8">
        <v>5</v>
      </c>
      <c r="G12" s="8" t="s">
        <v>8</v>
      </c>
      <c r="H12" s="8">
        <v>2</v>
      </c>
      <c r="J12" t="s">
        <v>23</v>
      </c>
      <c r="K12">
        <v>1</v>
      </c>
      <c r="L12" t="s">
        <v>15</v>
      </c>
    </row>
    <row r="13" spans="1:22" x14ac:dyDescent="0.25">
      <c r="A13" s="8" t="s">
        <v>118</v>
      </c>
      <c r="B13" s="9" t="s">
        <v>119</v>
      </c>
      <c r="C13" s="8"/>
      <c r="D13" s="8"/>
      <c r="E13" s="8"/>
      <c r="F13" s="8">
        <v>1</v>
      </c>
      <c r="G13" s="8" t="s">
        <v>8</v>
      </c>
      <c r="H13" s="8">
        <v>2</v>
      </c>
      <c r="J13" t="s">
        <v>97</v>
      </c>
      <c r="K13">
        <v>7</v>
      </c>
      <c r="L13" t="s">
        <v>96</v>
      </c>
    </row>
    <row r="14" spans="1:22" x14ac:dyDescent="0.25">
      <c r="A14" s="8" t="s">
        <v>268</v>
      </c>
      <c r="B14" s="9" t="s">
        <v>105</v>
      </c>
      <c r="C14" s="8"/>
      <c r="D14" s="8" t="s">
        <v>106</v>
      </c>
      <c r="E14" s="8"/>
      <c r="F14" s="8">
        <v>1</v>
      </c>
      <c r="G14" s="8" t="s">
        <v>8</v>
      </c>
      <c r="H14" s="8">
        <v>2</v>
      </c>
      <c r="J14" t="s">
        <v>98</v>
      </c>
      <c r="K14">
        <v>2</v>
      </c>
      <c r="L14" t="s">
        <v>96</v>
      </c>
    </row>
    <row r="15" spans="1:22" x14ac:dyDescent="0.25">
      <c r="A15" s="8" t="s">
        <v>269</v>
      </c>
      <c r="B15" s="9" t="s">
        <v>105</v>
      </c>
      <c r="C15" s="8"/>
      <c r="D15" s="8"/>
      <c r="E15" s="8"/>
      <c r="F15" s="8">
        <v>1</v>
      </c>
      <c r="G15" s="8" t="s">
        <v>8</v>
      </c>
      <c r="H15" s="8">
        <v>2</v>
      </c>
      <c r="J15" t="s">
        <v>99</v>
      </c>
      <c r="K15">
        <v>3</v>
      </c>
      <c r="L15" t="s">
        <v>96</v>
      </c>
    </row>
    <row r="16" spans="1:22" x14ac:dyDescent="0.25">
      <c r="A16" s="8" t="s">
        <v>123</v>
      </c>
      <c r="B16" s="9"/>
      <c r="C16" s="8" t="s">
        <v>124</v>
      </c>
      <c r="D16" s="8"/>
      <c r="E16" s="8"/>
      <c r="F16" s="8">
        <v>1</v>
      </c>
      <c r="G16" s="8" t="s">
        <v>8</v>
      </c>
      <c r="H16" s="8">
        <v>3</v>
      </c>
      <c r="J16" t="s">
        <v>100</v>
      </c>
      <c r="K16">
        <v>1</v>
      </c>
      <c r="L16" t="s">
        <v>96</v>
      </c>
    </row>
    <row r="17" spans="1:12" x14ac:dyDescent="0.25">
      <c r="A17" s="8" t="s">
        <v>123</v>
      </c>
      <c r="B17" s="9"/>
      <c r="C17" s="8" t="s">
        <v>38</v>
      </c>
      <c r="D17" s="8"/>
      <c r="E17" s="8"/>
      <c r="F17" s="8">
        <v>1</v>
      </c>
      <c r="G17" s="8" t="s">
        <v>8</v>
      </c>
      <c r="H17" s="8">
        <v>3</v>
      </c>
      <c r="J17" t="s">
        <v>98</v>
      </c>
      <c r="K17">
        <v>3</v>
      </c>
      <c r="L17" t="s">
        <v>153</v>
      </c>
    </row>
    <row r="18" spans="1:12"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row>
    <row r="19" spans="1:12" x14ac:dyDescent="0.25">
      <c r="A19" s="8" t="s">
        <v>92</v>
      </c>
      <c r="B19" s="9"/>
      <c r="C19" s="8"/>
      <c r="D19" s="8"/>
      <c r="E19" s="8"/>
      <c r="F19" s="8">
        <v>3</v>
      </c>
      <c r="G19" s="8" t="s">
        <v>8</v>
      </c>
      <c r="H19" s="8">
        <v>3</v>
      </c>
      <c r="J19" t="s">
        <v>155</v>
      </c>
      <c r="K19">
        <v>1</v>
      </c>
      <c r="L19" t="s">
        <v>153</v>
      </c>
    </row>
    <row r="20" spans="1:12" x14ac:dyDescent="0.25">
      <c r="A20" s="8" t="s">
        <v>87</v>
      </c>
      <c r="B20" s="9"/>
      <c r="C20" s="8" t="s">
        <v>52</v>
      </c>
      <c r="D20" s="8"/>
      <c r="E20" s="8"/>
      <c r="F20" s="8">
        <v>1</v>
      </c>
      <c r="G20" s="8" t="s">
        <v>8</v>
      </c>
      <c r="H20" s="8">
        <v>3</v>
      </c>
      <c r="J20" t="s">
        <v>156</v>
      </c>
      <c r="K20">
        <v>1</v>
      </c>
      <c r="L20" t="s">
        <v>153</v>
      </c>
    </row>
    <row r="21" spans="1:12" x14ac:dyDescent="0.25">
      <c r="A21" s="8" t="s">
        <v>90</v>
      </c>
      <c r="B21" s="9" t="s">
        <v>91</v>
      </c>
      <c r="C21" s="8"/>
      <c r="D21" s="8"/>
      <c r="E21" s="8"/>
      <c r="F21" s="8">
        <v>4</v>
      </c>
      <c r="G21" s="8" t="s">
        <v>8</v>
      </c>
      <c r="H21" s="8">
        <v>3</v>
      </c>
      <c r="J21" t="s">
        <v>157</v>
      </c>
      <c r="K21">
        <v>1</v>
      </c>
      <c r="L21" t="s">
        <v>153</v>
      </c>
    </row>
    <row r="22" spans="1:12" x14ac:dyDescent="0.25">
      <c r="A22" s="8" t="s">
        <v>90</v>
      </c>
      <c r="B22" s="9" t="s">
        <v>122</v>
      </c>
      <c r="C22" s="8"/>
      <c r="D22" s="8"/>
      <c r="E22" s="8"/>
      <c r="F22" s="8">
        <v>1</v>
      </c>
      <c r="G22" s="8" t="s">
        <v>8</v>
      </c>
      <c r="H22" s="8">
        <v>3</v>
      </c>
      <c r="J22" t="s">
        <v>158</v>
      </c>
      <c r="K22">
        <v>1</v>
      </c>
      <c r="L22" t="s">
        <v>153</v>
      </c>
    </row>
    <row r="23" spans="1:12" x14ac:dyDescent="0.25">
      <c r="A23" s="8" t="s">
        <v>88</v>
      </c>
      <c r="B23" s="9" t="s">
        <v>89</v>
      </c>
      <c r="C23" s="8"/>
      <c r="D23" s="8"/>
      <c r="E23" s="8"/>
      <c r="F23" s="8">
        <v>2</v>
      </c>
      <c r="G23" s="8" t="s">
        <v>8</v>
      </c>
      <c r="H23" s="8">
        <v>3</v>
      </c>
      <c r="J23" t="s">
        <v>159</v>
      </c>
      <c r="K23">
        <v>2</v>
      </c>
      <c r="L23" t="s">
        <v>153</v>
      </c>
    </row>
    <row r="24" spans="1:12" x14ac:dyDescent="0.25">
      <c r="A24" s="8" t="s">
        <v>93</v>
      </c>
      <c r="B24" s="9" t="s">
        <v>94</v>
      </c>
      <c r="C24" s="8"/>
      <c r="D24" s="8"/>
      <c r="E24" s="8"/>
      <c r="F24" s="8">
        <v>1</v>
      </c>
      <c r="G24" s="8" t="s">
        <v>8</v>
      </c>
      <c r="H24" s="8">
        <v>3</v>
      </c>
      <c r="J24" t="s">
        <v>160</v>
      </c>
      <c r="K24">
        <v>1</v>
      </c>
      <c r="L24" t="s">
        <v>153</v>
      </c>
    </row>
    <row r="25" spans="1:12" x14ac:dyDescent="0.25">
      <c r="A25" s="8" t="s">
        <v>84</v>
      </c>
      <c r="B25" s="9" t="s">
        <v>270</v>
      </c>
      <c r="C25" s="8"/>
      <c r="D25" s="8"/>
      <c r="E25" s="8"/>
      <c r="F25" s="8">
        <v>1</v>
      </c>
      <c r="G25" s="8" t="s">
        <v>8</v>
      </c>
      <c r="H25" s="8">
        <v>4</v>
      </c>
      <c r="J25" t="s">
        <v>162</v>
      </c>
      <c r="K25">
        <v>10</v>
      </c>
      <c r="L25" t="s">
        <v>161</v>
      </c>
    </row>
    <row r="26" spans="1:12" x14ac:dyDescent="0.25">
      <c r="A26" s="8" t="s">
        <v>81</v>
      </c>
      <c r="B26" s="9" t="s">
        <v>82</v>
      </c>
      <c r="C26" s="8"/>
      <c r="D26" s="8" t="s">
        <v>83</v>
      </c>
      <c r="E26" s="8">
        <v>25</v>
      </c>
      <c r="F26" s="8">
        <v>1</v>
      </c>
      <c r="G26" s="8" t="s">
        <v>8</v>
      </c>
      <c r="H26" s="8">
        <v>4</v>
      </c>
      <c r="J26" t="s">
        <v>163</v>
      </c>
      <c r="K26">
        <v>4</v>
      </c>
      <c r="L26" t="s">
        <v>161</v>
      </c>
    </row>
    <row r="27" spans="1:12" ht="30" x14ac:dyDescent="0.25">
      <c r="A27" s="8" t="s">
        <v>81</v>
      </c>
      <c r="B27" s="9" t="s">
        <v>85</v>
      </c>
      <c r="C27" s="8"/>
      <c r="D27" s="8"/>
      <c r="E27" s="8"/>
      <c r="F27" s="8">
        <v>1</v>
      </c>
      <c r="G27" s="8" t="s">
        <v>8</v>
      </c>
      <c r="H27" s="8">
        <v>4</v>
      </c>
      <c r="J27" t="s">
        <v>164</v>
      </c>
      <c r="K27">
        <v>3</v>
      </c>
      <c r="L27" t="s">
        <v>161</v>
      </c>
    </row>
    <row r="28" spans="1:12" x14ac:dyDescent="0.25">
      <c r="A28" s="8" t="s">
        <v>266</v>
      </c>
      <c r="B28" s="9" t="s">
        <v>101</v>
      </c>
      <c r="C28" s="8"/>
      <c r="D28" s="8"/>
      <c r="E28" s="8"/>
      <c r="F28" s="8">
        <v>1</v>
      </c>
      <c r="G28" s="8" t="s">
        <v>8</v>
      </c>
      <c r="H28" s="8">
        <v>4</v>
      </c>
      <c r="J28" t="s">
        <v>205</v>
      </c>
      <c r="K28">
        <v>3</v>
      </c>
      <c r="L28" t="s">
        <v>204</v>
      </c>
    </row>
    <row r="29" spans="1:12"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row>
    <row r="30" spans="1:12" x14ac:dyDescent="0.25">
      <c r="A30" s="8" t="s">
        <v>32</v>
      </c>
      <c r="B30" s="9" t="s">
        <v>72</v>
      </c>
      <c r="C30" s="8" t="s">
        <v>33</v>
      </c>
      <c r="D30" s="8" t="s">
        <v>27</v>
      </c>
      <c r="E30" s="8">
        <v>2130600061</v>
      </c>
      <c r="F30" s="8">
        <v>2</v>
      </c>
      <c r="G30" s="8" t="s">
        <v>5</v>
      </c>
      <c r="H30" s="8">
        <v>1</v>
      </c>
      <c r="J30" t="s">
        <v>207</v>
      </c>
      <c r="K30">
        <v>1</v>
      </c>
      <c r="L30" t="s">
        <v>204</v>
      </c>
    </row>
    <row r="31" spans="1:12" x14ac:dyDescent="0.25">
      <c r="A31" s="8" t="s">
        <v>32</v>
      </c>
      <c r="B31" s="9" t="s">
        <v>75</v>
      </c>
      <c r="C31" s="8" t="s">
        <v>73</v>
      </c>
      <c r="D31" s="8" t="s">
        <v>27</v>
      </c>
      <c r="E31" s="8" t="s">
        <v>27</v>
      </c>
      <c r="F31" s="8">
        <v>1</v>
      </c>
      <c r="G31" s="8" t="s">
        <v>5</v>
      </c>
      <c r="H31" s="8">
        <v>1</v>
      </c>
      <c r="J31" t="s">
        <v>218</v>
      </c>
      <c r="K31">
        <v>1</v>
      </c>
      <c r="L31" t="s">
        <v>29</v>
      </c>
    </row>
    <row r="32" spans="1:12" x14ac:dyDescent="0.25">
      <c r="A32" s="8" t="s">
        <v>32</v>
      </c>
      <c r="B32" s="9" t="s">
        <v>72</v>
      </c>
      <c r="C32" s="8" t="s">
        <v>73</v>
      </c>
      <c r="D32" s="8" t="s">
        <v>27</v>
      </c>
      <c r="E32" s="8" t="s">
        <v>79</v>
      </c>
      <c r="F32" s="8">
        <v>1</v>
      </c>
      <c r="G32" s="8" t="s">
        <v>5</v>
      </c>
      <c r="H32" s="8">
        <v>1</v>
      </c>
      <c r="J32" t="s">
        <v>148</v>
      </c>
      <c r="K32">
        <v>1</v>
      </c>
      <c r="L32" t="s">
        <v>29</v>
      </c>
    </row>
    <row r="33" spans="1:12" x14ac:dyDescent="0.25">
      <c r="A33" s="8" t="s">
        <v>74</v>
      </c>
      <c r="B33" s="9" t="s">
        <v>72</v>
      </c>
      <c r="C33" s="8" t="s">
        <v>73</v>
      </c>
      <c r="D33" s="8" t="s">
        <v>27</v>
      </c>
      <c r="E33" s="8" t="s">
        <v>27</v>
      </c>
      <c r="F33" s="8">
        <v>1</v>
      </c>
      <c r="G33" s="8" t="s">
        <v>5</v>
      </c>
      <c r="H33" s="8">
        <v>1</v>
      </c>
      <c r="J33" t="s">
        <v>219</v>
      </c>
      <c r="K33">
        <v>1</v>
      </c>
      <c r="L33" t="s">
        <v>29</v>
      </c>
    </row>
    <row r="34" spans="1:12" x14ac:dyDescent="0.25">
      <c r="A34" s="8" t="s">
        <v>11</v>
      </c>
      <c r="B34" s="9" t="s">
        <v>76</v>
      </c>
      <c r="C34" s="8" t="s">
        <v>30</v>
      </c>
      <c r="D34" s="8" t="s">
        <v>27</v>
      </c>
      <c r="E34" s="8" t="s">
        <v>27</v>
      </c>
      <c r="F34" s="8">
        <v>3</v>
      </c>
      <c r="G34" s="8" t="s">
        <v>5</v>
      </c>
      <c r="H34" s="8">
        <v>1</v>
      </c>
      <c r="J34" t="s">
        <v>220</v>
      </c>
      <c r="K34">
        <v>2</v>
      </c>
      <c r="L34" t="s">
        <v>29</v>
      </c>
    </row>
    <row r="35" spans="1:12" x14ac:dyDescent="0.25">
      <c r="A35" s="8" t="s">
        <v>11</v>
      </c>
      <c r="B35" s="9" t="s">
        <v>271</v>
      </c>
      <c r="C35" s="8" t="s">
        <v>30</v>
      </c>
      <c r="D35" s="8" t="s">
        <v>27</v>
      </c>
      <c r="E35" s="8" t="s">
        <v>27</v>
      </c>
      <c r="F35" s="8">
        <v>2</v>
      </c>
      <c r="G35" s="8" t="s">
        <v>5</v>
      </c>
      <c r="H35" s="8">
        <v>1</v>
      </c>
      <c r="J35" t="s">
        <v>221</v>
      </c>
      <c r="K35">
        <v>4</v>
      </c>
      <c r="L35" t="s">
        <v>29</v>
      </c>
    </row>
    <row r="36" spans="1:12" x14ac:dyDescent="0.25">
      <c r="A36" s="8" t="s">
        <v>11</v>
      </c>
      <c r="B36" s="9" t="s">
        <v>77</v>
      </c>
      <c r="C36" s="8" t="s">
        <v>78</v>
      </c>
      <c r="D36" s="8" t="s">
        <v>27</v>
      </c>
      <c r="E36" s="8" t="s">
        <v>27</v>
      </c>
      <c r="F36" s="8">
        <v>1</v>
      </c>
      <c r="G36" s="8" t="s">
        <v>5</v>
      </c>
      <c r="H36" s="8">
        <v>1</v>
      </c>
      <c r="J36" t="s">
        <v>222</v>
      </c>
      <c r="K36">
        <v>1</v>
      </c>
      <c r="L36" t="s">
        <v>29</v>
      </c>
    </row>
    <row r="37" spans="1:12" x14ac:dyDescent="0.25">
      <c r="A37" s="8" t="s">
        <v>11</v>
      </c>
      <c r="B37" s="9" t="s">
        <v>272</v>
      </c>
      <c r="C37" s="8" t="s">
        <v>80</v>
      </c>
      <c r="D37" s="8" t="s">
        <v>27</v>
      </c>
      <c r="E37" s="8" t="s">
        <v>27</v>
      </c>
      <c r="F37" s="8">
        <v>1</v>
      </c>
      <c r="G37" s="8" t="s">
        <v>5</v>
      </c>
      <c r="H37" s="8">
        <v>1</v>
      </c>
      <c r="J37" t="s">
        <v>223</v>
      </c>
      <c r="K37">
        <v>1</v>
      </c>
      <c r="L37" t="s">
        <v>29</v>
      </c>
    </row>
    <row r="38" spans="1:12" x14ac:dyDescent="0.25">
      <c r="A38" s="8" t="s">
        <v>43</v>
      </c>
      <c r="B38" s="9"/>
      <c r="C38" s="8" t="s">
        <v>66</v>
      </c>
      <c r="D38" s="8" t="s">
        <v>27</v>
      </c>
      <c r="E38" s="8" t="s">
        <v>27</v>
      </c>
      <c r="F38" s="8">
        <v>1</v>
      </c>
      <c r="G38" s="8" t="s">
        <v>6</v>
      </c>
      <c r="H38" s="8">
        <v>1</v>
      </c>
      <c r="J38" t="s">
        <v>26</v>
      </c>
      <c r="K38">
        <v>1</v>
      </c>
      <c r="L38" t="s">
        <v>29</v>
      </c>
    </row>
    <row r="39" spans="1:12" x14ac:dyDescent="0.25">
      <c r="A39" s="8" t="s">
        <v>43</v>
      </c>
      <c r="B39" s="9" t="s">
        <v>273</v>
      </c>
      <c r="C39" s="8" t="s">
        <v>66</v>
      </c>
      <c r="D39" s="8" t="s">
        <v>27</v>
      </c>
      <c r="E39" s="8" t="s">
        <v>27</v>
      </c>
      <c r="F39" s="8">
        <v>1</v>
      </c>
      <c r="G39" s="8" t="s">
        <v>6</v>
      </c>
      <c r="H39" s="8">
        <v>1</v>
      </c>
      <c r="J39" t="s">
        <v>224</v>
      </c>
      <c r="K39">
        <v>4</v>
      </c>
      <c r="L39" t="s">
        <v>29</v>
      </c>
    </row>
    <row r="40" spans="1:12" x14ac:dyDescent="0.25">
      <c r="A40" s="8" t="s">
        <v>43</v>
      </c>
      <c r="B40" s="9"/>
      <c r="C40" s="8" t="s">
        <v>66</v>
      </c>
      <c r="D40" s="8" t="s">
        <v>27</v>
      </c>
      <c r="E40" s="8" t="s">
        <v>27</v>
      </c>
      <c r="F40" s="8">
        <v>1</v>
      </c>
      <c r="G40" s="8" t="s">
        <v>6</v>
      </c>
      <c r="H40" s="8">
        <v>1</v>
      </c>
      <c r="J40" t="s">
        <v>225</v>
      </c>
      <c r="K40">
        <v>1</v>
      </c>
      <c r="L40" t="s">
        <v>29</v>
      </c>
    </row>
    <row r="41" spans="1:12" x14ac:dyDescent="0.25">
      <c r="A41" s="8" t="s">
        <v>43</v>
      </c>
      <c r="B41" s="9" t="s">
        <v>69</v>
      </c>
      <c r="C41" s="8" t="s">
        <v>67</v>
      </c>
      <c r="D41" s="8" t="s">
        <v>27</v>
      </c>
      <c r="E41" s="8" t="s">
        <v>27</v>
      </c>
      <c r="F41" s="8">
        <v>1</v>
      </c>
      <c r="G41" s="8" t="s">
        <v>6</v>
      </c>
      <c r="H41" s="8">
        <v>1</v>
      </c>
      <c r="J41" t="s">
        <v>226</v>
      </c>
      <c r="K41">
        <v>1</v>
      </c>
      <c r="L41" t="s">
        <v>29</v>
      </c>
    </row>
    <row r="42" spans="1:12" x14ac:dyDescent="0.25">
      <c r="A42" s="8" t="s">
        <v>43</v>
      </c>
      <c r="B42" s="9"/>
      <c r="C42" s="8" t="s">
        <v>67</v>
      </c>
      <c r="D42" s="8" t="s">
        <v>27</v>
      </c>
      <c r="E42" s="8" t="s">
        <v>27</v>
      </c>
      <c r="F42" s="8">
        <v>1</v>
      </c>
      <c r="G42" s="8" t="s">
        <v>6</v>
      </c>
      <c r="H42" s="8">
        <v>1</v>
      </c>
      <c r="J42" t="s">
        <v>227</v>
      </c>
      <c r="K42">
        <v>1</v>
      </c>
      <c r="L42" t="s">
        <v>29</v>
      </c>
    </row>
    <row r="43" spans="1:12" x14ac:dyDescent="0.25">
      <c r="A43" s="8" t="s">
        <v>46</v>
      </c>
      <c r="B43" s="9"/>
      <c r="C43" s="8"/>
      <c r="D43" s="8" t="s">
        <v>47</v>
      </c>
      <c r="E43" s="8" t="s">
        <v>27</v>
      </c>
      <c r="F43" s="8">
        <v>1</v>
      </c>
      <c r="G43" s="8" t="s">
        <v>6</v>
      </c>
      <c r="H43" s="8">
        <v>1</v>
      </c>
      <c r="J43" t="s">
        <v>228</v>
      </c>
      <c r="K43">
        <v>1</v>
      </c>
      <c r="L43" t="s">
        <v>29</v>
      </c>
    </row>
    <row r="44" spans="1:12" x14ac:dyDescent="0.25">
      <c r="A44" s="8" t="s">
        <v>46</v>
      </c>
      <c r="B44" s="9"/>
      <c r="C44" s="8"/>
      <c r="D44" s="8" t="s">
        <v>48</v>
      </c>
      <c r="E44" s="8" t="s">
        <v>27</v>
      </c>
      <c r="F44" s="8">
        <v>3</v>
      </c>
      <c r="G44" s="8" t="s">
        <v>6</v>
      </c>
      <c r="H44" s="8">
        <v>1</v>
      </c>
      <c r="J44" t="s">
        <v>229</v>
      </c>
      <c r="K44">
        <v>2</v>
      </c>
      <c r="L44" t="s">
        <v>29</v>
      </c>
    </row>
    <row r="45" spans="1:12" x14ac:dyDescent="0.25">
      <c r="A45" s="8" t="s">
        <v>53</v>
      </c>
      <c r="B45" s="9" t="s">
        <v>262</v>
      </c>
      <c r="C45" s="8"/>
      <c r="D45" s="8" t="s">
        <v>27</v>
      </c>
      <c r="E45" s="8" t="s">
        <v>27</v>
      </c>
      <c r="F45" s="8">
        <v>6</v>
      </c>
      <c r="G45" s="8" t="s">
        <v>6</v>
      </c>
      <c r="H45" s="8">
        <v>1</v>
      </c>
      <c r="J45" t="s">
        <v>230</v>
      </c>
      <c r="K45">
        <v>1</v>
      </c>
      <c r="L45" t="s">
        <v>29</v>
      </c>
    </row>
    <row r="46" spans="1:12" x14ac:dyDescent="0.25">
      <c r="A46" s="8" t="s">
        <v>61</v>
      </c>
      <c r="B46" s="9" t="s">
        <v>62</v>
      </c>
      <c r="C46" s="8" t="s">
        <v>63</v>
      </c>
      <c r="D46" s="8" t="s">
        <v>27</v>
      </c>
      <c r="E46" s="8" t="s">
        <v>27</v>
      </c>
      <c r="F46" s="8">
        <v>1</v>
      </c>
      <c r="G46" s="8" t="s">
        <v>6</v>
      </c>
      <c r="H46" s="8">
        <v>1</v>
      </c>
      <c r="J46" t="s">
        <v>231</v>
      </c>
      <c r="K46">
        <v>1</v>
      </c>
      <c r="L46" t="s">
        <v>29</v>
      </c>
    </row>
    <row r="47" spans="1:12" ht="30" x14ac:dyDescent="0.25">
      <c r="A47" s="8" t="s">
        <v>32</v>
      </c>
      <c r="B47" s="9" t="s">
        <v>51</v>
      </c>
      <c r="C47" s="8" t="s">
        <v>52</v>
      </c>
      <c r="D47" s="8" t="s">
        <v>27</v>
      </c>
      <c r="E47" s="8" t="s">
        <v>27</v>
      </c>
      <c r="F47" s="8">
        <v>1</v>
      </c>
      <c r="G47" s="8" t="s">
        <v>6</v>
      </c>
      <c r="H47" s="8">
        <v>1</v>
      </c>
    </row>
    <row r="48" spans="1:12"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xr:uid="{F2DC22E0-CF8D-439B-BECD-43669397755E}">
      <formula1>INDEX(Compartimientos,0,MATCH(OFFSET(INDIRECT(ADDRESS(ROW(), COLUMN())),0,-1),Cajoneras,0))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C22</xm:sqref>
        </x14:dataValidation>
        <x14:dataValidation type="list" allowBlank="1" showInputMessage="1" showErrorMessage="1" xr:uid="{1D081A75-6EF4-4D4E-9A53-FA2DE8B0F5F6}">
          <x14:formula1>
            <xm:f>Configuracion!$K$2:$K$4</xm:f>
          </x14:formula1>
          <xm:sqref>C16 C24 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dimension ref="A1:U136"/>
  <sheetViews>
    <sheetView topLeftCell="K1" workbookViewId="0">
      <selection activeCell="U6" sqref="U6"/>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ht="30" x14ac:dyDescent="0.25">
      <c r="A2" t="s">
        <v>284</v>
      </c>
      <c r="B2" s="9" t="s">
        <v>285</v>
      </c>
      <c r="C2" s="8"/>
      <c r="D2" s="8"/>
      <c r="E2" s="8"/>
      <c r="F2" s="8">
        <v>3</v>
      </c>
      <c r="G2" s="8" t="s">
        <v>283</v>
      </c>
      <c r="H2" s="8">
        <v>1</v>
      </c>
    </row>
    <row r="3" spans="1:21" x14ac:dyDescent="0.25">
      <c r="A3" s="8" t="s">
        <v>88</v>
      </c>
      <c r="B3" s="9" t="s">
        <v>286</v>
      </c>
      <c r="C3" s="8"/>
      <c r="D3" s="8"/>
      <c r="E3" s="8"/>
      <c r="F3" s="8">
        <v>9</v>
      </c>
      <c r="G3" s="8" t="s">
        <v>283</v>
      </c>
      <c r="H3" s="8">
        <v>1</v>
      </c>
      <c r="J3" t="s">
        <v>16</v>
      </c>
      <c r="K3" t="s">
        <v>18</v>
      </c>
      <c r="L3" t="s">
        <v>14</v>
      </c>
      <c r="N3" t="s">
        <v>28</v>
      </c>
      <c r="P3" s="12" t="s">
        <v>254</v>
      </c>
      <c r="Q3" s="12"/>
      <c r="R3" s="12"/>
      <c r="S3" s="12"/>
      <c r="T3" s="12"/>
      <c r="U3" s="12"/>
    </row>
    <row r="4" spans="1:21" ht="45" x14ac:dyDescent="0.25">
      <c r="A4" s="8" t="s">
        <v>95</v>
      </c>
      <c r="B4" s="9" t="str">
        <f>bolso("Bolso de martillo demoledor",Table69[])</f>
        <v xml:space="preserve">Bolso de martillo demoledor Contiene:  Martillo demoledor 220v grande BOSCH D70745 x1,  Mecha x2, </v>
      </c>
      <c r="C4" s="8"/>
      <c r="D4" s="8"/>
      <c r="E4" s="8"/>
      <c r="F4" s="8">
        <v>1</v>
      </c>
      <c r="G4" s="8" t="s">
        <v>283</v>
      </c>
      <c r="H4" s="8">
        <v>1</v>
      </c>
      <c r="J4" t="s">
        <v>288</v>
      </c>
      <c r="K4">
        <v>1</v>
      </c>
      <c r="L4" t="s">
        <v>287</v>
      </c>
      <c r="N4" t="s">
        <v>287</v>
      </c>
      <c r="P4" t="s">
        <v>8</v>
      </c>
      <c r="Q4" t="s">
        <v>5</v>
      </c>
      <c r="R4" t="s">
        <v>6</v>
      </c>
      <c r="S4" t="s">
        <v>9</v>
      </c>
      <c r="T4" t="s">
        <v>10</v>
      </c>
      <c r="U4" t="s">
        <v>283</v>
      </c>
    </row>
    <row r="5" spans="1:21" ht="45" x14ac:dyDescent="0.25">
      <c r="A5" s="8" t="s">
        <v>95</v>
      </c>
      <c r="B5" s="9" t="str">
        <f>bolso("Bolso de rotomartillo",Table69[])</f>
        <v xml:space="preserve">Bolso de rotomartillo Contiene:  Rotomartillo 220v BOSCH GBH5470DCE x1,  Mecha sincel x2,  Mecha x2, </v>
      </c>
      <c r="C5" s="8"/>
      <c r="D5" s="8"/>
      <c r="E5" s="8"/>
      <c r="F5" s="8">
        <v>1</v>
      </c>
      <c r="G5" s="8" t="s">
        <v>283</v>
      </c>
      <c r="H5" s="8">
        <v>1</v>
      </c>
      <c r="J5" t="s">
        <v>289</v>
      </c>
      <c r="K5">
        <v>2</v>
      </c>
      <c r="L5" t="s">
        <v>287</v>
      </c>
      <c r="N5" t="s">
        <v>290</v>
      </c>
      <c r="P5">
        <v>1</v>
      </c>
      <c r="Q5">
        <v>1</v>
      </c>
      <c r="R5">
        <v>1</v>
      </c>
      <c r="S5">
        <v>1</v>
      </c>
      <c r="T5">
        <v>1</v>
      </c>
      <c r="U5">
        <v>1</v>
      </c>
    </row>
    <row r="6" spans="1:21" x14ac:dyDescent="0.25">
      <c r="A6" s="8" t="s">
        <v>12</v>
      </c>
      <c r="B6" s="9" t="s">
        <v>293</v>
      </c>
      <c r="C6" s="8"/>
      <c r="D6" s="8" t="s">
        <v>294</v>
      </c>
      <c r="E6" s="11" t="s">
        <v>295</v>
      </c>
      <c r="F6" s="8">
        <v>1</v>
      </c>
      <c r="G6" s="8" t="s">
        <v>283</v>
      </c>
      <c r="H6" s="8">
        <v>1</v>
      </c>
      <c r="J6" t="s">
        <v>291</v>
      </c>
      <c r="K6">
        <v>1</v>
      </c>
      <c r="L6" t="s">
        <v>290</v>
      </c>
      <c r="N6" t="s">
        <v>296</v>
      </c>
      <c r="P6">
        <v>2</v>
      </c>
      <c r="T6">
        <v>2</v>
      </c>
    </row>
    <row r="7" spans="1:21" ht="90" x14ac:dyDescent="0.25">
      <c r="A7" s="8" t="s">
        <v>95</v>
      </c>
      <c r="B7" s="9" t="str">
        <f>bolso("Bolso de amoladora",Table69[])</f>
        <v xml:space="preserve">Bolso de amoladora Contiene:  Amoladora Dewalt electrica a bateria s/n 580426 x1,  Bateria DeWalt x2,  Cargador de bateria DeWalt DW911-6AR x2,  Herramienta para cambio de disco de amoladora x2, </v>
      </c>
      <c r="C7" s="8"/>
      <c r="D7" s="8" t="s">
        <v>294</v>
      </c>
      <c r="E7" s="8"/>
      <c r="F7" s="8">
        <v>1</v>
      </c>
      <c r="G7" s="8" t="s">
        <v>283</v>
      </c>
      <c r="H7" s="8">
        <v>1</v>
      </c>
      <c r="J7" t="s">
        <v>292</v>
      </c>
      <c r="K7">
        <v>2</v>
      </c>
      <c r="L7" t="s">
        <v>290</v>
      </c>
      <c r="N7" t="s">
        <v>301</v>
      </c>
      <c r="P7">
        <v>3</v>
      </c>
      <c r="T7">
        <v>3</v>
      </c>
    </row>
    <row r="8" spans="1:21" ht="90" x14ac:dyDescent="0.25">
      <c r="A8" s="8" t="s">
        <v>95</v>
      </c>
      <c r="B8" s="9" t="str">
        <f>bolso("Bolso de sierra sable",Table69[])</f>
        <v xml:space="preserve">Bolso de sierra sable Contiene:  Sierra sable Dewalt s/n 959421  x1,  Bateria DeWalt x1, </v>
      </c>
      <c r="C8" s="8"/>
      <c r="D8" s="8" t="s">
        <v>294</v>
      </c>
      <c r="E8" s="8"/>
      <c r="F8" s="8">
        <v>1</v>
      </c>
      <c r="G8" s="8" t="s">
        <v>283</v>
      </c>
      <c r="H8" s="8">
        <v>1</v>
      </c>
      <c r="J8" t="s">
        <v>289</v>
      </c>
      <c r="K8">
        <v>2</v>
      </c>
      <c r="L8" t="s">
        <v>290</v>
      </c>
      <c r="N8" t="s">
        <v>304</v>
      </c>
      <c r="P8">
        <v>4</v>
      </c>
    </row>
    <row r="9" spans="1:21" x14ac:dyDescent="0.25">
      <c r="A9" s="8" t="s">
        <v>88</v>
      </c>
      <c r="B9" s="9" t="s">
        <v>303</v>
      </c>
      <c r="C9" s="8"/>
      <c r="D9" s="8"/>
      <c r="E9" s="8"/>
      <c r="F9" s="8">
        <v>2</v>
      </c>
      <c r="G9" s="8" t="s">
        <v>283</v>
      </c>
      <c r="H9" s="8">
        <v>1</v>
      </c>
      <c r="J9" t="s">
        <v>297</v>
      </c>
      <c r="K9">
        <v>1</v>
      </c>
      <c r="L9" t="s">
        <v>296</v>
      </c>
      <c r="N9" t="s">
        <v>306</v>
      </c>
    </row>
    <row r="10" spans="1:21" ht="30" x14ac:dyDescent="0.25">
      <c r="A10" s="8" t="s">
        <v>95</v>
      </c>
      <c r="B10" s="9" t="str">
        <f>bolso("Bolso de carpintero 1",Table69[])</f>
        <v xml:space="preserve">Bolso de carpintero 1 Contiene:  Martillo x1,  Pinza x1,  Alicate x1, </v>
      </c>
      <c r="C10" s="8"/>
      <c r="D10" s="8"/>
      <c r="E10" s="8"/>
      <c r="F10" s="8">
        <v>1</v>
      </c>
      <c r="G10" s="8" t="s">
        <v>283</v>
      </c>
      <c r="H10" s="8">
        <v>1</v>
      </c>
      <c r="J10" t="s">
        <v>298</v>
      </c>
      <c r="K10">
        <v>2</v>
      </c>
      <c r="L10" t="s">
        <v>296</v>
      </c>
      <c r="N10" t="s">
        <v>307</v>
      </c>
    </row>
    <row r="11" spans="1:21" ht="30" x14ac:dyDescent="0.25">
      <c r="A11" s="8" t="s">
        <v>95</v>
      </c>
      <c r="B11" s="9" t="str">
        <f>bolso("Bolso de carpintero 2",Table69[])</f>
        <v xml:space="preserve">Bolso de carpintero 2 Contiene:  Martillo x1,  Alicate x1, </v>
      </c>
      <c r="C11" s="8"/>
      <c r="D11" s="8"/>
      <c r="E11" s="8"/>
      <c r="F11" s="8">
        <v>1</v>
      </c>
      <c r="G11" s="8" t="s">
        <v>283</v>
      </c>
      <c r="H11" s="8">
        <v>1</v>
      </c>
      <c r="J11" t="s">
        <v>299</v>
      </c>
      <c r="K11">
        <v>2</v>
      </c>
      <c r="L11" t="s">
        <v>296</v>
      </c>
      <c r="N11" t="s">
        <v>312</v>
      </c>
    </row>
    <row r="12" spans="1:21" ht="60" x14ac:dyDescent="0.25">
      <c r="A12" s="8" t="s">
        <v>95</v>
      </c>
      <c r="B12" s="9" t="str">
        <f>bolso("Caja de eslingas 1",Table69[])</f>
        <v xml:space="preserve">Caja de eslingas 1 Contiene:  Eslinga 3tn año 01/2011 x1,  Eslinga 3tn año 01/2012 x1,  Eslinga 6tn año 11/2010 x1,  Eslinga 6tn Sin año x1, </v>
      </c>
      <c r="C12" s="8"/>
      <c r="D12" s="8"/>
      <c r="E12" s="8"/>
      <c r="F12" s="8">
        <v>1</v>
      </c>
      <c r="G12" s="8" t="s">
        <v>283</v>
      </c>
      <c r="H12" s="8">
        <v>1</v>
      </c>
      <c r="J12" t="s">
        <v>300</v>
      </c>
      <c r="K12">
        <v>2</v>
      </c>
      <c r="L12" t="s">
        <v>296</v>
      </c>
    </row>
    <row r="13" spans="1:21" ht="90" x14ac:dyDescent="0.25">
      <c r="A13" s="8" t="s">
        <v>95</v>
      </c>
      <c r="B13" s="9" t="str">
        <f>bolso("Caja de eslingas 2",Table69[])</f>
        <v xml:space="preserve">Caja de eslingas 2 Contiene:  Eslinga fina x1,  Eslinga will 1tn año 02/2013 x1,  Eslinga grande 6TN año 02/2015 x2,  Grillete chico x1,  Grillete mediano x5,  Grillete grande x2,  Grillete muy grande x1, </v>
      </c>
      <c r="C13" s="8"/>
      <c r="D13" s="8"/>
      <c r="E13" s="8"/>
      <c r="F13" s="8">
        <v>1</v>
      </c>
      <c r="G13" s="8" t="s">
        <v>283</v>
      </c>
      <c r="H13" s="8">
        <v>1</v>
      </c>
      <c r="J13" t="s">
        <v>302</v>
      </c>
      <c r="K13">
        <v>1</v>
      </c>
      <c r="L13" t="s">
        <v>301</v>
      </c>
    </row>
    <row r="14" spans="1:21" x14ac:dyDescent="0.25">
      <c r="A14" s="8"/>
      <c r="B14" s="9"/>
      <c r="C14" s="8"/>
      <c r="D14" s="8"/>
      <c r="E14" s="8"/>
      <c r="F14" s="8"/>
      <c r="G14" s="8"/>
      <c r="H14" s="8"/>
      <c r="J14" t="s">
        <v>298</v>
      </c>
      <c r="K14">
        <v>1</v>
      </c>
      <c r="L14" t="s">
        <v>301</v>
      </c>
    </row>
    <row r="15" spans="1:21" x14ac:dyDescent="0.25">
      <c r="A15" s="8"/>
      <c r="B15" s="9"/>
      <c r="C15" s="8"/>
      <c r="D15" s="8"/>
      <c r="E15" s="8"/>
      <c r="F15" s="8"/>
      <c r="G15" s="8"/>
      <c r="H15" s="8"/>
      <c r="J15" t="s">
        <v>19</v>
      </c>
      <c r="K15">
        <v>1</v>
      </c>
      <c r="L15" t="s">
        <v>304</v>
      </c>
    </row>
    <row r="16" spans="1:21" x14ac:dyDescent="0.25">
      <c r="A16" s="8"/>
      <c r="B16" s="9"/>
      <c r="C16" s="8"/>
      <c r="D16" s="8"/>
      <c r="E16" s="8"/>
      <c r="F16" s="8"/>
      <c r="G16" s="8"/>
      <c r="H16" s="8"/>
      <c r="J16" t="s">
        <v>305</v>
      </c>
      <c r="K16">
        <v>1</v>
      </c>
      <c r="L16" t="s">
        <v>304</v>
      </c>
    </row>
    <row r="17" spans="1:12" x14ac:dyDescent="0.25">
      <c r="A17" s="8"/>
      <c r="B17" s="9"/>
      <c r="C17" s="8"/>
      <c r="D17" s="8"/>
      <c r="E17" s="8"/>
      <c r="F17" s="8"/>
      <c r="G17" s="8"/>
      <c r="H17" s="8"/>
      <c r="J17" t="s">
        <v>20</v>
      </c>
      <c r="K17">
        <v>1</v>
      </c>
      <c r="L17" t="s">
        <v>304</v>
      </c>
    </row>
    <row r="18" spans="1:12" x14ac:dyDescent="0.25">
      <c r="A18" s="8"/>
      <c r="B18" s="9"/>
      <c r="C18" s="8"/>
      <c r="D18" s="8"/>
      <c r="E18" s="8"/>
      <c r="F18" s="8"/>
      <c r="G18" s="8"/>
      <c r="H18" s="8"/>
      <c r="J18" t="s">
        <v>19</v>
      </c>
      <c r="K18">
        <v>1</v>
      </c>
      <c r="L18" t="s">
        <v>306</v>
      </c>
    </row>
    <row r="19" spans="1:12" x14ac:dyDescent="0.25">
      <c r="A19" s="8"/>
      <c r="B19" s="9"/>
      <c r="C19" s="8"/>
      <c r="D19" s="8"/>
      <c r="E19" s="8"/>
      <c r="F19" s="8"/>
      <c r="G19" s="8"/>
      <c r="H19" s="8"/>
      <c r="J19" t="s">
        <v>20</v>
      </c>
      <c r="K19">
        <v>1</v>
      </c>
      <c r="L19" t="s">
        <v>306</v>
      </c>
    </row>
    <row r="20" spans="1:12" x14ac:dyDescent="0.25">
      <c r="A20" s="8"/>
      <c r="B20" s="9"/>
      <c r="C20" s="8"/>
      <c r="D20" s="8"/>
      <c r="E20" s="8"/>
      <c r="F20" s="8"/>
      <c r="G20" s="8"/>
      <c r="H20" s="8"/>
      <c r="J20" t="s">
        <v>308</v>
      </c>
      <c r="K20">
        <v>1</v>
      </c>
      <c r="L20" t="s">
        <v>307</v>
      </c>
    </row>
    <row r="21" spans="1:12" x14ac:dyDescent="0.25">
      <c r="A21" s="8"/>
      <c r="B21" s="9"/>
      <c r="C21" s="8"/>
      <c r="D21" s="8"/>
      <c r="E21" s="8"/>
      <c r="F21" s="8"/>
      <c r="G21" s="8"/>
      <c r="H21" s="8"/>
      <c r="J21" t="s">
        <v>309</v>
      </c>
      <c r="K21">
        <v>1</v>
      </c>
      <c r="L21" t="s">
        <v>307</v>
      </c>
    </row>
    <row r="22" spans="1:12" x14ac:dyDescent="0.25">
      <c r="A22" s="8"/>
      <c r="B22" s="9"/>
      <c r="C22" s="8"/>
      <c r="D22" s="8"/>
      <c r="E22" s="8"/>
      <c r="F22" s="8"/>
      <c r="G22" s="8"/>
      <c r="H22" s="8"/>
      <c r="J22" t="s">
        <v>310</v>
      </c>
      <c r="K22">
        <v>1</v>
      </c>
      <c r="L22" t="s">
        <v>307</v>
      </c>
    </row>
    <row r="23" spans="1:12" x14ac:dyDescent="0.25">
      <c r="A23" s="8"/>
      <c r="B23" s="9"/>
      <c r="C23" s="8"/>
      <c r="D23" s="8"/>
      <c r="E23" s="8"/>
      <c r="F23" s="8"/>
      <c r="G23" s="8"/>
      <c r="H23" s="8"/>
      <c r="J23" t="s">
        <v>311</v>
      </c>
      <c r="K23">
        <v>1</v>
      </c>
      <c r="L23" t="s">
        <v>307</v>
      </c>
    </row>
    <row r="24" spans="1:12" x14ac:dyDescent="0.25">
      <c r="A24" s="8"/>
      <c r="B24" s="9"/>
      <c r="C24" s="8"/>
      <c r="D24" s="8"/>
      <c r="E24" s="8"/>
      <c r="F24" s="8"/>
      <c r="G24" s="8"/>
      <c r="H24" s="8"/>
      <c r="J24" t="s">
        <v>313</v>
      </c>
      <c r="K24">
        <v>1</v>
      </c>
      <c r="L24" t="s">
        <v>312</v>
      </c>
    </row>
    <row r="25" spans="1:12" x14ac:dyDescent="0.25">
      <c r="A25" s="8"/>
      <c r="B25" s="9"/>
      <c r="C25" s="8"/>
      <c r="D25" s="8"/>
      <c r="E25" s="8"/>
      <c r="F25" s="8"/>
      <c r="G25" s="8"/>
      <c r="H25" s="8"/>
      <c r="J25" t="s">
        <v>314</v>
      </c>
      <c r="K25">
        <v>1</v>
      </c>
      <c r="L25" t="s">
        <v>312</v>
      </c>
    </row>
    <row r="26" spans="1:12" x14ac:dyDescent="0.25">
      <c r="A26" s="8"/>
      <c r="B26" s="9"/>
      <c r="C26" s="8"/>
      <c r="D26" s="8"/>
      <c r="E26" s="8"/>
      <c r="F26" s="8"/>
      <c r="G26" s="8"/>
      <c r="H26" s="8"/>
      <c r="J26" t="s">
        <v>315</v>
      </c>
      <c r="K26">
        <v>2</v>
      </c>
      <c r="L26" t="s">
        <v>312</v>
      </c>
    </row>
    <row r="27" spans="1:12" x14ac:dyDescent="0.25">
      <c r="A27" s="8"/>
      <c r="B27" s="9"/>
      <c r="C27" s="8"/>
      <c r="D27" s="8"/>
      <c r="E27" s="8"/>
      <c r="F27" s="8"/>
      <c r="G27" s="8"/>
      <c r="H27" s="8"/>
      <c r="J27" t="s">
        <v>316</v>
      </c>
      <c r="K27">
        <v>1</v>
      </c>
      <c r="L27" t="s">
        <v>312</v>
      </c>
    </row>
    <row r="28" spans="1:12" x14ac:dyDescent="0.25">
      <c r="A28" s="8"/>
      <c r="B28" s="9"/>
      <c r="C28" s="8"/>
      <c r="D28" s="8"/>
      <c r="E28" s="8"/>
      <c r="F28" s="8"/>
      <c r="G28" s="8"/>
      <c r="H28" s="8"/>
      <c r="J28" t="s">
        <v>317</v>
      </c>
      <c r="K28">
        <v>5</v>
      </c>
      <c r="L28" t="s">
        <v>312</v>
      </c>
    </row>
    <row r="29" spans="1:12" x14ac:dyDescent="0.25">
      <c r="A29" s="8"/>
      <c r="B29" s="9"/>
      <c r="C29" s="8"/>
      <c r="D29" s="8"/>
      <c r="E29" s="8"/>
      <c r="F29" s="8"/>
      <c r="G29" s="8"/>
      <c r="H29" s="8"/>
      <c r="J29" t="s">
        <v>318</v>
      </c>
      <c r="K29">
        <v>2</v>
      </c>
      <c r="L29" t="s">
        <v>312</v>
      </c>
    </row>
    <row r="30" spans="1:12" x14ac:dyDescent="0.25">
      <c r="A30" s="8"/>
      <c r="B30" s="9"/>
      <c r="C30" s="8"/>
      <c r="D30" s="8"/>
      <c r="E30" s="8"/>
      <c r="F30" s="8"/>
      <c r="G30" s="8"/>
      <c r="H30" s="8"/>
      <c r="J30" t="s">
        <v>319</v>
      </c>
      <c r="K30">
        <v>1</v>
      </c>
      <c r="L30" t="s">
        <v>312</v>
      </c>
    </row>
    <row r="31" spans="1:12" x14ac:dyDescent="0.25">
      <c r="A31" s="8"/>
      <c r="B31" s="9"/>
      <c r="C31" s="8"/>
      <c r="D31" s="8"/>
      <c r="E31" s="8"/>
      <c r="F31" s="8"/>
      <c r="G31" s="8"/>
      <c r="H31" s="8"/>
    </row>
    <row r="32" spans="1:12"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101 A105:A108 A112:A117 A119:A128 A130:A133 A1 A3:A5 A7:A99"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1048576" xr:uid="{8D07CF95-E038-4BE1-B6BC-565113CE26F8}">
      <formula1>INDEX(CompartimientosM41,0,MATCH(OFFSET(INDIRECT(ADDRESS(ROW(), COLUMN())),0,-1),CajonerasM41,0))</formula1>
    </dataValidation>
    <dataValidation type="list" allowBlank="1" showInputMessage="1" showErrorMessage="1" sqref="L1:L8 L13:L14 L18:L19 L31: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4">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C19:C20 C9:C10</xm:sqref>
        </x14:dataValidation>
        <x14:dataValidation type="list" allowBlank="1" showInputMessage="1" showErrorMessage="1" xr:uid="{B57BFDE5-FD9D-4F55-895C-C37B74E8EFDE}">
          <x14:formula1>
            <xm:f>Configuracion!$J$2:$J$3</xm:f>
          </x14:formula1>
          <xm:sqref>C23</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F254E3CC-A1FE-4941-BEF6-F5206863D0FC}">
          <x14:formula1>
            <xm:f>Configuracion!$F$2:$F$8</xm:f>
          </x14:formula1>
          <xm:sqref>C61:C62</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75F0A6A2-119A-407D-BEAC-509EA9493C15}">
          <x14:formula1>
            <xm:f>Configuracion!$O$2:$O$7</xm:f>
          </x14:formula1>
          <xm:sqref>C38 C41</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00C2C509-157B-472B-8F4A-CB86A48C4179}">
          <x14:formula1>
            <xm:f>Configuracion!$M$2:$M$6</xm:f>
          </x14:formula1>
          <xm:sqref>C18</xm:sqref>
        </x14:dataValidation>
        <x14:dataValidation type="list" allowBlank="1" showInputMessage="1" showErrorMessage="1" xr:uid="{97F0B7B0-2C04-4554-BFE4-5271D894DB17}">
          <x14:formula1>
            <xm:f>Configuracion!$F$2:$F$3</xm:f>
          </x14:formula1>
          <xm:sqref>C17</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C16 C24 C4</xm:sqref>
        </x14:dataValidation>
        <x14:dataValidation type="list" allowBlank="1" showInputMessage="1" showErrorMessage="1" xr:uid="{FD54F55D-A593-41F3-9E69-42AB0B9C0A1B}">
          <x14:formula1>
            <xm:f>Configuracion!$K$2:$K$3</xm:f>
          </x14:formula1>
          <xm:sqref>C22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dimension ref="A1:U136"/>
  <sheetViews>
    <sheetView tabSelected="1" workbookViewId="0">
      <selection activeCell="D7" sqref="D7"/>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A2" t="s">
        <v>32</v>
      </c>
      <c r="B2" s="9"/>
      <c r="C2" t="s">
        <v>320</v>
      </c>
      <c r="D2" s="8"/>
      <c r="E2" s="8" t="s">
        <v>321</v>
      </c>
      <c r="F2" s="8">
        <v>1</v>
      </c>
      <c r="G2" s="8" t="s">
        <v>8</v>
      </c>
      <c r="H2" s="8">
        <v>1</v>
      </c>
    </row>
    <row r="3" spans="1:21" x14ac:dyDescent="0.25">
      <c r="A3" s="8" t="s">
        <v>11</v>
      </c>
      <c r="B3" s="9"/>
      <c r="C3" t="s">
        <v>322</v>
      </c>
      <c r="D3" s="8"/>
      <c r="E3" s="8"/>
      <c r="F3" s="8">
        <v>5</v>
      </c>
      <c r="G3" s="8" t="s">
        <v>8</v>
      </c>
      <c r="H3" s="8">
        <v>1</v>
      </c>
      <c r="J3" t="s">
        <v>16</v>
      </c>
      <c r="K3" t="s">
        <v>18</v>
      </c>
      <c r="L3" t="s">
        <v>14</v>
      </c>
      <c r="N3" t="s">
        <v>28</v>
      </c>
      <c r="P3" s="12" t="s">
        <v>254</v>
      </c>
      <c r="Q3" s="12"/>
      <c r="R3" s="12"/>
      <c r="S3" s="12"/>
      <c r="T3" s="12"/>
      <c r="U3" s="12"/>
    </row>
    <row r="4" spans="1:21" x14ac:dyDescent="0.25">
      <c r="A4" s="8" t="s">
        <v>187</v>
      </c>
      <c r="B4" s="9"/>
      <c r="C4" s="8" t="s">
        <v>323</v>
      </c>
      <c r="D4" s="8"/>
      <c r="E4" s="8"/>
      <c r="F4" s="8">
        <v>1</v>
      </c>
      <c r="G4" s="8" t="s">
        <v>324</v>
      </c>
      <c r="H4" s="8">
        <v>1</v>
      </c>
      <c r="P4" t="s">
        <v>8</v>
      </c>
      <c r="Q4" t="s">
        <v>5</v>
      </c>
      <c r="R4" t="s">
        <v>324</v>
      </c>
      <c r="S4" t="s">
        <v>36</v>
      </c>
      <c r="T4" t="s">
        <v>7</v>
      </c>
    </row>
    <row r="5" spans="1:21" x14ac:dyDescent="0.25">
      <c r="A5" s="8" t="s">
        <v>35</v>
      </c>
      <c r="B5" s="9" t="s">
        <v>325</v>
      </c>
      <c r="C5" s="8" t="s">
        <v>326</v>
      </c>
      <c r="D5" s="8"/>
      <c r="E5" s="8"/>
      <c r="F5" s="8">
        <v>1</v>
      </c>
      <c r="G5" s="8" t="s">
        <v>36</v>
      </c>
      <c r="H5" s="8">
        <v>1</v>
      </c>
      <c r="P5">
        <v>1</v>
      </c>
      <c r="Q5">
        <v>1</v>
      </c>
      <c r="R5">
        <v>1</v>
      </c>
      <c r="S5">
        <v>1</v>
      </c>
      <c r="T5">
        <v>1</v>
      </c>
    </row>
    <row r="6" spans="1:21" x14ac:dyDescent="0.25">
      <c r="A6" s="8" t="s">
        <v>40</v>
      </c>
      <c r="B6" s="9" t="s">
        <v>327</v>
      </c>
      <c r="C6" s="8" t="s">
        <v>41</v>
      </c>
      <c r="D6" s="8"/>
      <c r="E6" s="11"/>
      <c r="F6" s="8">
        <v>1</v>
      </c>
      <c r="G6" s="8" t="s">
        <v>36</v>
      </c>
      <c r="H6" s="8">
        <v>1</v>
      </c>
    </row>
    <row r="7" spans="1:21" x14ac:dyDescent="0.25">
      <c r="A7" s="8" t="s">
        <v>146</v>
      </c>
      <c r="B7" s="9"/>
      <c r="C7" s="8"/>
      <c r="D7" s="8"/>
      <c r="E7" s="8"/>
      <c r="F7" s="8">
        <v>2</v>
      </c>
      <c r="G7" s="8" t="s">
        <v>36</v>
      </c>
      <c r="H7" s="8">
        <v>1</v>
      </c>
    </row>
    <row r="8" spans="1:21" x14ac:dyDescent="0.25">
      <c r="A8" s="8" t="s">
        <v>32</v>
      </c>
      <c r="B8" s="9"/>
      <c r="C8" s="8" t="s">
        <v>52</v>
      </c>
      <c r="D8" s="8" t="s">
        <v>328</v>
      </c>
      <c r="E8" s="8"/>
      <c r="F8" s="8">
        <v>1</v>
      </c>
      <c r="G8" s="8" t="s">
        <v>5</v>
      </c>
      <c r="H8" s="8">
        <v>1</v>
      </c>
    </row>
    <row r="9" spans="1:21" x14ac:dyDescent="0.25">
      <c r="A9" s="8" t="s">
        <v>11</v>
      </c>
      <c r="B9" s="9" t="s">
        <v>329</v>
      </c>
      <c r="C9" s="8" t="s">
        <v>130</v>
      </c>
      <c r="D9" s="8"/>
      <c r="E9" s="8"/>
      <c r="F9" s="8">
        <v>2</v>
      </c>
      <c r="G9" s="8" t="s">
        <v>5</v>
      </c>
      <c r="H9" s="8">
        <v>1</v>
      </c>
    </row>
    <row r="10" spans="1:21" x14ac:dyDescent="0.25">
      <c r="A10" s="8" t="s">
        <v>32</v>
      </c>
      <c r="B10" s="9" t="s">
        <v>331</v>
      </c>
      <c r="C10" s="8" t="s">
        <v>52</v>
      </c>
      <c r="D10" s="8" t="s">
        <v>330</v>
      </c>
      <c r="E10" s="8"/>
      <c r="F10" s="8">
        <v>2</v>
      </c>
      <c r="G10" s="8" t="s">
        <v>7</v>
      </c>
      <c r="H10" s="8">
        <v>1</v>
      </c>
    </row>
    <row r="11" spans="1:21" x14ac:dyDescent="0.25">
      <c r="A11" s="8" t="s">
        <v>170</v>
      </c>
      <c r="B11" s="9" t="s">
        <v>26</v>
      </c>
      <c r="C11" s="8"/>
      <c r="D11" s="8"/>
      <c r="E11" s="8"/>
      <c r="F11" s="8">
        <v>1</v>
      </c>
      <c r="G11" s="8" t="s">
        <v>7</v>
      </c>
      <c r="H11" s="8">
        <v>1</v>
      </c>
    </row>
    <row r="12" spans="1:21" x14ac:dyDescent="0.25">
      <c r="A12" s="8" t="s">
        <v>232</v>
      </c>
      <c r="B12" s="9" t="s">
        <v>332</v>
      </c>
      <c r="C12" s="8"/>
      <c r="D12" s="8"/>
      <c r="E12" s="8"/>
      <c r="F12" s="8">
        <v>1</v>
      </c>
      <c r="G12" s="8" t="s">
        <v>7</v>
      </c>
      <c r="H12" s="8">
        <v>1</v>
      </c>
    </row>
    <row r="13" spans="1:21" x14ac:dyDescent="0.25">
      <c r="A13" s="8" t="s">
        <v>44</v>
      </c>
      <c r="B13" s="9"/>
      <c r="C13" s="8" t="s">
        <v>68</v>
      </c>
      <c r="D13" s="8"/>
      <c r="E13" s="8"/>
      <c r="F13" s="8">
        <v>1</v>
      </c>
      <c r="G13" s="8" t="s">
        <v>7</v>
      </c>
      <c r="H13" s="8">
        <v>1</v>
      </c>
    </row>
    <row r="14" spans="1:21" x14ac:dyDescent="0.25">
      <c r="A14" s="8" t="s">
        <v>43</v>
      </c>
      <c r="B14" s="9" t="s">
        <v>69</v>
      </c>
      <c r="C14" s="8" t="s">
        <v>67</v>
      </c>
      <c r="D14" s="8"/>
      <c r="E14" s="8"/>
      <c r="F14" s="8">
        <v>2</v>
      </c>
      <c r="G14" s="8" t="s">
        <v>7</v>
      </c>
      <c r="H14" s="8">
        <v>1</v>
      </c>
    </row>
    <row r="15" spans="1:21" x14ac:dyDescent="0.25">
      <c r="A15" s="8" t="s">
        <v>44</v>
      </c>
      <c r="B15" s="9" t="s">
        <v>334</v>
      </c>
      <c r="C15" s="8" t="s">
        <v>333</v>
      </c>
      <c r="D15" s="8"/>
      <c r="E15" s="8"/>
      <c r="F15" s="8">
        <v>1</v>
      </c>
      <c r="G15" s="8" t="s">
        <v>7</v>
      </c>
      <c r="H15" s="8">
        <v>1</v>
      </c>
    </row>
    <row r="16" spans="1:21" x14ac:dyDescent="0.25">
      <c r="A16" s="8" t="s">
        <v>43</v>
      </c>
      <c r="B16" s="9" t="s">
        <v>273</v>
      </c>
      <c r="C16" s="8" t="s">
        <v>67</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6"/>
  <sheetViews>
    <sheetView topLeftCell="D1" workbookViewId="0">
      <selection activeCell="K7" sqref="K7"/>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107</v>
      </c>
      <c r="F2" t="s">
        <v>126</v>
      </c>
      <c r="G2" t="s">
        <v>249</v>
      </c>
      <c r="H2" t="s">
        <v>37</v>
      </c>
      <c r="I2" t="s">
        <v>282</v>
      </c>
      <c r="J2" t="s">
        <v>67</v>
      </c>
      <c r="K2" t="s">
        <v>71</v>
      </c>
      <c r="Q2" t="s">
        <v>134</v>
      </c>
      <c r="R2" t="s">
        <v>260</v>
      </c>
      <c r="S2" t="s">
        <v>261</v>
      </c>
    </row>
    <row r="3" spans="1:19" x14ac:dyDescent="0.25">
      <c r="A3" t="s">
        <v>43</v>
      </c>
      <c r="F3" s="4" t="s">
        <v>50</v>
      </c>
      <c r="G3" t="s">
        <v>73</v>
      </c>
      <c r="H3" t="s">
        <v>38</v>
      </c>
      <c r="J3" t="s">
        <v>66</v>
      </c>
      <c r="K3" t="s">
        <v>70</v>
      </c>
      <c r="P3" t="s">
        <v>114</v>
      </c>
      <c r="Q3" t="s">
        <v>135</v>
      </c>
    </row>
    <row r="4" spans="1:19" x14ac:dyDescent="0.25">
      <c r="A4" t="s">
        <v>146</v>
      </c>
      <c r="F4" t="s">
        <v>80</v>
      </c>
      <c r="G4" t="s">
        <v>320</v>
      </c>
      <c r="K4" t="s">
        <v>68</v>
      </c>
      <c r="Q4" t="s">
        <v>136</v>
      </c>
    </row>
    <row r="5" spans="1:19" x14ac:dyDescent="0.25">
      <c r="A5" t="s">
        <v>116</v>
      </c>
      <c r="F5" s="5" t="s">
        <v>30</v>
      </c>
      <c r="G5" t="s">
        <v>33</v>
      </c>
      <c r="K5" t="s">
        <v>45</v>
      </c>
      <c r="P5" t="s">
        <v>115</v>
      </c>
      <c r="Q5" t="s">
        <v>137</v>
      </c>
    </row>
    <row r="6" spans="1:19" x14ac:dyDescent="0.25">
      <c r="A6" t="s">
        <v>123</v>
      </c>
      <c r="F6" t="s">
        <v>78</v>
      </c>
      <c r="G6" t="s">
        <v>52</v>
      </c>
      <c r="K6" t="s">
        <v>64</v>
      </c>
      <c r="Q6" t="s">
        <v>132</v>
      </c>
    </row>
    <row r="7" spans="1:19" x14ac:dyDescent="0.25">
      <c r="A7" s="1" t="s">
        <v>95</v>
      </c>
      <c r="F7" t="s">
        <v>58</v>
      </c>
      <c r="I7" t="s">
        <v>41</v>
      </c>
      <c r="K7" t="s">
        <v>333</v>
      </c>
      <c r="Q7" t="s">
        <v>133</v>
      </c>
    </row>
    <row r="8" spans="1:19" x14ac:dyDescent="0.25">
      <c r="A8" t="s">
        <v>237</v>
      </c>
      <c r="F8" t="s">
        <v>128</v>
      </c>
    </row>
    <row r="9" spans="1:19" x14ac:dyDescent="0.25">
      <c r="A9" t="s">
        <v>150</v>
      </c>
      <c r="F9" s="3" t="s">
        <v>31</v>
      </c>
      <c r="L9" t="s">
        <v>55</v>
      </c>
      <c r="M9" t="s">
        <v>63</v>
      </c>
      <c r="N9" t="s">
        <v>33</v>
      </c>
      <c r="O9" t="s">
        <v>52</v>
      </c>
      <c r="P9" t="s">
        <v>113</v>
      </c>
    </row>
    <row r="10" spans="1:19" x14ac:dyDescent="0.25">
      <c r="A10" t="s">
        <v>92</v>
      </c>
      <c r="F10" t="s">
        <v>130</v>
      </c>
    </row>
    <row r="11" spans="1:19" x14ac:dyDescent="0.25">
      <c r="A11" t="s">
        <v>279</v>
      </c>
      <c r="F11" t="s">
        <v>322</v>
      </c>
    </row>
    <row r="12" spans="1:19" x14ac:dyDescent="0.25">
      <c r="A12" t="s">
        <v>46</v>
      </c>
    </row>
    <row r="13" spans="1:19" x14ac:dyDescent="0.25">
      <c r="A13" t="s">
        <v>187</v>
      </c>
    </row>
    <row r="14" spans="1:19" x14ac:dyDescent="0.25">
      <c r="A14" t="s">
        <v>53</v>
      </c>
    </row>
    <row r="15" spans="1:19" x14ac:dyDescent="0.25">
      <c r="A15" t="s">
        <v>84</v>
      </c>
    </row>
    <row r="16" spans="1:19" x14ac:dyDescent="0.25">
      <c r="A16" t="s">
        <v>267</v>
      </c>
    </row>
    <row r="17" spans="1:1" x14ac:dyDescent="0.25">
      <c r="A17" t="s">
        <v>211</v>
      </c>
    </row>
    <row r="18" spans="1:1" x14ac:dyDescent="0.25">
      <c r="A18" t="s">
        <v>188</v>
      </c>
    </row>
    <row r="19" spans="1:1" x14ac:dyDescent="0.25">
      <c r="A19" t="s">
        <v>208</v>
      </c>
    </row>
    <row r="20" spans="1:1" x14ac:dyDescent="0.25">
      <c r="A20" t="s">
        <v>81</v>
      </c>
    </row>
    <row r="21" spans="1:1" x14ac:dyDescent="0.25">
      <c r="A21" t="s">
        <v>35</v>
      </c>
    </row>
    <row r="22" spans="1:1" x14ac:dyDescent="0.25">
      <c r="A22" t="s">
        <v>174</v>
      </c>
    </row>
    <row r="23" spans="1:1" x14ac:dyDescent="0.25">
      <c r="A23" t="s">
        <v>61</v>
      </c>
    </row>
    <row r="24" spans="1:1" x14ac:dyDescent="0.25">
      <c r="A24" t="s">
        <v>142</v>
      </c>
    </row>
    <row r="25" spans="1:1" x14ac:dyDescent="0.25">
      <c r="A25" t="s">
        <v>250</v>
      </c>
    </row>
    <row r="26" spans="1:1" x14ac:dyDescent="0.25">
      <c r="A26" t="s">
        <v>112</v>
      </c>
    </row>
    <row r="27" spans="1:1" x14ac:dyDescent="0.25">
      <c r="A27" t="s">
        <v>232</v>
      </c>
    </row>
    <row r="28" spans="1:1" x14ac:dyDescent="0.25">
      <c r="A28" t="s">
        <v>104</v>
      </c>
    </row>
    <row r="29" spans="1:1" x14ac:dyDescent="0.25">
      <c r="A29" t="s">
        <v>168</v>
      </c>
    </row>
    <row r="30" spans="1:1" x14ac:dyDescent="0.25">
      <c r="A30" t="s">
        <v>170</v>
      </c>
    </row>
    <row r="31" spans="1:1" x14ac:dyDescent="0.25">
      <c r="A31" t="s">
        <v>12</v>
      </c>
    </row>
    <row r="32" spans="1:1" x14ac:dyDescent="0.25">
      <c r="A32" t="s">
        <v>32</v>
      </c>
    </row>
    <row r="33" spans="1:1" x14ac:dyDescent="0.25">
      <c r="A33" t="s">
        <v>59</v>
      </c>
    </row>
    <row r="34" spans="1:1" x14ac:dyDescent="0.25">
      <c r="A34" t="s">
        <v>233</v>
      </c>
    </row>
    <row r="35" spans="1:1" x14ac:dyDescent="0.25">
      <c r="A35" t="s">
        <v>118</v>
      </c>
    </row>
    <row r="36" spans="1:1" x14ac:dyDescent="0.25">
      <c r="A36" t="s">
        <v>266</v>
      </c>
    </row>
    <row r="37" spans="1:1" x14ac:dyDescent="0.25">
      <c r="A37" t="s">
        <v>40</v>
      </c>
    </row>
    <row r="38" spans="1:1" x14ac:dyDescent="0.25">
      <c r="A38" t="s">
        <v>217</v>
      </c>
    </row>
    <row r="39" spans="1:1" x14ac:dyDescent="0.25">
      <c r="A39" t="s">
        <v>147</v>
      </c>
    </row>
    <row r="40" spans="1:1" x14ac:dyDescent="0.25">
      <c r="A40" t="s">
        <v>165</v>
      </c>
    </row>
    <row r="41" spans="1:1" x14ac:dyDescent="0.25">
      <c r="A41" t="s">
        <v>151</v>
      </c>
    </row>
    <row r="42" spans="1:1" x14ac:dyDescent="0.25">
      <c r="A42" t="s">
        <v>284</v>
      </c>
    </row>
    <row r="43" spans="1:1" x14ac:dyDescent="0.25">
      <c r="A43" t="s">
        <v>87</v>
      </c>
    </row>
    <row r="44" spans="1:1" x14ac:dyDescent="0.25">
      <c r="A44" t="s">
        <v>138</v>
      </c>
    </row>
    <row r="45" spans="1:1" x14ac:dyDescent="0.25">
      <c r="A45" t="s">
        <v>268</v>
      </c>
    </row>
    <row r="46" spans="1:1" x14ac:dyDescent="0.25">
      <c r="A46" t="s">
        <v>269</v>
      </c>
    </row>
    <row r="47" spans="1:1" x14ac:dyDescent="0.25">
      <c r="A47" t="s">
        <v>239</v>
      </c>
    </row>
    <row r="48" spans="1:1" x14ac:dyDescent="0.25">
      <c r="A48" t="s">
        <v>102</v>
      </c>
    </row>
    <row r="49" spans="1:1" x14ac:dyDescent="0.25">
      <c r="A49" t="s">
        <v>44</v>
      </c>
    </row>
    <row r="50" spans="1:1" x14ac:dyDescent="0.25">
      <c r="A50" t="s">
        <v>213</v>
      </c>
    </row>
    <row r="51" spans="1:1" x14ac:dyDescent="0.25">
      <c r="A51" t="s">
        <v>90</v>
      </c>
    </row>
    <row r="52" spans="1:1" x14ac:dyDescent="0.25">
      <c r="A52" t="s">
        <v>88</v>
      </c>
    </row>
    <row r="53" spans="1:1" x14ac:dyDescent="0.25">
      <c r="A53" t="s">
        <v>93</v>
      </c>
    </row>
    <row r="54" spans="1:1" x14ac:dyDescent="0.25">
      <c r="A54" t="s">
        <v>11</v>
      </c>
    </row>
    <row r="55" spans="1:1" x14ac:dyDescent="0.25">
      <c r="A55" t="s">
        <v>54</v>
      </c>
    </row>
    <row r="56" spans="1:1" x14ac:dyDescent="0.25">
      <c r="A56" t="s">
        <v>189</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Movil 51</vt:lpstr>
      <vt:lpstr>Movil 41</vt:lpstr>
      <vt:lpstr>Movil 39</vt:lpstr>
      <vt:lpstr>Inventario general</vt:lpstr>
      <vt:lpstr>Configuracion</vt:lpstr>
      <vt:lpstr>'Movil 39'!Bolsos</vt:lpstr>
      <vt:lpstr>Bolsos</vt:lpstr>
      <vt:lpstr>'Movil 39'!BolsosM41</vt:lpstr>
      <vt:lpstr>BolsosM41</vt:lpstr>
      <vt:lpstr>'Movil 39'!Cajoneras</vt:lpstr>
      <vt:lpstr>Cajoneras</vt:lpstr>
      <vt:lpstr>CajonerasM39</vt:lpstr>
      <vt:lpstr>'Movil 39'!CajonerasM41</vt:lpstr>
      <vt:lpstr>CajonerasM41</vt:lpstr>
      <vt:lpstr>'Movil 39'!categorias</vt:lpstr>
      <vt:lpstr>categorias</vt:lpstr>
      <vt:lpstr>'Movil 39'!Compartimientos</vt:lpstr>
      <vt:lpstr>Compartimientos</vt:lpstr>
      <vt:lpstr>CompartimientosM39</vt:lpstr>
      <vt:lpstr>'Movil 39'!CompartimientosM41</vt:lpstr>
      <vt:lpstr>CompartimientosM41</vt:lpstr>
      <vt:lpstr>'Movil 39'!Medidas</vt:lpstr>
      <vt:lpstr>Medidas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2018-08-16T02:38:48Z</dcterms:modified>
</cp:coreProperties>
</file>