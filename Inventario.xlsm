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filterPrivacy="1" codeName="ThisWorkbook"/>
  <xr:revisionPtr revIDLastSave="0" documentId="13_ncr:1_{6BE2D93A-61FF-4008-9BD7-92CB6829ADAF}" xr6:coauthVersionLast="41" xr6:coauthVersionMax="41" xr10:uidLastSave="{00000000-0000-0000-0000-000000000000}"/>
  <bookViews>
    <workbookView xWindow="-120" yWindow="-120" windowWidth="20730" windowHeight="11160" firstSheet="7" activeTab="10"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Configuracion" sheetId="3" r:id="rId12"/>
  </sheets>
  <functionGroups builtInGroupCount="19"/>
  <definedNames>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4" l="1"/>
  <c r="B37" i="4"/>
  <c r="B86" i="4"/>
  <c r="B61" i="4"/>
  <c r="B54" i="4"/>
  <c r="B34" i="4"/>
  <c r="B63" i="4"/>
  <c r="B88" i="4"/>
  <c r="B39" i="4"/>
  <c r="B89" i="4"/>
  <c r="B60" i="4"/>
  <c r="B62" i="4"/>
  <c r="B90" i="4"/>
  <c r="B85" i="4"/>
  <c r="B65" i="4"/>
  <c r="B87" i="4"/>
  <c r="B35" i="4"/>
  <c r="B66" i="4"/>
  <c r="B40" i="4"/>
  <c r="B64" i="4"/>
  <c r="B38" i="4"/>
  <c r="B67" i="4"/>
  <c r="B10" i="4"/>
  <c r="B11" i="4"/>
  <c r="B59" i="4"/>
  <c r="B29" i="7"/>
  <c r="B6" i="7"/>
  <c r="B5" i="7"/>
  <c r="B25" i="7"/>
  <c r="B28" i="7"/>
  <c r="B4" i="7"/>
  <c r="B75" i="8"/>
  <c r="B29" i="8"/>
  <c r="B77" i="8"/>
  <c r="B76" i="8"/>
  <c r="B30" i="8"/>
  <c r="B31" i="8"/>
  <c r="B119" i="1"/>
  <c r="B105" i="1"/>
  <c r="B27" i="1"/>
  <c r="B69" i="1"/>
</calcChain>
</file>

<file path=xl/sharedStrings.xml><?xml version="1.0" encoding="utf-8"?>
<sst xmlns="http://schemas.openxmlformats.org/spreadsheetml/2006/main" count="3293" uniqueCount="791">
  <si>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</si>
  <si>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</si>
  <si>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</si>
  <si>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</si>
  <si>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</si>
  <si>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</si>
  <si>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</si>
  <si>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</si>
  <si>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</si>
  <si>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</si>
  <si>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</si>
  <si>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</si>
  <si>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</si>
  <si>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</si>
  <si>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</si>
  <si>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</si>
  <si>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</si>
  <si>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</si>
  <si>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</si>
  <si>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</si>
  <si>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</si>
  <si>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</si>
  <si>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</si>
  <si>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</si>
  <si>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</si>
  <si>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</si>
  <si>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</si>
  <si>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</si>
  <si>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</si>
  <si>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</si>
  <si>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</si>
  <si>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</si>
  <si>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</si>
  <si>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</si>
  <si>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</si>
  <si>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</si>
  <si>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</si>
  <si>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</si>
  <si>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</si>
  <si>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</si>
  <si>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</si>
  <si>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</si>
  <si>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</si>
  <si>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</si>
  <si>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</si>
  <si>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</si>
  <si>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</si>
  <si>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</si>
  <si>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</si>
  <si>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</si>
  <si>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</si>
  <si>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</si>
  <si>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</si>
  <si>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</si>
  <si>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</si>
  <si>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</si>
  <si>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</si>
  <si>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</si>
  <si>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</si>
  <si>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</si>
  <si>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</si>
  <si>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</si>
  <si>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</si>
  <si>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</si>
  <si>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</si>
  <si>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</si>
  <si>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</si>
  <si>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</si>
  <si>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</si>
  <si>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</si>
  <si>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</si>
  <si>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</si>
  <si>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</si>
  <si>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</si>
  <si>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</si>
  <si>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</si>
  <si>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</si>
  <si>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</si>
  <si>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</si>
  <si>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</si>
  <si>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</si>
  <si>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</si>
  <si>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</si>
  <si>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</si>
  <si>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</si>
  <si>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</si>
  <si>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</si>
  <si>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</si>
  <si>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</si>
  <si>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</si>
  <si>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</si>
  <si>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</si>
  <si>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</si>
  <si>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</si>
  <si>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</si>
  <si>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</si>
  <si>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</si>
  <si>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</si>
  <si>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</si>
  <si>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</si>
  <si>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</si>
  <si>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</si>
  <si>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</si>
  <si>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</si>
  <si>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</si>
  <si>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</si>
  <si>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</si>
  <si>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</si>
  <si>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</si>
  <si>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</si>
  <si>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</si>
  <si>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</si>
  <si>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</si>
  <si>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</si>
  <si>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</si>
  <si>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</si>
  <si>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</si>
  <si>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</si>
  <si>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</si>
  <si>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</si>
  <si>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</si>
  <si>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</si>
  <si>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</si>
  <si>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</si>
  <si>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</si>
  <si>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</si>
  <si>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</si>
  <si>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</si>
  <si>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</si>
  <si>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</si>
  <si>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</si>
  <si>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</si>
  <si>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</si>
  <si>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</si>
  <si>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</si>
  <si>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</si>
  <si>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</si>
  <si>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</si>
  <si>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</si>
  <si>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</si>
  <si>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</si>
  <si>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</si>
  <si>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</si>
  <si>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</si>
  <si>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</si>
  <si>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</si>
  <si>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</si>
  <si>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</si>
  <si>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</si>
  <si>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</si>
  <si>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</si>
  <si>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</si>
  <si>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</si>
  <si>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</si>
  <si>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</si>
  <si>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</si>
  <si>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</si>
  <si>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</si>
  <si>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</si>
  <si>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</si>
  <si>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</si>
  <si>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</si>
  <si>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</si>
  <si>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</si>
  <si>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</si>
  <si>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</si>
  <si>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</si>
  <si>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</si>
  <si>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</si>
  <si>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</si>
  <si>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</si>
  <si>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</si>
  <si>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</si>
  <si>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</si>
  <si>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</si>
  <si>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</si>
  <si>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</si>
  <si>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</si>
  <si>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</si>
  <si>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</si>
  <si>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</si>
  <si>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</si>
  <si>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</si>
  <si>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</si>
  <si>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</si>
  <si>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</si>
  <si>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</si>
  <si>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</si>
  <si>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</si>
  <si>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</si>
  <si>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</si>
  <si>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</si>
  <si>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</si>
  <si>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</si>
  <si>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</si>
  <si>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</si>
  <si>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</si>
  <si>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</si>
  <si>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</si>
  <si>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</si>
  <si>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</si>
  <si>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</si>
  <si>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</si>
  <si>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</si>
  <si>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</si>
  <si>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</si>
  <si>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</si>
  <si>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</si>
  <si>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</si>
  <si>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</si>
  <si>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</si>
  <si>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</si>
  <si>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</si>
  <si>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</si>
  <si>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</si>
  <si>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</si>
  <si>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</si>
  <si>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</si>
  <si>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</si>
  <si>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</si>
  <si>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</si>
  <si>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</si>
  <si>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</si>
  <si>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</si>
  <si>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</si>
  <si>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</si>
  <si>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</si>
  <si>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</si>
  <si>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</si>
  <si>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</si>
  <si>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</si>
  <si>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</si>
  <si>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</si>
  <si>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</si>
  <si>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</si>
  <si>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</si>
  <si>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</si>
  <si>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</si>
  <si>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</si>
  <si>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</si>
  <si>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</si>
  <si>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</si>
  <si>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</si>
  <si>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</si>
  <si>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</si>
  <si>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</si>
  <si>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</si>
  <si>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</si>
  <si>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</si>
  <si>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</si>
  <si>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</si>
  <si>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</si>
  <si>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</si>
  <si>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</si>
  <si>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</si>
  <si>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</si>
  <si>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</si>
  <si>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</si>
  <si>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</si>
  <si>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</si>
  <si>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</si>
  <si>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</si>
  <si>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</si>
  <si>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</si>
  <si>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</si>
  <si>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</si>
  <si>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</si>
  <si>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</si>
  <si>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</si>
  <si>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</si>
  <si>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</si>
  <si>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</si>
  <si>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</si>
  <si>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</si>
  <si>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</si>
  <si>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</si>
  <si>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</si>
  <si>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</si>
  <si>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</si>
  <si>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</si>
  <si>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</si>
  <si>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</si>
  <si>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</si>
  <si>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</si>
  <si>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</si>
  <si>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</si>
  <si>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</si>
  <si>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</si>
  <si>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</si>
  <si>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</si>
  <si>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</si>
  <si>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</si>
  <si>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</si>
  <si>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</si>
  <si>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</si>
  <si>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</si>
  <si>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</si>
  <si>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</si>
  <si>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</si>
  <si>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</si>
  <si>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</si>
  <si>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</si>
  <si>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</si>
  <si>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</si>
  <si>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</si>
  <si>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</si>
  <si>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</si>
  <si>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</si>
  <si>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</si>
  <si>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</si>
  <si>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</si>
  <si>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</si>
  <si>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</si>
  <si>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</si>
  <si>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</si>
  <si>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</si>
  <si>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</si>
  <si>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</si>
  <si>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</si>
  <si>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</si>
  <si>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</si>
  <si>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</si>
  <si>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</si>
  <si>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</si>
  <si>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</si>
  <si>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</si>
  <si>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</si>
  <si>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</si>
  <si>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</si>
  <si>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</si>
  <si>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</si>
  <si>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</si>
  <si>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</si>
  <si>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</si>
  <si>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</si>
  <si>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</si>
  <si>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</si>
  <si>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</si>
  <si>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</si>
  <si>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</si>
  <si>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</si>
  <si>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</si>
  <si>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</si>
  <si>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</si>
  <si>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</si>
  <si>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</si>
  <si>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</si>
  <si>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</si>
  <si>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</si>
  <si>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</si>
  <si>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</si>
  <si>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</si>
  <si>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</si>
  <si>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</si>
  <si>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</si>
  <si>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</si>
  <si>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</si>
  <si>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</si>
  <si>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</si>
  <si>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</si>
  <si>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</si>
  <si>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</si>
  <si>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</si>
  <si>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</si>
  <si>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</si>
  <si>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</si>
  <si>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</si>
  <si>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</si>
  <si>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</si>
  <si>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</si>
  <si>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</si>
  <si>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</si>
  <si>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</si>
  <si>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</si>
  <si>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</si>
  <si>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</si>
  <si>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</si>
  <si>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</si>
  <si>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</si>
  <si>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</si>
  <si>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</si>
  <si>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</si>
  <si>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</si>
  <si>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</si>
  <si>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</si>
  <si>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</si>
  <si>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</si>
  <si>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</si>
  <si>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</si>
  <si>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</si>
  <si>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</si>
  <si>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</si>
  <si>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</si>
  <si>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</si>
  <si>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</si>
  <si>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</si>
  <si>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</si>
  <si>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</si>
  <si>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</si>
  <si>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</si>
  <si>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</si>
  <si>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</si>
  <si>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</si>
  <si>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</si>
  <si>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</si>
  <si>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</si>
  <si>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</si>
  <si>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</si>
  <si>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</si>
  <si>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</si>
  <si>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</si>
  <si>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</si>
  <si>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</si>
  <si>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</si>
  <si>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</si>
  <si>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</si>
  <si>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</si>
  <si>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</si>
  <si>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</si>
  <si>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</si>
  <si>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</si>
  <si>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</si>
  <si>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</si>
  <si>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</si>
  <si>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</si>
  <si>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</si>
  <si>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</si>
  <si>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</si>
  <si>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</si>
  <si>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</si>
  <si>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</si>
  <si>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</si>
  <si>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</si>
  <si>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</si>
  <si>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</si>
  <si>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</si>
  <si>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</si>
  <si>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</si>
  <si>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</si>
  <si>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</si>
  <si>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</si>
  <si>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</si>
  <si>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</si>
  <si>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</si>
  <si>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</si>
  <si>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</si>
  <si>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</si>
  <si>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</si>
  <si>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</si>
  <si>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</si>
  <si>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</si>
  <si>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</si>
  <si>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</si>
  <si>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</si>
  <si>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</si>
  <si>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</si>
  <si>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</si>
  <si>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</si>
  <si>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</si>
  <si>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</si>
  <si>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</si>
  <si>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</si>
  <si>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</si>
  <si>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</si>
  <si>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</si>
  <si>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Balde de obra</t>
  </si>
  <si>
    <t>Boya</t>
  </si>
  <si>
    <t>Muy grande</t>
  </si>
  <si>
    <t>bolsa valvula mascara</t>
  </si>
  <si>
    <t>Succionador</t>
  </si>
  <si>
    <t>Mascara oxigenoterapia</t>
  </si>
  <si>
    <t>Taco</t>
  </si>
  <si>
    <t>Guantes p/cadaveres</t>
  </si>
  <si>
    <t>Lentes de proteccion ocular</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</si>
  <si>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</si>
  <si>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</si>
  <si>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</si>
  <si>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</si>
  <si>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</si>
  <si>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</si>
  <si>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</si>
  <si>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</si>
  <si>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</si>
  <si>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</si>
  <si>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</si>
  <si>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</si>
  <si>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</si>
  <si>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</si>
  <si>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</si>
  <si>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</si>
  <si>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</si>
  <si>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</si>
  <si>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</si>
  <si>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</si>
  <si>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</si>
  <si>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</si>
  <si>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</si>
  <si>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</si>
  <si>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</si>
  <si>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</si>
  <si>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</si>
  <si>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</si>
  <si>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</si>
  <si>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</si>
  <si>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</si>
  <si>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</si>
  <si>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</si>
  <si>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</si>
  <si>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</si>
  <si>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</si>
  <si>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</si>
  <si>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</si>
  <si>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</si>
  <si>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</si>
  <si>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</si>
  <si>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</si>
  <si>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</si>
  <si>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</si>
  <si>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</si>
  <si>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</si>
  <si>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</si>
  <si>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</si>
  <si>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</si>
  <si>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</si>
  <si>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</si>
  <si>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</si>
  <si>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</si>
  <si>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</si>
  <si>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</si>
  <si>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</si>
  <si>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</si>
  <si>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</si>
  <si>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</si>
  <si>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</si>
  <si>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</si>
  <si>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</si>
  <si>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</si>
  <si>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</si>
  <si>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</si>
  <si>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</si>
  <si>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</si>
  <si>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</si>
  <si>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</si>
  <si>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</si>
  <si>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</si>
  <si>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</si>
  <si>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</si>
  <si>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</si>
  <si>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</si>
  <si>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</si>
  <si>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</si>
  <si>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</si>
  <si>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</si>
  <si>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</si>
  <si>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</si>
  <si>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</si>
  <si>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</si>
  <si>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</si>
  <si>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</si>
  <si>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</si>
  <si>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</si>
  <si>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</si>
  <si>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</si>
  <si>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</si>
  <si>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</si>
  <si>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</si>
  <si>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</si>
  <si>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</si>
  <si>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</si>
  <si>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</si>
  <si>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</si>
  <si>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</si>
  <si>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</si>
  <si>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</si>
  <si>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</si>
  <si>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</si>
  <si>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</si>
  <si>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</si>
  <si>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</si>
  <si>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</si>
  <si>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</si>
  <si>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</si>
  <si>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</si>
  <si>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</si>
  <si>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</si>
  <si>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</si>
  <si>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</si>
  <si>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</si>
  <si>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</si>
  <si>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</si>
  <si>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</si>
  <si>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</si>
  <si>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</si>
  <si>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</si>
  <si>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</si>
  <si>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</si>
  <si>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</si>
  <si>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</si>
  <si>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</si>
  <si>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</si>
  <si>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</si>
  <si>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</si>
  <si>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</si>
  <si>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</si>
  <si>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</si>
  <si>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</si>
  <si>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</si>
  <si>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</si>
  <si>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</si>
  <si>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</si>
  <si>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</si>
  <si>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</si>
  <si>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</si>
  <si>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</si>
  <si>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</si>
  <si>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</si>
  <si>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</si>
  <si>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</si>
  <si>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</si>
  <si>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</si>
  <si>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</si>
  <si>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</si>
  <si>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</si>
  <si>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</si>
  <si>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</si>
  <si>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</si>
  <si>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</si>
  <si>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</si>
  <si>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</si>
  <si>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</si>
  <si>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</si>
  <si>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</si>
  <si>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</si>
  <si>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</si>
  <si>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</si>
  <si>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</si>
  <si>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</si>
  <si>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</si>
  <si>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</si>
  <si>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</si>
  <si>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</si>
  <si>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</si>
  <si>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</si>
  <si>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</si>
  <si>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</si>
  <si>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</si>
  <si>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</si>
  <si>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</si>
  <si>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</si>
  <si>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</si>
  <si>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</si>
  <si>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</si>
  <si>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</si>
  <si>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</si>
  <si>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</si>
  <si>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</si>
  <si>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</si>
  <si>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</si>
  <si>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</si>
  <si>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</si>
  <si>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</si>
  <si>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</si>
  <si>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</si>
  <si>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</si>
  <si>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</si>
  <si>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</si>
  <si>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</si>
  <si>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</si>
  <si>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</si>
  <si>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</si>
  <si>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</si>
  <si>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</si>
  <si>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</si>
  <si>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</si>
  <si>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</si>
  <si>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</si>
  <si>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</si>
  <si>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</si>
  <si>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</si>
  <si>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</si>
  <si>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</si>
  <si>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</si>
  <si>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</si>
  <si>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</si>
  <si>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</si>
  <si>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</si>
  <si>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</si>
  <si>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</si>
  <si>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aaa</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</si>
  <si>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</si>
  <si>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</si>
  <si>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</si>
  <si>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</si>
  <si>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</si>
  <si>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</si>
  <si>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</si>
  <si>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</si>
  <si>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</si>
  <si>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</si>
  <si>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</si>
  <si>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</si>
  <si>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</si>
  <si>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</si>
  <si>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</si>
  <si>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</si>
  <si>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</si>
  <si>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</si>
  <si>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</si>
  <si>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Son storz?</t>
  </si>
  <si>
    <t>combinada S/corte rapido S/ reg. Caudal</t>
  </si>
  <si>
    <t>???</t>
  </si>
  <si>
    <t>Clase "C" Esto es lo que se coloco como Jailbreak?</t>
  </si>
  <si>
    <t>Solo decia ferulas. Cuales? Inflables? Para que extremidad?</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</si>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</sst>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5">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2">
    <xf numFmtId="0" fontId="0" fillId="0" borderId="0"/>
    <xf numFmtId="0" fontId="1" fillId="2" borderId="0" applyNumberFormat="0" applyBorder="0" applyAlignment="0" applyProtection="0"/>
  </cellStyleXfs>
  <cellXfs count="24">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1" fillId="2" borderId="0" xfId="1" applyAlignment="1">
      <alignment horizont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cellXfs>
  <cellStyles count="2">
    <cellStyle name="Accent1" xfId="1" builtinId="29"/>
    <cellStyle name="Normal" xfId="0" builtinId="0"/>
  </cellStyles>
  <dxfs count="100">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ont>
        <color rgb="FF000000"/>
      </font>
      <fill>
        <patternFill patternType="none">
          <fgColor indexed="64"/>
          <bgColor auto="1"/>
        </patternFill>
      </fill>
      <alignment horizontal="general" vertical="center" textRotation="0" wrapText="1" indent="0" justifyLastLine="0" shrinkToFit="0" readingOrder="0"/>
      <border diagonalUp="0" diagonalDown="0" outline="0">
        <left style="thin">
          <color rgb="FF000000"/>
        </left>
        <right/>
        <top style="thin">
          <color rgb="FF000000"/>
        </top>
        <bottom style="thin">
          <color rgb="FF000000"/>
        </bottom>
      </border>
    </dxf>
    <dxf>
      <alignment horizontal="left" vertical="bottom"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patternType="solid">
          <fgColor indexed="64"/>
          <bgColor rgb="FFFFFF00"/>
        </patternFill>
      </fill>
      <alignment horizontal="left" vertical="center" textRotation="0" indent="0" justifyLastLine="0" shrinkToFit="0" readingOrder="0"/>
    </dxf>
    <dxf>
      <fill>
        <patternFill patternType="solid">
          <fgColor indexed="64"/>
          <bgColor rgb="FFFFFF00"/>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fgColor indexed="64"/>
          <bgColor rgb="FFFFFF00"/>
        </patternFill>
      </fill>
      <alignment horizontal="left" vertical="center" textRotation="0" indent="0" justifyLastLine="0" shrinkToFit="0" readingOrder="0"/>
    </dxf>
    <dxf>
      <fill>
        <patternFill>
          <fgColor indexed="64"/>
          <bgColor rgb="FFFFFF00"/>
        </patternFill>
      </fill>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99" dataDxfId="98">
  <autoFilter ref="A1:H131" xr:uid="{00000000-0009-0000-0100-000001000000}">
    <filterColumn colId="7">
      <filters>
        <filter val="Asiento 1"/>
        <filter val="Asiento 2"/>
      </filters>
    </filterColumn>
  </autoFilter>
  <sortState ref="A2:H136">
    <sortCondition ref="G2:G136"/>
    <sortCondition ref="H2:H136"/>
  </sortState>
  <tableColumns count="8">
    <tableColumn id="1" xr3:uid="{00000000-0010-0000-0000-000001000000}" name="Categoria" dataDxfId="97"/>
    <tableColumn id="2" xr3:uid="{00000000-0010-0000-0000-000002000000}" name="Descripcion" dataDxfId="96"/>
    <tableColumn id="3" xr3:uid="{00000000-0010-0000-0000-000003000000}" name="Medidas" dataDxfId="95"/>
    <tableColumn id="4" xr3:uid="{00000000-0010-0000-0000-000004000000}" name="marca" dataDxfId="94"/>
    <tableColumn id="5" xr3:uid="{00000000-0010-0000-0000-000005000000}" name="N/ de serie" dataDxfId="93"/>
    <tableColumn id="7" xr3:uid="{20A560DE-96A4-4C20-8E3B-6987DAD27B3D}" name="cant" dataDxfId="92"/>
    <tableColumn id="6" xr3:uid="{00000000-0010-0000-0000-000006000000}" name="Cajonera" dataDxfId="91"/>
    <tableColumn id="8" xr3:uid="{6A730937-5917-4102-A73F-F22FC5E46982}" name="Compartimiento" dataDxfId="9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K3:Q32" totalsRowShown="0">
  <autoFilter ref="K3:Q32" xr:uid="{00000000-0009-0000-0100-000006000000}"/>
  <tableColumns count="7">
    <tableColumn id="1" xr3:uid="{00000000-0010-0000-0100-000001000000}" name="Categoria"/>
    <tableColumn id="2" xr3:uid="{00000000-0010-0000-0100-000002000000}" name="Descripcion"/>
    <tableColumn id="9" xr3:uid="{0CFDD51E-9BD1-49AA-B916-6ED8D763FD50}" name="Medidas"/>
    <tableColumn id="7" xr3:uid="{6B186445-76CB-4659-81BA-4A3EB8455FD8}" name="marca"/>
    <tableColumn id="6" xr3:uid="{73DE426A-C4F7-4653-A4A3-73DAA8157052}" name="N/ de serie"/>
    <tableColumn id="8" xr3:uid="{038CD6C3-93C3-4CA2-B005-AEBD25AEC249}"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W3:W8" totalsRowShown="0">
  <autoFilter ref="W3:W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Y4:AE8" totalsRowShown="0">
  <autoFilter ref="Y4:AE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98" totalsRowShown="0" headerRowDxfId="89" dataDxfId="88">
  <autoFilter ref="A1:H98" xr:uid="{4420E20B-53C0-415C-9CB8-8EBBE392DB7E}"/>
  <sortState ref="A2:H136">
    <sortCondition ref="G2:G136"/>
    <sortCondition ref="H2:H136"/>
  </sortState>
  <tableColumns count="8">
    <tableColumn id="1" xr3:uid="{45F247E6-E4F8-4524-8BAC-4E5305BFD4E8}" name="Categoria" dataDxfId="87"/>
    <tableColumn id="2" xr3:uid="{18D75DA7-F382-464D-90FD-E4E0506B8A6E}" name="Descripcion" dataDxfId="86"/>
    <tableColumn id="3" xr3:uid="{E2793599-1DAF-466B-A1AD-A54BA4C6AC06}" name="Medidas" dataDxfId="85"/>
    <tableColumn id="4" xr3:uid="{46F5E322-E424-487F-AE67-B4E3358E403F}" name="marca" dataDxfId="84"/>
    <tableColumn id="5" xr3:uid="{3D283D2B-D541-479C-87FD-6AA3D3CF8E18}" name="N/ de serie" dataDxfId="83"/>
    <tableColumn id="7" xr3:uid="{1D224AAD-0462-40C4-9698-3AD0B9B09F9C}" name="cant" dataDxfId="82"/>
    <tableColumn id="6" xr3:uid="{E962ECD1-4DEF-4678-96D7-81953010DD85}" name="Cajonera" dataDxfId="81"/>
    <tableColumn id="8" xr3:uid="{DDA87DEE-616F-4F4F-B1CF-4AFC1D7DDE80}" name="Compartimiento" dataDxfId="8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P46" totalsRowShown="0">
  <autoFilter ref="J3:P46" xr:uid="{F64C4D09-9588-45B3-A069-41EC67E79E9D}"/>
  <tableColumns count="7">
    <tableColumn id="1" xr3:uid="{E29A2BD3-9958-4292-B6D3-70720983B09F}" name="Categoria"/>
    <tableColumn id="7" xr3:uid="{97474203-9415-4355-9482-5420F3BCEA5F}" name="Descripcion"/>
    <tableColumn id="6" xr3:uid="{8A7C9A1D-A2E3-4DE8-9322-C968AACC9B46}" name="Medidas"/>
    <tableColumn id="8" xr3:uid="{9E00D63F-C0B6-44FA-A817-13528A35DFDE}" name="Marca"/>
    <tableColumn id="9" xr3:uid="{96169708-2BDB-48EB-A8B2-8E71708D90BD}" name="N/ de serie"/>
    <tableColumn id="2" xr3:uid="{A86B4CDB-1ED6-4EAC-BFF8-5B77FA04F67F}" name="Cantidad"/>
    <tableColumn id="3" xr3:uid="{E132B31A-E29A-479E-BA42-A16EC3D24FF8}"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T3:T13" totalsRowShown="0">
  <autoFilter ref="T3:T13"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V4:AD8" totalsRowShown="0">
  <autoFilter ref="V4:AD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79" dataDxfId="78">
  <autoFilter ref="A1:H108" xr:uid="{00254174-483B-40DF-A806-D062C22867F7}"/>
  <sortState ref="A2:H79">
    <sortCondition ref="G1:G79"/>
  </sortState>
  <tableColumns count="8">
    <tableColumn id="1" xr3:uid="{5C129E02-49ED-404D-8803-23BEEE082B13}" name="Categoria" dataDxfId="77"/>
    <tableColumn id="2" xr3:uid="{08752A4C-B745-47BD-916C-8371AA823B30}" name="Descripcion" dataDxfId="76"/>
    <tableColumn id="3" xr3:uid="{D9947D9F-91DC-48F8-80F0-740777B930CC}" name="Medidas" dataDxfId="75"/>
    <tableColumn id="4" xr3:uid="{83541DD3-29AB-4FE0-9DE9-7D8BE5E78196}" name="marca" dataDxfId="74"/>
    <tableColumn id="5" xr3:uid="{9713A367-BEFE-4DF4-8B3D-E3AF8E87D8E7}" name="N/ de serie" dataDxfId="73"/>
    <tableColumn id="7" xr3:uid="{9D266E2D-E8B4-43A5-8816-E295D94D2A54}" name="cant" dataDxfId="72"/>
    <tableColumn id="6" xr3:uid="{4AF3B0F9-84DE-4653-A23E-C2CFBC721A37}" name="Cajonera" dataDxfId="71"/>
    <tableColumn id="8" xr3:uid="{255D225F-46DC-4AF1-9C5F-A6DC06571BC6}" name="Compartimiento" dataDxfId="7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P74" totalsRowShown="0">
  <autoFilter ref="J3:P74" xr:uid="{158E7FEF-2530-4B04-8429-AFAE1EE2CCF7}"/>
  <tableColumns count="7">
    <tableColumn id="1" xr3:uid="{9F7B5D30-F8A3-46D8-A4CE-9273971211F6}" name="Categoria"/>
    <tableColumn id="2" xr3:uid="{14A06F43-7F88-418E-8772-E1441272AE6B}" name="Material"/>
    <tableColumn id="6" xr3:uid="{927CC6DA-B31F-442F-B3F1-EE9568ACA4FD}" name="Medidas"/>
    <tableColumn id="7" xr3:uid="{DD49CAC9-A813-4532-931B-C895FE9A5998}" name="marca"/>
    <tableColumn id="5" xr3:uid="{5AC79CF8-9C77-450C-A1F3-9413ED3A5F53}" name="N/ de serie"/>
    <tableColumn id="4" xr3:uid="{FC8F3B58-FAB0-4991-9F2D-88DC4B20CCAC}"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R3:R28" totalsRowShown="0">
  <autoFilter ref="R3:R28" xr:uid="{FB2636B5-DD04-42AA-9889-74DC28C61E72}"/>
  <sortState ref="R4:R22">
    <sortCondition ref="R3:R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T4:Z8" totalsRowShown="0">
  <autoFilter ref="T4:Z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69" dataDxfId="68">
  <autoFilter ref="A1:H16" xr:uid="{00254174-483B-40DF-A806-D062C22867F7}"/>
  <sortState ref="A2:H135">
    <sortCondition ref="G2:G135"/>
    <sortCondition ref="H2:H135"/>
    <sortCondition ref="A2:A135"/>
  </sortState>
  <tableColumns count="8">
    <tableColumn id="1" xr3:uid="{7762CF18-0359-4492-B4ED-710C2ACA3AD8}" name="Categoria" dataDxfId="67"/>
    <tableColumn id="2" xr3:uid="{982DCC3C-D12D-4640-A32E-79F71F293297}" name="Descripcion" dataDxfId="66"/>
    <tableColumn id="3" xr3:uid="{C74DD3A9-C890-46F2-B066-1E8734A70F10}" name="Medidas" dataDxfId="65"/>
    <tableColumn id="4" xr3:uid="{99E6F613-CBD2-473A-BDCE-1F04B38ED8A1}" name="marca" dataDxfId="64"/>
    <tableColumn id="5" xr3:uid="{D00DBFC2-B0D3-40E1-AACD-2CEA831C5A4A}" name="N/ de serie" dataDxfId="63"/>
    <tableColumn id="7" xr3:uid="{B766F210-A0F3-4E00-BCA4-192046AAC52E}" name="cant" dataDxfId="62"/>
    <tableColumn id="6" xr3:uid="{8D465A67-0F78-40E6-9E8A-323E2CC14EBF}" name="Cajonera" dataDxfId="61"/>
    <tableColumn id="8" xr3:uid="{3E183286-0CB5-4BAA-96D9-64884EE8C037}" name="Compartimiento" dataDxfId="6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P4" totalsRowShown="0">
  <autoFilter ref="J3:P4" xr:uid="{158E7FEF-2530-4B04-8429-AFAE1EE2CCF7}"/>
  <tableColumns count="7">
    <tableColumn id="1" xr3:uid="{EC222BC8-CCC9-4E82-8828-E484EEC50271}" name="Categoria"/>
    <tableColumn id="2" xr3:uid="{38CCC194-8A74-40B9-9DD2-1066122DDB01}" name="Material"/>
    <tableColumn id="6" xr3:uid="{9C484F06-C370-420A-B849-9EE8B348CFFE}" name="Medidas"/>
    <tableColumn id="5" xr3:uid="{20BCE841-DE29-41AF-BA51-E597B1E08E40}" name="marca"/>
    <tableColumn id="4" xr3:uid="{DDF53A9D-0F42-4063-AFE7-47D5F074A379}" name="N/ de serie"/>
    <tableColumn id="3" xr3:uid="{BF3A2573-79D6-4AAE-90F6-E3302D1C8302}" name="Cantidad"/>
    <tableColumn id="8" xr3:uid="{3A1231C0-6396-434C-9F01-D8E8209734D1}"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R3:R4" totalsRowShown="0">
  <autoFilter ref="R3:R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T4:X5" totalsRowShown="0">
  <autoFilter ref="T4:X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59" dataDxfId="58">
  <autoFilter ref="A1:H9" xr:uid="{457D8B93-05A8-45D1-A609-71A6A311AD05}"/>
  <sortState ref="A2:H135">
    <sortCondition ref="G2:G135"/>
    <sortCondition ref="H2:H135"/>
    <sortCondition ref="A2:A135"/>
  </sortState>
  <tableColumns count="8">
    <tableColumn id="1" xr3:uid="{55BD14F0-E66D-452C-AFF3-87BBA173A115}" name="Categoria" dataDxfId="57"/>
    <tableColumn id="2" xr3:uid="{60F3859F-A565-4FB3-981A-BD333DBD68CB}" name="Descripcion" dataDxfId="56"/>
    <tableColumn id="3" xr3:uid="{506B4F8D-96F8-480A-ABAA-ED38D4D1E27F}" name="Medidas" dataDxfId="55"/>
    <tableColumn id="4" xr3:uid="{43411A3F-3399-4BC0-849F-F795ACF9FFE9}" name="marca" dataDxfId="54"/>
    <tableColumn id="5" xr3:uid="{1ED9114D-170A-43B6-B49C-6D57225B4023}" name="N/ de serie" dataDxfId="53"/>
    <tableColumn id="7" xr3:uid="{0E3B0CE1-7CEE-4F0F-9B55-4D0171D39B85}" name="cant" dataDxfId="52"/>
    <tableColumn id="6" xr3:uid="{ABC8F4C2-BB8E-4F4D-A226-E6E794842ED3}" name="Cajonera" dataDxfId="51"/>
    <tableColumn id="8" xr3:uid="{3BA68BFC-1ECF-4773-9364-E4875D861C00}" name="Compartimiento" dataDxfId="5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P6" totalsRowShown="0">
  <autoFilter ref="J3:P6" xr:uid="{8E2224EB-0F4D-4F91-80DD-A4DCE2C4C521}"/>
  <tableColumns count="7">
    <tableColumn id="1" xr3:uid="{045CE641-8CEB-4FC7-99A5-AEC7E208C01C}" name="Categoria"/>
    <tableColumn id="2" xr3:uid="{08508A29-B266-49C8-AF14-6DF530FE6FF4}" name="Material"/>
    <tableColumn id="7" xr3:uid="{23192AB6-450E-49DD-BFD7-C71B61F13E9B}" name="Medidas"/>
    <tableColumn id="6" xr3:uid="{9C6DA609-283C-4E65-A631-CED654D7AD3F}" name="marca"/>
    <tableColumn id="5" xr3:uid="{4E963C45-9C2D-49D6-9A25-6C943BBCC0BD}" name="N/ de serie"/>
    <tableColumn id="4" xr3:uid="{B59ABC15-0101-46C8-B775-2E08D5746D09}"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R3:R4" insertRow="1" totalsRowShown="0">
  <autoFilter ref="R3:R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T4:V5" totalsRowShown="0">
  <autoFilter ref="T4:V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49" dataDxfId="48">
  <autoFilter ref="A1:H21" xr:uid="{9BEA3E99-12FC-4092-94CA-0CD530761350}"/>
  <sortState ref="A2:H135">
    <sortCondition ref="G2:G135"/>
    <sortCondition ref="H2:H135"/>
    <sortCondition ref="A2:A135"/>
  </sortState>
  <tableColumns count="8">
    <tableColumn id="1" xr3:uid="{59F451BF-799E-467F-87E6-D1A92B2F2F19}" name="Categoria" dataDxfId="47"/>
    <tableColumn id="2" xr3:uid="{7B78AF34-49C2-4BC7-88BB-EB59466AF70E}" name="Descripcion" dataDxfId="46"/>
    <tableColumn id="3" xr3:uid="{91AE2D4D-14E6-4D02-A2AE-5C64C2399D48}" name="Medidas" dataDxfId="45"/>
    <tableColumn id="4" xr3:uid="{5862D588-22B6-471B-9202-79CB070BA9F1}" name="marca" dataDxfId="44"/>
    <tableColumn id="5" xr3:uid="{2E34E0CF-7BE5-4082-9DDE-726BF5669D7D}" name="N/ de serie" dataDxfId="43"/>
    <tableColumn id="7" xr3:uid="{2E9D9731-27A3-4A80-B0FD-D982940A817F}" name="cant" dataDxfId="42"/>
    <tableColumn id="6" xr3:uid="{29E6860E-7FCC-42E5-BD7A-DD1148407EF7}" name="Cajonera" dataDxfId="41"/>
    <tableColumn id="8" xr3:uid="{176739AE-F62A-4931-BD7F-D9296054E437}" name="Compartimiento" dataDxfId="4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R3:R4" totalsRowShown="0">
  <autoFilter ref="R3:R4" xr:uid="{9AF73587-EB49-4421-B0F7-99EBB9FB5AD3}"/>
  <tableColumns count="1">
    <tableColumn id="1" xr3:uid="{2A4FF841-27B1-4D7C-BB1B-B6EF9280D32C}" name="Bolsos"/>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T4:AB5" totalsRowShown="0">
  <autoFilter ref="T4:AB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B34EFD3-AAAD-49E9-831B-5015B4B21246}" name="Table69132932" displayName="Table69132932" ref="J3:P6" totalsRowShown="0">
  <autoFilter ref="J3:P6" xr:uid="{DB44D3B8-C6A5-43E2-8C52-FA4572FE1052}"/>
  <tableColumns count="7">
    <tableColumn id="1" xr3:uid="{99EB8966-D7A9-42FB-B6FF-64A67951324A}" name="Categoria"/>
    <tableColumn id="2" xr3:uid="{CB22B0FB-7A9A-47FA-8D3B-7DC677335903}" name="Material"/>
    <tableColumn id="7" xr3:uid="{607DD831-4C4B-4821-ABD4-A3531231EE5B}" name="Medidas"/>
    <tableColumn id="6" xr3:uid="{578F50EC-66D6-45A6-95AC-39205472B861}" name="marca"/>
    <tableColumn id="5" xr3:uid="{F228B673-1DA2-4F17-951B-09CB76D1FEC7}" name="N/ de serie"/>
    <tableColumn id="4" xr3:uid="{B989ED9A-A583-4DE7-AD84-99EBBBE1F315}" name="Cantidad"/>
    <tableColumn id="8" xr3:uid="{8D02E1BE-FC34-4052-B291-B974DA451804}" name="Bolso"/>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3" totalsRowShown="0" headerRowDxfId="39" dataDxfId="38">
  <autoFilter ref="A1:H33" xr:uid="{00000000-0009-0000-0100-000001000000}"/>
  <sortState ref="A2:H135">
    <sortCondition ref="G2:G135"/>
    <sortCondition ref="H2:H135"/>
    <sortCondition ref="A2:A135"/>
  </sortState>
  <tableColumns count="8">
    <tableColumn id="1" xr3:uid="{F908C9F5-DD8B-443A-A527-DCABD33B8237}" name="Categoria" dataDxfId="37"/>
    <tableColumn id="2" xr3:uid="{8036B6F2-C43F-461F-A164-185E9010DABA}" name="Descripcion" dataDxfId="36"/>
    <tableColumn id="3" xr3:uid="{4B73C355-844D-4708-8DD2-3BAA3380C699}" name="Medidas" dataDxfId="35"/>
    <tableColumn id="4" xr3:uid="{0D85BE5C-3096-482C-BC13-95741D8C8766}" name="marca" dataDxfId="34"/>
    <tableColumn id="5" xr3:uid="{86876B37-5F66-4B8C-9658-6F4D3F570100}" name="N/ de serie" dataDxfId="33"/>
    <tableColumn id="7" xr3:uid="{DDA2BF92-6F99-4EE6-8D4C-490484E63590}" name="cant" dataDxfId="32"/>
    <tableColumn id="6" xr3:uid="{65BD277E-AD38-49FE-8584-2B2393B38D9E}" name="Cajonera" dataDxfId="31"/>
    <tableColumn id="8" xr3:uid="{1DEC6FAA-BE51-4355-AD37-F311FED3A618}" name="Compartimiento" dataDxfId="3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R24" totalsRowShown="0">
  <autoFilter ref="J3:R24" xr:uid="{00000000-0009-0000-0100-000006000000}"/>
  <tableColumns count="9">
    <tableColumn id="1" xr3:uid="{71899C2C-3A9F-4FC2-87AD-1FD7A7D345CA}" name="Categoria"/>
    <tableColumn id="9" xr3:uid="{CCBFD1E8-77E0-4C63-AAD8-FA25C535032B}" name="Descripcion"/>
    <tableColumn id="8" xr3:uid="{7E04D92A-AAFA-49AE-AFDE-0D3653AB9208}" name="Medidas"/>
    <tableColumn id="7" xr3:uid="{B278FF46-F710-4361-A802-61F3DB20B743}" name="marca"/>
    <tableColumn id="6" xr3:uid="{AA3682A9-791B-4DAA-84D6-B0AC922BA44D}" name="N/ de serie"/>
    <tableColumn id="2" xr3:uid="{F6270979-38DA-4E0C-A759-DF5F140DEA96}" name="cant"/>
    <tableColumn id="3" xr3:uid="{45903662-F3E4-423C-9845-CFACB5935F43}" name="Bolso"/>
    <tableColumn id="4" xr3:uid="{DA0CF803-C7EB-4E8B-9E75-AC53FA181AF4}" name="Column1"/>
    <tableColumn id="5" xr3:uid="{1DD7B5A6-BCB7-46CB-8DDF-1061623E8E5E}" name="Column2"/>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T3:T10" totalsRowShown="0">
  <autoFilter ref="T3:T10"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V4:Y12" totalsRowShown="0">
  <autoFilter ref="V4:Y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C733F27-E907-4D5D-BD10-0D3C743B98B8}" name="Table12017" displayName="Table12017" ref="A1:H33" totalsRowShown="0" headerRowDxfId="27" dataDxfId="26">
  <autoFilter ref="A1:H33" xr:uid="{EE60CB91-E66E-4B94-BADC-73B0217D7692}"/>
  <sortState ref="A2:H135">
    <sortCondition ref="G2:G135"/>
    <sortCondition ref="H2:H135"/>
    <sortCondition ref="A2:A135"/>
  </sortState>
  <tableColumns count="8">
    <tableColumn id="1" xr3:uid="{3D3EEF2E-B775-49EA-9945-33EFCC82535B}" name="Categoria" dataDxfId="25"/>
    <tableColumn id="2" xr3:uid="{999E3447-0265-44E2-B747-FA6F2EBE169D}" name="Descripcion" dataDxfId="24"/>
    <tableColumn id="3" xr3:uid="{12BDFB71-75C7-446B-BCF7-1047DAFF3ADE}" name="Medidas" dataDxfId="23"/>
    <tableColumn id="4" xr3:uid="{F8ACE0BE-5D90-48DF-9F45-DE491F39B72B}" name="marca" dataDxfId="22"/>
    <tableColumn id="5" xr3:uid="{D4482888-34CA-4530-B2E5-3ED88C8D3088}" name="N/ de serie" dataDxfId="21"/>
    <tableColumn id="7" xr3:uid="{108EA62C-813D-4392-9EA6-C3425C840871}" name="cant" dataDxfId="20"/>
    <tableColumn id="6" xr3:uid="{CA59F73D-026B-4A4D-8E48-EB1B6CE17072}" name="Cajonera" dataDxfId="19"/>
    <tableColumn id="8" xr3:uid="{4E05A0C2-E1DF-46E3-9ED0-732250BF0F12}" name="Compartimiento" dataDxfId="1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567E41F-E621-4D6B-AC35-201450E8EE40}" name="Table22234" displayName="Table22234" ref="T3:T4" insertRow="1" totalsRowShown="0">
  <autoFilter ref="T3:T4" xr:uid="{C7634330-3C71-4318-A9A5-DA0905193E15}"/>
  <tableColumns count="1">
    <tableColumn id="1" xr3:uid="{A077F1CC-936F-4380-B072-A035A72C6579}" name="Bolsos"/>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549A3C4-65B8-4A21-99E3-33E2A4E9617F}" name="Table52335" displayName="Table52335" ref="V4:Y12" totalsRowShown="0">
  <autoFilter ref="V4:Y12" xr:uid="{F849C231-AE08-4D44-B7F4-0B62043E04D5}"/>
  <tableColumns count="4">
    <tableColumn id="1" xr3:uid="{102796F8-1C28-4670-AA1B-D561510F23BD}" name="No informado"/>
    <tableColumn id="2" xr3:uid="{CA08D02D-1956-400F-8E0D-9CF99C4A351D}" name="Cabina"/>
    <tableColumn id="3" xr3:uid="{B84DD225-4CC1-42C5-B0E5-5DDE0A2B6590}" name="Cajonera 1"/>
    <tableColumn id="4" xr3:uid="{BFEB6AB5-BD9F-4844-9C04-2BE263F33D15}" name="Cajonera 2"/>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9750DA1-EB78-437E-A8FF-7A09E2DF946D}" name="Table62133" displayName="Table62133" ref="J3:P4" totalsRowShown="0">
  <autoFilter ref="J3:P4" xr:uid="{14031A09-9E87-4125-AC26-65B847C64579}"/>
  <tableColumns count="7">
    <tableColumn id="1" xr3:uid="{87AF8044-2FA4-42DD-8693-2F19887AF11E}" name="Categoria"/>
    <tableColumn id="9" xr3:uid="{8BF36262-5F3A-45C1-B96E-BC00014380B9}" name="Descripcion"/>
    <tableColumn id="8" xr3:uid="{44A1042C-20C8-4267-8A41-6C4B6F3B518E}" name="Medidas"/>
    <tableColumn id="7" xr3:uid="{287BBED5-A67D-4CEF-8AEB-8630BF5E1CF9}" name="marca"/>
    <tableColumn id="6" xr3:uid="{390FBEFF-E5A5-4F10-A454-C9C928BB0003}" name="N/ de serie"/>
    <tableColumn id="2" xr3:uid="{D03623DD-52AA-4E30-9732-8B10A0DCFC6B}" name="cant"/>
    <tableColumn id="3" xr3:uid="{0BCE5E8E-4D87-448B-B199-0FAB5C0D954B}" name="Bolso"/>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8F4889F6-891F-4137-BE17-EE7352F51400}" name="Table1201736" displayName="Table1201736" ref="A1:H6" totalsRowShown="0" headerRowDxfId="17" dataDxfId="16">
  <autoFilter ref="A1:H6" xr:uid="{A5908FBA-116C-427F-AA54-0AD2EE632FAF}"/>
  <sortState ref="A2:H135">
    <sortCondition ref="G2:G135"/>
    <sortCondition ref="H2:H135"/>
    <sortCondition ref="A2:A135"/>
  </sortState>
  <tableColumns count="8">
    <tableColumn id="1" xr3:uid="{8D9ADBA2-6DED-4412-8C95-D2E3D5C85E29}" name="Categoria" dataDxfId="15"/>
    <tableColumn id="2" xr3:uid="{1F788147-D057-4410-8E99-BD1062ADCF5B}" name="Descripcion" dataDxfId="14"/>
    <tableColumn id="3" xr3:uid="{A0F34A60-DD95-447C-A4EC-61D157C44676}" name="Medidas" dataDxfId="13"/>
    <tableColumn id="4" xr3:uid="{E5C683E7-68B3-4924-A184-FF808C319A79}" name="marca" dataDxfId="12"/>
    <tableColumn id="5" xr3:uid="{B629A735-91AA-4F7E-925A-261C3DB10308}" name="N/ de serie" dataDxfId="11"/>
    <tableColumn id="7" xr3:uid="{A57FB101-5784-4949-9029-BA17A10098FA}" name="cant" dataDxfId="10"/>
    <tableColumn id="6" xr3:uid="{A596D4DD-A5FA-4A2A-A32A-777757E03F54}" name="Cajonera" dataDxfId="9"/>
    <tableColumn id="8" xr3:uid="{F896BB72-11E5-4D81-97C6-FA0E9F11B31E}" name="Compartimiento" dataDxfId="8"/>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3F3786AF-C28D-451B-ACB2-831811931BF0}" name="Table6213337" displayName="Table6213337" ref="J3:P4" totalsRowShown="0">
  <autoFilter ref="J3:P4" xr:uid="{4A756FF7-9D5F-4E8F-93F6-3BD11721C7FD}"/>
  <tableColumns count="7">
    <tableColumn id="1" xr3:uid="{9E1EFE7D-2466-4929-98A0-6128016A2D15}" name="Categoria"/>
    <tableColumn id="9" xr3:uid="{C911D156-2385-4A98-AECC-DB38A3F06DC4}" name="Descripcion"/>
    <tableColumn id="8" xr3:uid="{0AC093B5-97A0-4537-B743-A1D32BDEF84B}" name="Medidas"/>
    <tableColumn id="7" xr3:uid="{144E5234-8C0E-4B68-B6E7-27312080D6DC}" name="marca"/>
    <tableColumn id="6" xr3:uid="{B255DEAC-CC3F-4BA6-9828-AC204FB25345}" name="N/ de serie"/>
    <tableColumn id="2" xr3:uid="{2F3D1A46-9053-4DBC-9AB8-B87FC1A9F6AC}" name="cant"/>
    <tableColumn id="3" xr3:uid="{5B144C24-5A2C-4C9C-9B09-D32B9B00394B}" name="Bolso"/>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8541B60-7EBA-4B9E-AF22-2682B6D15460}" name="Table2223438" displayName="Table2223438" ref="T3:T4" insertRow="1" totalsRowShown="0">
  <autoFilter ref="T3:T4" xr:uid="{E8651426-FF25-4AC4-974C-E75402462BEB}"/>
  <tableColumns count="1">
    <tableColumn id="1" xr3:uid="{C50F9BC7-53F9-4A47-BF39-ACDE497E1343}" name="Bolsos"/>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042DB32-1EF3-486A-BAD1-7FE605DBB8BA}" name="Table5233539" displayName="Table5233539" ref="V4:Y12" totalsRowShown="0">
  <autoFilter ref="V4:Y12" xr:uid="{759D039A-8959-4F99-827E-E29C45283B7F}"/>
  <tableColumns count="4">
    <tableColumn id="1" xr3:uid="{E0AAD455-B300-459D-9013-19393E248CAD}" name="No informado"/>
    <tableColumn id="2" xr3:uid="{DC64B4AD-7557-4BC7-9FF3-34DEC9B00058}" name="Cabina"/>
    <tableColumn id="3" xr3:uid="{67FA9CA4-40F0-4593-8AA8-CA13AEE2BD3E}" name="Cajonera 1"/>
    <tableColumn id="4" xr3:uid="{3FDD5483-B40C-4FA8-A46F-23FFC3151EEE}" name="Cajonera 2"/>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E7450EF0-9112-43AA-ADF4-448435A3B98B}" name="Table120173640" displayName="Table120173640" ref="A1:H84" totalsRowShown="0" headerRowDxfId="7" dataDxfId="6">
  <autoFilter ref="A1:H84" xr:uid="{33B2D5C5-5D89-4AD9-B83F-E430AED646C9}"/>
  <sortState ref="A2:H133">
    <sortCondition ref="G2:G133"/>
    <sortCondition ref="H2:H133"/>
    <sortCondition ref="A2:A133"/>
  </sortState>
  <tableColumns count="8">
    <tableColumn id="1" xr3:uid="{D4A4420B-1AC0-4106-BCEE-D7E99680FBFD}" name="Categoria"/>
    <tableColumn id="2" xr3:uid="{FA0C0FCB-AC0F-4F50-AE07-113863C6AA81}" name="Descripcion"/>
    <tableColumn id="3" xr3:uid="{266F44FA-D2C8-4E2A-A941-C3695B4D70AE}" name="Medidas" dataDxfId="3"/>
    <tableColumn id="4" xr3:uid="{A5A990D8-2D12-404C-9AFB-A7897535B40D}" name="marca" dataDxfId="5"/>
    <tableColumn id="5" xr3:uid="{83CFE6DF-58FD-4C54-8BF6-8F29558E865D}" name="N/ de serie" dataDxfId="4"/>
    <tableColumn id="7" xr3:uid="{86D67A5B-0A3E-4D1E-B129-F051AD7E977F}" name="cant" dataDxfId="2"/>
    <tableColumn id="6" xr3:uid="{68E8FFD6-3363-4E54-9F58-C7395922AF8B}" name="Cajonera" dataDxfId="1"/>
    <tableColumn id="8" xr3:uid="{80C6BE60-E334-4A13-999A-471E456EE168}" name="Compartimiento" dataDxfId="0"/>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7396F65E-62D6-4151-9EBD-9F7D277C0A7A}" name="Table621333741" displayName="Table621333741" ref="J3:P4" totalsRowShown="0">
  <autoFilter ref="J3:P4" xr:uid="{6097D417-0297-485D-805D-30912CC94100}"/>
  <tableColumns count="7">
    <tableColumn id="1" xr3:uid="{84979072-CD57-4506-A458-8833DF730C05}" name="Categoria"/>
    <tableColumn id="9" xr3:uid="{D7B09E30-3029-4895-95F1-837C5E971831}" name="Descripcion"/>
    <tableColumn id="8" xr3:uid="{9630116E-59D9-4F6B-9733-656FF527BFAD}" name="Medidas"/>
    <tableColumn id="7" xr3:uid="{54EA3216-3AD1-48A4-B90E-501BAFD96120}" name="marca"/>
    <tableColumn id="6" xr3:uid="{8D7A0750-88A5-41E0-A792-85A2E9CAD286}" name="N/ de serie"/>
    <tableColumn id="2" xr3:uid="{CAA5E3C7-A74C-490E-9E86-7F572A2AD0AE}" name="cant"/>
    <tableColumn id="3" xr3:uid="{B84B91A5-8547-4516-82BC-E23677795BDF}" name="Bolso"/>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864A84D-CEFC-4244-BC00-DDD6AB964443}" name="Table222343842" displayName="Table222343842" ref="T3:T4" insertRow="1" totalsRowShown="0">
  <autoFilter ref="T3:T4" xr:uid="{A732B99E-40F5-4764-8ECC-F4961DA6E69C}"/>
  <tableColumns count="1">
    <tableColumn id="1" xr3:uid="{29FC525F-E34D-4AB0-B988-861CF004B136}" name="Bolsos"/>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44AF097-6959-436A-88B5-D2722FF53685}" name="Table523353943" displayName="Table523353943" ref="V4:Y12" totalsRowShown="0">
  <autoFilter ref="V4:Y12" xr:uid="{4FE40A6E-2A7E-42FC-86F8-FB8F67702F2A}"/>
  <tableColumns count="4">
    <tableColumn id="1" xr3:uid="{9A7E3B8A-EE2C-4E82-A1CA-5F51EEF65C29}" name="No informado"/>
    <tableColumn id="2" xr3:uid="{526B6CCB-6B8A-45B4-A447-3BC1CD9E9C13}" name="Cabina"/>
    <tableColumn id="3" xr3:uid="{0DBE3DFC-AAF8-4E9F-A437-D2D65E7124A8}" name="Cajonera 1"/>
    <tableColumn id="4" xr3:uid="{072B20FF-89A7-4017-B91A-94F32DA70BE8}" name="Cajonera 2"/>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X15" totalsRowShown="0">
  <autoFilter ref="F1:X15" xr:uid="{1055A59D-20B2-4F59-BA98-5A360C8D58B6}"/>
  <sortState ref="F2:P9">
    <sortCondition ref="F1:F9"/>
  </sortState>
  <tableColumns count="19">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 id="18" xr3:uid="{7BD56FF1-B9DA-4B05-B07F-CF7B69FFD0C3}" name="Union suelta"/>
    <tableColumn id="19" xr3:uid="{3756A896-EF2E-425E-82B2-3AFA2A408FB9}" name="Manga"/>
  </tableColumns>
  <tableStyleInfo name="TableStyleLight9"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17" totalsRowShown="0" headerRowDxfId="29" tableBorderDxfId="28">
  <autoFilter ref="A1:A117" xr:uid="{174CB354-0B9D-4924-BB13-8A0DA131CB54}"/>
  <sortState ref="A2:A109">
    <sortCondition ref="A1:A109"/>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table" Target="../tables/table41.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139"/>
  <sheetViews>
    <sheetView workbookViewId="0">
      <pane ySplit="1" topLeftCell="A2" activePane="bottomLeft" state="frozen"/>
      <selection pane="bottomLeft" activeCell="A98" sqref="A1:AE139"/>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x14ac:dyDescent="0.25">
      <c r="A1" s="4" t="s">
        <v>0</v>
      </c>
      <c r="B1" s="5" t="s">
        <v>1</v>
      </c>
      <c r="C1" s="4" t="s">
        <v>2</v>
      </c>
      <c r="D1" s="4" t="s">
        <v>3</v>
      </c>
      <c r="E1" s="4" t="s">
        <v>4</v>
      </c>
      <c r="F1" s="4" t="s">
        <v>240</v>
      </c>
      <c r="G1" s="4" t="s">
        <v>13</v>
      </c>
      <c r="H1" s="4" t="s">
        <v>232</v>
      </c>
    </row>
    <row r="2" spans="1:31" hidden="1" x14ac:dyDescent="0.25">
      <c r="A2" s="4" t="s">
        <v>97</v>
      </c>
      <c r="B2" s="7" t="s">
        <v>85</v>
      </c>
      <c r="C2" s="6"/>
      <c r="D2" s="6" t="s">
        <v>96</v>
      </c>
      <c r="E2" s="6">
        <v>315000341</v>
      </c>
      <c r="F2" s="6">
        <v>1</v>
      </c>
      <c r="G2" s="6" t="s">
        <v>8</v>
      </c>
      <c r="H2" s="6">
        <v>1</v>
      </c>
    </row>
    <row r="3" spans="1:31" hidden="1" x14ac:dyDescent="0.25">
      <c r="A3" s="6" t="s">
        <v>241</v>
      </c>
      <c r="B3" s="7" t="s">
        <v>85</v>
      </c>
      <c r="C3" s="6"/>
      <c r="D3" s="6"/>
      <c r="E3" s="6"/>
      <c r="F3" s="6">
        <v>1</v>
      </c>
      <c r="G3" s="6" t="s">
        <v>8</v>
      </c>
      <c r="H3" s="6">
        <v>1</v>
      </c>
      <c r="K3" t="s">
        <v>0</v>
      </c>
      <c r="L3" t="s">
        <v>1</v>
      </c>
      <c r="M3" t="s">
        <v>2</v>
      </c>
      <c r="N3" s="4" t="s">
        <v>3</v>
      </c>
      <c r="O3" s="4" t="s">
        <v>4</v>
      </c>
      <c r="P3" t="s">
        <v>18</v>
      </c>
      <c r="Q3" t="s">
        <v>14</v>
      </c>
      <c r="W3" t="s">
        <v>28</v>
      </c>
      <c r="Y3" s="15" t="s">
        <v>230</v>
      </c>
      <c r="Z3" s="15"/>
      <c r="AA3" s="15"/>
      <c r="AB3" s="15"/>
      <c r="AC3" s="15"/>
      <c r="AD3" s="15"/>
    </row>
    <row r="4" spans="1:31" hidden="1" x14ac:dyDescent="0.25">
      <c r="A4" s="6" t="s">
        <v>95</v>
      </c>
      <c r="B4" s="7" t="s">
        <v>85</v>
      </c>
      <c r="C4" s="6"/>
      <c r="D4" s="6" t="s">
        <v>96</v>
      </c>
      <c r="E4" s="6">
        <v>28999</v>
      </c>
      <c r="F4" s="6">
        <v>1</v>
      </c>
      <c r="G4" s="6" t="s">
        <v>8</v>
      </c>
      <c r="H4" s="6">
        <v>1</v>
      </c>
      <c r="K4" t="s">
        <v>156</v>
      </c>
      <c r="L4" t="s">
        <v>17</v>
      </c>
      <c r="P4">
        <v>2</v>
      </c>
      <c r="Q4" t="s">
        <v>15</v>
      </c>
      <c r="W4" t="s">
        <v>15</v>
      </c>
      <c r="Y4" t="s">
        <v>8</v>
      </c>
      <c r="Z4" t="s">
        <v>5</v>
      </c>
      <c r="AA4" t="s">
        <v>6</v>
      </c>
      <c r="AB4" t="s">
        <v>9</v>
      </c>
      <c r="AC4" t="s">
        <v>10</v>
      </c>
      <c r="AD4" t="s">
        <v>7</v>
      </c>
      <c r="AE4" t="s">
        <v>36</v>
      </c>
    </row>
    <row r="5" spans="1:31" hidden="1" x14ac:dyDescent="0.25">
      <c r="A5" s="6" t="s">
        <v>100</v>
      </c>
      <c r="B5" s="7" t="s">
        <v>101</v>
      </c>
      <c r="C5" s="6"/>
      <c r="D5" s="6" t="s">
        <v>96</v>
      </c>
      <c r="E5" s="6">
        <v>150181011</v>
      </c>
      <c r="F5" s="6">
        <v>2</v>
      </c>
      <c r="G5" s="6" t="s">
        <v>8</v>
      </c>
      <c r="H5" s="6">
        <v>2</v>
      </c>
      <c r="K5" t="s">
        <v>156</v>
      </c>
      <c r="L5" t="s">
        <v>19</v>
      </c>
      <c r="P5">
        <v>2</v>
      </c>
      <c r="Q5" t="s">
        <v>15</v>
      </c>
      <c r="W5" t="s">
        <v>29</v>
      </c>
      <c r="Y5">
        <v>1</v>
      </c>
      <c r="Z5">
        <v>1</v>
      </c>
      <c r="AA5">
        <v>1</v>
      </c>
      <c r="AB5">
        <v>1</v>
      </c>
      <c r="AC5">
        <v>1</v>
      </c>
      <c r="AD5" t="s">
        <v>231</v>
      </c>
      <c r="AE5" t="s">
        <v>36</v>
      </c>
    </row>
    <row r="6" spans="1:31" hidden="1" x14ac:dyDescent="0.25">
      <c r="A6" s="6" t="s">
        <v>100</v>
      </c>
      <c r="B6" s="7" t="s">
        <v>102</v>
      </c>
      <c r="C6" s="6" t="s">
        <v>103</v>
      </c>
      <c r="D6" s="6"/>
      <c r="E6" s="6"/>
      <c r="F6" s="6">
        <v>1</v>
      </c>
      <c r="G6" s="6" t="s">
        <v>8</v>
      </c>
      <c r="H6" s="6">
        <v>2</v>
      </c>
      <c r="K6" t="s">
        <v>156</v>
      </c>
      <c r="L6" t="s">
        <v>20</v>
      </c>
      <c r="P6">
        <v>1</v>
      </c>
      <c r="Q6" t="s">
        <v>15</v>
      </c>
      <c r="W6" t="s">
        <v>530</v>
      </c>
      <c r="Y6">
        <v>2</v>
      </c>
      <c r="AC6">
        <v>2</v>
      </c>
      <c r="AD6" t="s">
        <v>233</v>
      </c>
    </row>
    <row r="7" spans="1:31" hidden="1" x14ac:dyDescent="0.25">
      <c r="A7" s="6" t="s">
        <v>100</v>
      </c>
      <c r="B7" s="7" t="s">
        <v>102</v>
      </c>
      <c r="C7" s="6" t="s">
        <v>104</v>
      </c>
      <c r="D7" s="6"/>
      <c r="E7" s="6"/>
      <c r="F7" s="6">
        <v>1</v>
      </c>
      <c r="G7" s="6" t="s">
        <v>8</v>
      </c>
      <c r="H7" s="6">
        <v>2</v>
      </c>
      <c r="K7" t="s">
        <v>156</v>
      </c>
      <c r="L7" t="s">
        <v>21</v>
      </c>
      <c r="P7">
        <v>1</v>
      </c>
      <c r="Q7" t="s">
        <v>15</v>
      </c>
      <c r="W7" t="s">
        <v>29</v>
      </c>
      <c r="Y7">
        <v>3</v>
      </c>
      <c r="AC7">
        <v>3</v>
      </c>
      <c r="AD7" t="s">
        <v>234</v>
      </c>
    </row>
    <row r="8" spans="1:31" hidden="1" x14ac:dyDescent="0.25">
      <c r="A8" s="6" t="s">
        <v>100</v>
      </c>
      <c r="B8" s="7" t="s">
        <v>113</v>
      </c>
      <c r="C8" s="6"/>
      <c r="D8" s="6" t="s">
        <v>96</v>
      </c>
      <c r="E8" s="6"/>
      <c r="F8" s="6">
        <v>2</v>
      </c>
      <c r="G8" s="6" t="s">
        <v>8</v>
      </c>
      <c r="H8" s="6">
        <v>2</v>
      </c>
      <c r="K8" t="s">
        <v>156</v>
      </c>
      <c r="L8" t="s">
        <v>22</v>
      </c>
      <c r="P8">
        <v>1</v>
      </c>
      <c r="Q8" t="s">
        <v>15</v>
      </c>
      <c r="W8" t="s">
        <v>531</v>
      </c>
      <c r="Y8">
        <v>4</v>
      </c>
    </row>
    <row r="9" spans="1:31" hidden="1" x14ac:dyDescent="0.25">
      <c r="A9" s="6" t="s">
        <v>109</v>
      </c>
      <c r="B9" s="7" t="s">
        <v>110</v>
      </c>
      <c r="C9" s="6" t="s">
        <v>127</v>
      </c>
      <c r="D9" s="6"/>
      <c r="E9" s="6"/>
      <c r="F9" s="6">
        <v>2</v>
      </c>
      <c r="G9" s="6" t="s">
        <v>8</v>
      </c>
      <c r="H9" s="6">
        <v>2</v>
      </c>
      <c r="K9" t="s">
        <v>156</v>
      </c>
      <c r="L9" t="s">
        <v>24</v>
      </c>
      <c r="P9">
        <v>1</v>
      </c>
      <c r="Q9" t="s">
        <v>15</v>
      </c>
    </row>
    <row r="10" spans="1:31" hidden="1" x14ac:dyDescent="0.25">
      <c r="A10" s="6" t="s">
        <v>109</v>
      </c>
      <c r="B10" s="7" t="s">
        <v>114</v>
      </c>
      <c r="C10" s="6" t="s">
        <v>128</v>
      </c>
      <c r="D10" s="6"/>
      <c r="E10" s="6"/>
      <c r="F10" s="6">
        <v>1</v>
      </c>
      <c r="G10" s="6" t="s">
        <v>8</v>
      </c>
      <c r="H10" s="6">
        <v>2</v>
      </c>
      <c r="K10" t="s">
        <v>156</v>
      </c>
      <c r="L10" t="s">
        <v>25</v>
      </c>
      <c r="P10">
        <v>1</v>
      </c>
      <c r="Q10" t="s">
        <v>15</v>
      </c>
    </row>
    <row r="11" spans="1:31" hidden="1" x14ac:dyDescent="0.25">
      <c r="A11" s="6" t="s">
        <v>242</v>
      </c>
      <c r="B11" s="7"/>
      <c r="C11" s="6"/>
      <c r="D11" s="6" t="s">
        <v>96</v>
      </c>
      <c r="E11" s="6"/>
      <c r="F11" s="6">
        <v>1</v>
      </c>
      <c r="G11" s="6" t="s">
        <v>8</v>
      </c>
      <c r="H11" s="6">
        <v>2</v>
      </c>
      <c r="K11" t="s">
        <v>156</v>
      </c>
      <c r="L11" t="s">
        <v>26</v>
      </c>
      <c r="P11">
        <v>4</v>
      </c>
      <c r="Q11" t="s">
        <v>15</v>
      </c>
    </row>
    <row r="12" spans="1:31" hidden="1" x14ac:dyDescent="0.25">
      <c r="A12" s="6" t="s">
        <v>105</v>
      </c>
      <c r="B12" s="7"/>
      <c r="C12" s="6" t="s">
        <v>107</v>
      </c>
      <c r="D12" s="6"/>
      <c r="E12" s="6"/>
      <c r="F12" s="6">
        <v>5</v>
      </c>
      <c r="G12" s="6" t="s">
        <v>8</v>
      </c>
      <c r="H12" s="6">
        <v>2</v>
      </c>
      <c r="K12" t="s">
        <v>156</v>
      </c>
      <c r="L12" t="s">
        <v>23</v>
      </c>
      <c r="P12">
        <v>1</v>
      </c>
      <c r="Q12" t="s">
        <v>15</v>
      </c>
    </row>
    <row r="13" spans="1:31" hidden="1" x14ac:dyDescent="0.25">
      <c r="A13" s="6" t="s">
        <v>111</v>
      </c>
      <c r="B13" s="7" t="s">
        <v>112</v>
      </c>
      <c r="C13" s="6"/>
      <c r="D13" s="6"/>
      <c r="E13" s="6"/>
      <c r="F13" s="6">
        <v>1</v>
      </c>
      <c r="G13" s="6" t="s">
        <v>8</v>
      </c>
      <c r="H13" s="6">
        <v>2</v>
      </c>
      <c r="K13" t="s">
        <v>471</v>
      </c>
      <c r="L13" t="s">
        <v>148</v>
      </c>
      <c r="P13">
        <v>10</v>
      </c>
      <c r="Q13" t="s">
        <v>531</v>
      </c>
    </row>
    <row r="14" spans="1:31" hidden="1" x14ac:dyDescent="0.25">
      <c r="A14" s="6" t="s">
        <v>243</v>
      </c>
      <c r="B14" s="7" t="s">
        <v>98</v>
      </c>
      <c r="C14" s="6"/>
      <c r="D14" s="6" t="s">
        <v>99</v>
      </c>
      <c r="E14" s="6"/>
      <c r="F14" s="6">
        <v>1</v>
      </c>
      <c r="G14" s="6" t="s">
        <v>8</v>
      </c>
      <c r="H14" s="6">
        <v>2</v>
      </c>
      <c r="K14" t="s">
        <v>471</v>
      </c>
      <c r="L14" t="s">
        <v>149</v>
      </c>
      <c r="P14">
        <v>4</v>
      </c>
      <c r="Q14" t="s">
        <v>531</v>
      </c>
    </row>
    <row r="15" spans="1:31" hidden="1" x14ac:dyDescent="0.25">
      <c r="A15" s="6" t="s">
        <v>244</v>
      </c>
      <c r="B15" s="7" t="s">
        <v>98</v>
      </c>
      <c r="C15" s="6"/>
      <c r="D15" s="6"/>
      <c r="E15" s="6"/>
      <c r="F15" s="6">
        <v>1</v>
      </c>
      <c r="G15" s="6" t="s">
        <v>8</v>
      </c>
      <c r="H15" s="6">
        <v>2</v>
      </c>
      <c r="K15" t="s">
        <v>471</v>
      </c>
      <c r="L15" t="s">
        <v>150</v>
      </c>
      <c r="P15">
        <v>3</v>
      </c>
      <c r="Q15" t="s">
        <v>531</v>
      </c>
    </row>
    <row r="16" spans="1:31" hidden="1" x14ac:dyDescent="0.25">
      <c r="A16" s="6" t="s">
        <v>116</v>
      </c>
      <c r="B16" s="7"/>
      <c r="C16" s="6" t="s">
        <v>117</v>
      </c>
      <c r="D16" s="6"/>
      <c r="E16" s="6"/>
      <c r="F16" s="6">
        <v>1</v>
      </c>
      <c r="G16" s="6" t="s">
        <v>8</v>
      </c>
      <c r="H16" s="6">
        <v>3</v>
      </c>
      <c r="K16" t="s">
        <v>140</v>
      </c>
      <c r="L16" t="s">
        <v>196</v>
      </c>
      <c r="P16">
        <v>1</v>
      </c>
      <c r="Q16" t="s">
        <v>29</v>
      </c>
    </row>
    <row r="17" spans="1:17" hidden="1" x14ac:dyDescent="0.25">
      <c r="A17" s="6" t="s">
        <v>116</v>
      </c>
      <c r="B17" s="7"/>
      <c r="C17" s="6" t="s">
        <v>38</v>
      </c>
      <c r="D17" s="6"/>
      <c r="E17" s="6"/>
      <c r="F17" s="6">
        <v>1</v>
      </c>
      <c r="G17" s="6" t="s">
        <v>8</v>
      </c>
      <c r="H17" s="6">
        <v>3</v>
      </c>
      <c r="K17" t="s">
        <v>140</v>
      </c>
      <c r="L17" t="s">
        <v>141</v>
      </c>
      <c r="P17">
        <v>0</v>
      </c>
      <c r="Q17" t="s">
        <v>29</v>
      </c>
    </row>
    <row r="18" spans="1:17" hidden="1" x14ac:dyDescent="0.25">
      <c r="A18" s="6" t="s">
        <v>89</v>
      </c>
      <c r="B18" s="7"/>
      <c r="C18" s="6"/>
      <c r="D18" s="6"/>
      <c r="E18" s="6"/>
      <c r="F18" s="6">
        <v>3</v>
      </c>
      <c r="G18" s="6" t="s">
        <v>8</v>
      </c>
      <c r="H18" s="6">
        <v>3</v>
      </c>
      <c r="K18" t="s">
        <v>156</v>
      </c>
      <c r="L18" t="s">
        <v>197</v>
      </c>
      <c r="P18">
        <v>0</v>
      </c>
      <c r="Q18" t="s">
        <v>29</v>
      </c>
    </row>
    <row r="19" spans="1:17" hidden="1" x14ac:dyDescent="0.25">
      <c r="A19" s="6" t="s">
        <v>86</v>
      </c>
      <c r="B19" s="7"/>
      <c r="C19" s="6" t="s">
        <v>52</v>
      </c>
      <c r="D19" s="6"/>
      <c r="E19" s="6"/>
      <c r="F19" s="6">
        <v>1</v>
      </c>
      <c r="G19" s="6" t="s">
        <v>8</v>
      </c>
      <c r="H19" s="6">
        <v>3</v>
      </c>
      <c r="K19" t="s">
        <v>156</v>
      </c>
      <c r="L19" t="s">
        <v>198</v>
      </c>
      <c r="P19">
        <v>2</v>
      </c>
      <c r="Q19" t="s">
        <v>29</v>
      </c>
    </row>
    <row r="20" spans="1:17" hidden="1" x14ac:dyDescent="0.25">
      <c r="A20" s="6" t="s">
        <v>88</v>
      </c>
      <c r="B20" s="7" t="s">
        <v>529</v>
      </c>
      <c r="C20" s="6"/>
      <c r="D20" s="6"/>
      <c r="E20" s="6"/>
      <c r="F20" s="6">
        <v>4</v>
      </c>
      <c r="G20" s="6" t="s">
        <v>8</v>
      </c>
      <c r="H20" s="6">
        <v>3</v>
      </c>
      <c r="K20" t="s">
        <v>156</v>
      </c>
      <c r="L20" t="s">
        <v>199</v>
      </c>
      <c r="P20">
        <v>0</v>
      </c>
      <c r="Q20" t="s">
        <v>29</v>
      </c>
    </row>
    <row r="21" spans="1:17" hidden="1" x14ac:dyDescent="0.25">
      <c r="A21" s="6" t="s">
        <v>88</v>
      </c>
      <c r="B21" s="7" t="s">
        <v>115</v>
      </c>
      <c r="C21" s="6"/>
      <c r="D21" s="6"/>
      <c r="E21" s="6"/>
      <c r="F21" s="6">
        <v>1</v>
      </c>
      <c r="G21" s="6" t="s">
        <v>8</v>
      </c>
      <c r="H21" s="6">
        <v>3</v>
      </c>
      <c r="K21" t="s">
        <v>156</v>
      </c>
      <c r="L21" t="s">
        <v>200</v>
      </c>
      <c r="P21">
        <v>1</v>
      </c>
      <c r="Q21" t="s">
        <v>29</v>
      </c>
    </row>
    <row r="22" spans="1:17" hidden="1" x14ac:dyDescent="0.25">
      <c r="A22" s="6" t="s">
        <v>90</v>
      </c>
      <c r="B22" s="7" t="s">
        <v>91</v>
      </c>
      <c r="C22" s="6"/>
      <c r="D22" s="6"/>
      <c r="E22" s="6"/>
      <c r="F22" s="6">
        <v>1</v>
      </c>
      <c r="G22" s="6" t="s">
        <v>8</v>
      </c>
      <c r="H22" s="6">
        <v>3</v>
      </c>
      <c r="K22" t="s">
        <v>156</v>
      </c>
      <c r="L22" t="s">
        <v>201</v>
      </c>
      <c r="P22">
        <v>1</v>
      </c>
      <c r="Q22" t="s">
        <v>29</v>
      </c>
    </row>
    <row r="23" spans="1:17" hidden="1" x14ac:dyDescent="0.25">
      <c r="A23" s="6" t="s">
        <v>83</v>
      </c>
      <c r="B23" s="7" t="s">
        <v>245</v>
      </c>
      <c r="C23" s="6"/>
      <c r="D23" s="6"/>
      <c r="E23" s="6"/>
      <c r="F23" s="6">
        <v>1</v>
      </c>
      <c r="G23" s="6" t="s">
        <v>8</v>
      </c>
      <c r="H23" s="6">
        <v>4</v>
      </c>
      <c r="K23" t="s">
        <v>156</v>
      </c>
      <c r="L23" t="s">
        <v>26</v>
      </c>
      <c r="P23">
        <v>0</v>
      </c>
      <c r="Q23" t="s">
        <v>29</v>
      </c>
    </row>
    <row r="24" spans="1:17" hidden="1" x14ac:dyDescent="0.25">
      <c r="A24" s="6" t="s">
        <v>80</v>
      </c>
      <c r="B24" s="7" t="s">
        <v>81</v>
      </c>
      <c r="C24" s="6"/>
      <c r="D24" s="6" t="s">
        <v>82</v>
      </c>
      <c r="E24" s="6">
        <v>25</v>
      </c>
      <c r="F24" s="6">
        <v>1</v>
      </c>
      <c r="G24" s="6" t="s">
        <v>8</v>
      </c>
      <c r="H24" s="6">
        <v>4</v>
      </c>
      <c r="K24" t="s">
        <v>156</v>
      </c>
      <c r="L24" t="s">
        <v>202</v>
      </c>
      <c r="P24">
        <v>4</v>
      </c>
      <c r="Q24" t="s">
        <v>29</v>
      </c>
    </row>
    <row r="25" spans="1:17" ht="30" hidden="1" x14ac:dyDescent="0.25">
      <c r="A25" s="6" t="s">
        <v>80</v>
      </c>
      <c r="B25" s="7" t="s">
        <v>84</v>
      </c>
      <c r="C25" s="6"/>
      <c r="D25" s="6"/>
      <c r="E25" s="6"/>
      <c r="F25" s="6">
        <v>1</v>
      </c>
      <c r="G25" s="6" t="s">
        <v>8</v>
      </c>
      <c r="H25" s="6">
        <v>4</v>
      </c>
      <c r="K25" t="s">
        <v>156</v>
      </c>
      <c r="L25" t="s">
        <v>203</v>
      </c>
      <c r="P25">
        <v>1</v>
      </c>
      <c r="Q25" t="s">
        <v>29</v>
      </c>
    </row>
    <row r="26" spans="1:17" hidden="1" x14ac:dyDescent="0.25">
      <c r="A26" s="6" t="s">
        <v>241</v>
      </c>
      <c r="B26" s="7" t="s">
        <v>94</v>
      </c>
      <c r="C26" s="6"/>
      <c r="D26" s="6"/>
      <c r="E26" s="6"/>
      <c r="F26" s="6">
        <v>1</v>
      </c>
      <c r="G26" s="6" t="s">
        <v>8</v>
      </c>
      <c r="H26" s="6">
        <v>4</v>
      </c>
      <c r="K26" t="s">
        <v>156</v>
      </c>
      <c r="L26" t="s">
        <v>204</v>
      </c>
      <c r="P26">
        <v>1</v>
      </c>
      <c r="Q26" t="s">
        <v>29</v>
      </c>
    </row>
    <row r="27" spans="1:17" ht="75" hidden="1" x14ac:dyDescent="0.25">
      <c r="A27" s="6" t="s">
        <v>92</v>
      </c>
      <c r="B27" s="7" t="str">
        <f>bolso("Caja de herramientas 1",Table6[])</f>
        <v xml:space="preserve">Caja de herramientas 1 Contiene:  Pico de loro x2,  Martillo x2,  Alicate x1,  Tijera para chapa x1,  llave fija 17mm x1,  pinza de punta x1,  llave stilson x1,  Llave union x4,  pinza x1, </v>
      </c>
      <c r="C27" s="6"/>
      <c r="D27" s="6" t="s">
        <v>27</v>
      </c>
      <c r="E27" s="6" t="s">
        <v>27</v>
      </c>
      <c r="F27" s="6">
        <v>1</v>
      </c>
      <c r="G27" s="6" t="s">
        <v>5</v>
      </c>
      <c r="H27" s="6">
        <v>1</v>
      </c>
      <c r="K27" t="s">
        <v>156</v>
      </c>
      <c r="L27" t="s">
        <v>205</v>
      </c>
      <c r="P27">
        <v>1</v>
      </c>
      <c r="Q27" t="s">
        <v>29</v>
      </c>
    </row>
    <row r="28" spans="1:17" hidden="1" x14ac:dyDescent="0.25">
      <c r="A28" s="6" t="s">
        <v>32</v>
      </c>
      <c r="B28" s="7" t="s">
        <v>71</v>
      </c>
      <c r="C28" s="6" t="s">
        <v>33</v>
      </c>
      <c r="D28" s="6" t="s">
        <v>27</v>
      </c>
      <c r="E28" s="6">
        <v>2130600061</v>
      </c>
      <c r="F28" s="6">
        <v>2</v>
      </c>
      <c r="G28" s="6" t="s">
        <v>5</v>
      </c>
      <c r="H28" s="6">
        <v>1</v>
      </c>
      <c r="K28" t="s">
        <v>156</v>
      </c>
      <c r="L28" t="s">
        <v>206</v>
      </c>
      <c r="P28">
        <v>1</v>
      </c>
      <c r="Q28" t="s">
        <v>29</v>
      </c>
    </row>
    <row r="29" spans="1:17" hidden="1" x14ac:dyDescent="0.25">
      <c r="A29" s="6" t="s">
        <v>32</v>
      </c>
      <c r="B29" s="7" t="s">
        <v>74</v>
      </c>
      <c r="C29" s="6" t="s">
        <v>33</v>
      </c>
      <c r="D29" s="6" t="s">
        <v>27</v>
      </c>
      <c r="E29" s="6" t="s">
        <v>27</v>
      </c>
      <c r="F29" s="6">
        <v>1</v>
      </c>
      <c r="G29" s="6" t="s">
        <v>5</v>
      </c>
      <c r="H29" s="6">
        <v>1</v>
      </c>
      <c r="K29" t="s">
        <v>156</v>
      </c>
      <c r="L29" t="s">
        <v>207</v>
      </c>
      <c r="P29">
        <v>2</v>
      </c>
      <c r="Q29" t="s">
        <v>29</v>
      </c>
    </row>
    <row r="30" spans="1:17" hidden="1" x14ac:dyDescent="0.25">
      <c r="A30" s="6" t="s">
        <v>32</v>
      </c>
      <c r="B30" s="7" t="s">
        <v>71</v>
      </c>
      <c r="C30" s="6" t="s">
        <v>72</v>
      </c>
      <c r="D30" s="6" t="s">
        <v>27</v>
      </c>
      <c r="E30" s="6" t="s">
        <v>78</v>
      </c>
      <c r="F30" s="6">
        <v>1</v>
      </c>
      <c r="G30" s="6" t="s">
        <v>5</v>
      </c>
      <c r="H30" s="6">
        <v>1</v>
      </c>
      <c r="K30" t="s">
        <v>156</v>
      </c>
      <c r="L30" t="s">
        <v>208</v>
      </c>
      <c r="P30">
        <v>1</v>
      </c>
      <c r="Q30" t="s">
        <v>29</v>
      </c>
    </row>
    <row r="31" spans="1:17" hidden="1" x14ac:dyDescent="0.25">
      <c r="A31" s="6" t="s">
        <v>73</v>
      </c>
      <c r="B31" s="7" t="s">
        <v>71</v>
      </c>
      <c r="C31" s="6" t="s">
        <v>72</v>
      </c>
      <c r="D31" s="6" t="s">
        <v>27</v>
      </c>
      <c r="E31" s="6" t="s">
        <v>27</v>
      </c>
      <c r="F31" s="6">
        <v>1</v>
      </c>
      <c r="G31" s="6" t="s">
        <v>5</v>
      </c>
      <c r="H31" s="6">
        <v>1</v>
      </c>
      <c r="K31" t="s">
        <v>156</v>
      </c>
      <c r="L31" t="s">
        <v>209</v>
      </c>
      <c r="P31">
        <v>1</v>
      </c>
      <c r="Q31" t="s">
        <v>29</v>
      </c>
    </row>
    <row r="32" spans="1:17" hidden="1" x14ac:dyDescent="0.25">
      <c r="A32" s="6" t="s">
        <v>11</v>
      </c>
      <c r="B32" s="7" t="s">
        <v>75</v>
      </c>
      <c r="C32" s="6" t="s">
        <v>30</v>
      </c>
      <c r="D32" s="6" t="s">
        <v>27</v>
      </c>
      <c r="E32" s="6" t="s">
        <v>27</v>
      </c>
      <c r="F32" s="6">
        <v>3</v>
      </c>
      <c r="G32" s="6" t="s">
        <v>5</v>
      </c>
      <c r="H32" s="6">
        <v>1</v>
      </c>
      <c r="K32" t="s">
        <v>471</v>
      </c>
      <c r="L32" t="s">
        <v>532</v>
      </c>
      <c r="P32">
        <v>20</v>
      </c>
      <c r="Q32" t="s">
        <v>530</v>
      </c>
    </row>
    <row r="33" spans="1:8" hidden="1" x14ac:dyDescent="0.25">
      <c r="A33" s="6" t="s">
        <v>11</v>
      </c>
      <c r="B33" s="7" t="s">
        <v>533</v>
      </c>
      <c r="C33" s="6" t="s">
        <v>123</v>
      </c>
      <c r="D33" s="6" t="s">
        <v>27</v>
      </c>
      <c r="E33" s="6" t="s">
        <v>27</v>
      </c>
      <c r="F33" s="6">
        <v>1</v>
      </c>
      <c r="G33" s="6" t="s">
        <v>5</v>
      </c>
      <c r="H33" s="6">
        <v>1</v>
      </c>
    </row>
    <row r="34" spans="1:8" hidden="1" x14ac:dyDescent="0.25">
      <c r="A34" s="6" t="s">
        <v>11</v>
      </c>
      <c r="B34" s="7" t="s">
        <v>76</v>
      </c>
      <c r="C34" s="6" t="s">
        <v>77</v>
      </c>
      <c r="D34" s="6" t="s">
        <v>27</v>
      </c>
      <c r="E34" s="6" t="s">
        <v>27</v>
      </c>
      <c r="F34" s="6">
        <v>1</v>
      </c>
      <c r="G34" s="6" t="s">
        <v>5</v>
      </c>
      <c r="H34" s="6">
        <v>1</v>
      </c>
    </row>
    <row r="35" spans="1:8" hidden="1" x14ac:dyDescent="0.25">
      <c r="A35" s="6" t="s">
        <v>11</v>
      </c>
      <c r="B35" s="7" t="s">
        <v>246</v>
      </c>
      <c r="C35" s="6" t="s">
        <v>79</v>
      </c>
      <c r="D35" s="6" t="s">
        <v>27</v>
      </c>
      <c r="E35" s="6" t="s">
        <v>27</v>
      </c>
      <c r="F35" s="6">
        <v>1</v>
      </c>
      <c r="G35" s="6" t="s">
        <v>5</v>
      </c>
      <c r="H35" s="6">
        <v>1</v>
      </c>
    </row>
    <row r="36" spans="1:8" hidden="1" x14ac:dyDescent="0.25">
      <c r="A36" s="6" t="s">
        <v>43</v>
      </c>
      <c r="B36" s="7" t="s">
        <v>68</v>
      </c>
      <c r="C36" s="6" t="s">
        <v>66</v>
      </c>
      <c r="D36" s="6" t="s">
        <v>27</v>
      </c>
      <c r="E36" s="6" t="s">
        <v>27</v>
      </c>
      <c r="F36" s="6">
        <v>1</v>
      </c>
      <c r="G36" s="6" t="s">
        <v>6</v>
      </c>
      <c r="H36" s="6">
        <v>1</v>
      </c>
    </row>
    <row r="37" spans="1:8" hidden="1" x14ac:dyDescent="0.25">
      <c r="A37" s="6" t="s">
        <v>43</v>
      </c>
      <c r="B37" s="7"/>
      <c r="C37" s="6" t="s">
        <v>66</v>
      </c>
      <c r="D37" s="6" t="s">
        <v>27</v>
      </c>
      <c r="E37" s="6" t="s">
        <v>27</v>
      </c>
      <c r="F37" s="6">
        <v>1</v>
      </c>
      <c r="G37" s="6" t="s">
        <v>6</v>
      </c>
      <c r="H37" s="6">
        <v>1</v>
      </c>
    </row>
    <row r="38" spans="1:8" hidden="1" x14ac:dyDescent="0.25">
      <c r="A38" s="6" t="s">
        <v>46</v>
      </c>
      <c r="B38" s="7"/>
      <c r="C38" s="6"/>
      <c r="D38" s="6" t="s">
        <v>47</v>
      </c>
      <c r="E38" s="6" t="s">
        <v>27</v>
      </c>
      <c r="F38" s="6">
        <v>1</v>
      </c>
      <c r="G38" s="6" t="s">
        <v>6</v>
      </c>
      <c r="H38" s="6">
        <v>1</v>
      </c>
    </row>
    <row r="39" spans="1:8" hidden="1" x14ac:dyDescent="0.25">
      <c r="A39" s="6" t="s">
        <v>53</v>
      </c>
      <c r="B39" s="7" t="s">
        <v>238</v>
      </c>
      <c r="C39" s="6"/>
      <c r="D39" s="6" t="s">
        <v>27</v>
      </c>
      <c r="E39" s="6" t="s">
        <v>27</v>
      </c>
      <c r="F39" s="6">
        <v>5</v>
      </c>
      <c r="G39" s="6" t="s">
        <v>6</v>
      </c>
      <c r="H39" s="6">
        <v>1</v>
      </c>
    </row>
    <row r="40" spans="1:8" hidden="1" x14ac:dyDescent="0.25">
      <c r="A40" s="6" t="s">
        <v>61</v>
      </c>
      <c r="B40" s="7" t="s">
        <v>62</v>
      </c>
      <c r="C40" s="6" t="s">
        <v>63</v>
      </c>
      <c r="D40" s="6" t="s">
        <v>27</v>
      </c>
      <c r="E40" s="6" t="s">
        <v>27</v>
      </c>
      <c r="F40" s="6">
        <v>1</v>
      </c>
      <c r="G40" s="6" t="s">
        <v>6</v>
      </c>
      <c r="H40" s="6">
        <v>1</v>
      </c>
    </row>
    <row r="41" spans="1:8" ht="30" hidden="1" x14ac:dyDescent="0.25">
      <c r="A41" s="6" t="s">
        <v>32</v>
      </c>
      <c r="B41" s="7" t="s">
        <v>51</v>
      </c>
      <c r="C41" s="6" t="s">
        <v>52</v>
      </c>
      <c r="D41" s="6" t="s">
        <v>27</v>
      </c>
      <c r="E41" s="6" t="s">
        <v>27</v>
      </c>
      <c r="F41" s="6">
        <v>1</v>
      </c>
      <c r="G41" s="6" t="s">
        <v>6</v>
      </c>
      <c r="H41" s="6">
        <v>1</v>
      </c>
    </row>
    <row r="42" spans="1:8" hidden="1" x14ac:dyDescent="0.25">
      <c r="A42" s="6" t="s">
        <v>59</v>
      </c>
      <c r="B42" s="7" t="s">
        <v>60</v>
      </c>
      <c r="C42" s="6" t="s">
        <v>33</v>
      </c>
      <c r="D42" s="6" t="s">
        <v>27</v>
      </c>
      <c r="E42" s="6" t="s">
        <v>27</v>
      </c>
      <c r="F42" s="6">
        <v>1</v>
      </c>
      <c r="G42" s="6" t="s">
        <v>6</v>
      </c>
      <c r="H42" s="6">
        <v>1</v>
      </c>
    </row>
    <row r="43" spans="1:8" hidden="1" x14ac:dyDescent="0.25">
      <c r="A43" s="6" t="s">
        <v>44</v>
      </c>
      <c r="B43" s="7"/>
      <c r="C43" s="6" t="s">
        <v>70</v>
      </c>
      <c r="D43" s="6" t="s">
        <v>27</v>
      </c>
      <c r="E43" s="6" t="s">
        <v>27</v>
      </c>
      <c r="F43" s="6">
        <v>1</v>
      </c>
      <c r="G43" s="6" t="s">
        <v>6</v>
      </c>
      <c r="H43" s="6">
        <v>1</v>
      </c>
    </row>
    <row r="44" spans="1:8" hidden="1" x14ac:dyDescent="0.25">
      <c r="A44" s="6" t="s">
        <v>44</v>
      </c>
      <c r="B44" s="7"/>
      <c r="C44" s="6" t="s">
        <v>69</v>
      </c>
      <c r="D44" s="6" t="s">
        <v>27</v>
      </c>
      <c r="E44" s="6" t="s">
        <v>27</v>
      </c>
      <c r="F44" s="6">
        <v>1</v>
      </c>
      <c r="G44" s="6" t="s">
        <v>6</v>
      </c>
      <c r="H44" s="6">
        <v>1</v>
      </c>
    </row>
    <row r="45" spans="1:8" hidden="1" x14ac:dyDescent="0.25">
      <c r="A45" s="6" t="s">
        <v>44</v>
      </c>
      <c r="B45" s="7"/>
      <c r="C45" s="6" t="s">
        <v>45</v>
      </c>
      <c r="D45" s="6" t="s">
        <v>27</v>
      </c>
      <c r="E45" s="6" t="s">
        <v>27</v>
      </c>
      <c r="F45" s="6">
        <v>2</v>
      </c>
      <c r="G45" s="6" t="s">
        <v>6</v>
      </c>
      <c r="H45" s="6">
        <v>1</v>
      </c>
    </row>
    <row r="46" spans="1:8" hidden="1" x14ac:dyDescent="0.25">
      <c r="A46" s="6" t="s">
        <v>44</v>
      </c>
      <c r="B46" s="7"/>
      <c r="C46" s="6" t="s">
        <v>67</v>
      </c>
      <c r="D46" s="6" t="s">
        <v>27</v>
      </c>
      <c r="E46" s="6" t="s">
        <v>27</v>
      </c>
      <c r="F46" s="6">
        <v>2</v>
      </c>
      <c r="G46" s="6" t="s">
        <v>6</v>
      </c>
      <c r="H46" s="6">
        <v>1</v>
      </c>
    </row>
    <row r="47" spans="1:8" hidden="1" x14ac:dyDescent="0.25">
      <c r="A47" s="6" t="s">
        <v>11</v>
      </c>
      <c r="B47" s="7" t="s">
        <v>57</v>
      </c>
      <c r="C47" s="6" t="s">
        <v>58</v>
      </c>
      <c r="D47" s="6" t="s">
        <v>27</v>
      </c>
      <c r="E47" s="6" t="s">
        <v>27</v>
      </c>
      <c r="F47" s="6">
        <v>1</v>
      </c>
      <c r="G47" s="6" t="s">
        <v>6</v>
      </c>
      <c r="H47" s="6">
        <v>1</v>
      </c>
    </row>
    <row r="48" spans="1:8" hidden="1" x14ac:dyDescent="0.25">
      <c r="A48" s="6" t="s">
        <v>11</v>
      </c>
      <c r="B48" s="7" t="s">
        <v>49</v>
      </c>
      <c r="C48" s="6" t="s">
        <v>31</v>
      </c>
      <c r="D48" s="6" t="s">
        <v>27</v>
      </c>
      <c r="E48" s="6" t="s">
        <v>27</v>
      </c>
      <c r="F48" s="6">
        <v>4</v>
      </c>
      <c r="G48" s="6" t="s">
        <v>6</v>
      </c>
      <c r="H48" s="6">
        <v>1</v>
      </c>
    </row>
    <row r="49" spans="1:8" hidden="1" x14ac:dyDescent="0.25">
      <c r="A49" s="6" t="s">
        <v>54</v>
      </c>
      <c r="B49" s="7"/>
      <c r="C49" s="6" t="s">
        <v>55</v>
      </c>
      <c r="D49" s="6" t="s">
        <v>56</v>
      </c>
      <c r="E49" s="6">
        <v>30674</v>
      </c>
      <c r="F49" s="6">
        <v>1</v>
      </c>
      <c r="G49" s="6" t="s">
        <v>6</v>
      </c>
      <c r="H49" s="6">
        <v>1</v>
      </c>
    </row>
    <row r="50" spans="1:8" hidden="1" x14ac:dyDescent="0.25">
      <c r="A50" s="6" t="s">
        <v>109</v>
      </c>
      <c r="B50" s="7" t="s">
        <v>124</v>
      </c>
      <c r="C50" s="6" t="s">
        <v>125</v>
      </c>
      <c r="D50" s="6"/>
      <c r="E50" s="6"/>
      <c r="F50" s="6">
        <v>2</v>
      </c>
      <c r="G50" s="6" t="s">
        <v>9</v>
      </c>
      <c r="H50" s="6">
        <v>1</v>
      </c>
    </row>
    <row r="51" spans="1:8" hidden="1" x14ac:dyDescent="0.25">
      <c r="A51" s="6" t="s">
        <v>109</v>
      </c>
      <c r="B51" s="7" t="s">
        <v>124</v>
      </c>
      <c r="C51" s="6" t="s">
        <v>126</v>
      </c>
      <c r="D51" s="6"/>
      <c r="E51" s="6"/>
      <c r="F51" s="6">
        <v>1</v>
      </c>
      <c r="G51" s="6" t="s">
        <v>9</v>
      </c>
      <c r="H51" s="6">
        <v>1</v>
      </c>
    </row>
    <row r="52" spans="1:8" hidden="1" x14ac:dyDescent="0.25">
      <c r="A52" s="6" t="s">
        <v>135</v>
      </c>
      <c r="B52" s="7" t="s">
        <v>136</v>
      </c>
      <c r="C52" s="6"/>
      <c r="D52" s="6" t="s">
        <v>137</v>
      </c>
      <c r="E52" s="6" t="s">
        <v>138</v>
      </c>
      <c r="F52" s="6">
        <v>1</v>
      </c>
      <c r="G52" s="6" t="s">
        <v>9</v>
      </c>
      <c r="H52" s="6">
        <v>1</v>
      </c>
    </row>
    <row r="53" spans="1:8" hidden="1" x14ac:dyDescent="0.25">
      <c r="A53" s="6" t="s">
        <v>132</v>
      </c>
      <c r="B53" s="7" t="s">
        <v>133</v>
      </c>
      <c r="C53" s="6" t="s">
        <v>63</v>
      </c>
      <c r="D53" s="6" t="s">
        <v>134</v>
      </c>
      <c r="E53" s="6">
        <v>1078949</v>
      </c>
      <c r="F53" s="6">
        <v>1</v>
      </c>
      <c r="G53" s="6" t="s">
        <v>9</v>
      </c>
      <c r="H53" s="6">
        <v>1</v>
      </c>
    </row>
    <row r="54" spans="1:8" hidden="1" x14ac:dyDescent="0.25">
      <c r="A54" s="6" t="s">
        <v>11</v>
      </c>
      <c r="B54" s="7" t="s">
        <v>118</v>
      </c>
      <c r="C54" s="6" t="s">
        <v>119</v>
      </c>
      <c r="D54" s="6"/>
      <c r="E54" s="6"/>
      <c r="F54" s="6">
        <v>2</v>
      </c>
      <c r="G54" s="6" t="s">
        <v>9</v>
      </c>
      <c r="H54" s="6">
        <v>1</v>
      </c>
    </row>
    <row r="55" spans="1:8" hidden="1" x14ac:dyDescent="0.25">
      <c r="A55" s="6" t="s">
        <v>11</v>
      </c>
      <c r="B55" s="7" t="s">
        <v>57</v>
      </c>
      <c r="C55" s="6" t="s">
        <v>79</v>
      </c>
      <c r="D55" s="6"/>
      <c r="E55" s="6"/>
      <c r="F55" s="6">
        <v>4</v>
      </c>
      <c r="G55" s="6" t="s">
        <v>9</v>
      </c>
      <c r="H55" s="6">
        <v>1</v>
      </c>
    </row>
    <row r="56" spans="1:8" hidden="1" x14ac:dyDescent="0.25">
      <c r="A56" s="6" t="s">
        <v>11</v>
      </c>
      <c r="B56" s="7" t="s">
        <v>120</v>
      </c>
      <c r="C56" s="6" t="s">
        <v>121</v>
      </c>
      <c r="D56" s="6"/>
      <c r="E56" s="6"/>
      <c r="F56" s="6">
        <v>1</v>
      </c>
      <c r="G56" s="6" t="s">
        <v>9</v>
      </c>
      <c r="H56" s="6">
        <v>1</v>
      </c>
    </row>
    <row r="57" spans="1:8" hidden="1" x14ac:dyDescent="0.25">
      <c r="A57" s="6" t="s">
        <v>11</v>
      </c>
      <c r="B57" s="7" t="s">
        <v>122</v>
      </c>
      <c r="C57" s="6" t="s">
        <v>123</v>
      </c>
      <c r="D57" s="6"/>
      <c r="E57" s="6"/>
      <c r="F57" s="6">
        <v>1</v>
      </c>
      <c r="G57" s="6" t="s">
        <v>9</v>
      </c>
      <c r="H57" s="6">
        <v>2</v>
      </c>
    </row>
    <row r="58" spans="1:8" hidden="1" x14ac:dyDescent="0.25">
      <c r="A58" s="6" t="s">
        <v>11</v>
      </c>
      <c r="B58" s="7" t="s">
        <v>120</v>
      </c>
      <c r="C58" s="6" t="s">
        <v>123</v>
      </c>
      <c r="D58" s="6"/>
      <c r="E58" s="6"/>
      <c r="F58" s="6">
        <v>1</v>
      </c>
      <c r="G58" s="6" t="s">
        <v>9</v>
      </c>
      <c r="H58" s="6">
        <v>1</v>
      </c>
    </row>
    <row r="59" spans="1:8" hidden="1" x14ac:dyDescent="0.25">
      <c r="A59" s="6" t="s">
        <v>173</v>
      </c>
      <c r="B59" s="7"/>
      <c r="C59" s="6" t="s">
        <v>63</v>
      </c>
      <c r="D59" s="6"/>
      <c r="E59" s="6"/>
      <c r="F59" s="6">
        <v>1</v>
      </c>
      <c r="G59" s="6" t="s">
        <v>10</v>
      </c>
      <c r="H59" s="6">
        <v>1</v>
      </c>
    </row>
    <row r="60" spans="1:8" hidden="1" x14ac:dyDescent="0.25">
      <c r="A60" s="6" t="s">
        <v>174</v>
      </c>
      <c r="B60" s="7"/>
      <c r="C60" s="6" t="s">
        <v>236</v>
      </c>
      <c r="D60" s="6"/>
      <c r="E60" s="6"/>
      <c r="F60" s="6">
        <v>1</v>
      </c>
      <c r="G60" s="6" t="s">
        <v>10</v>
      </c>
      <c r="H60" s="6">
        <v>1</v>
      </c>
    </row>
    <row r="61" spans="1:8" hidden="1" x14ac:dyDescent="0.25">
      <c r="A61" s="6" t="s">
        <v>156</v>
      </c>
      <c r="B61" s="7" t="s">
        <v>176</v>
      </c>
      <c r="C61" s="6"/>
      <c r="D61" s="6"/>
      <c r="E61" s="6"/>
      <c r="F61" s="6">
        <v>1</v>
      </c>
      <c r="G61" s="6" t="s">
        <v>10</v>
      </c>
      <c r="H61" s="6">
        <v>1</v>
      </c>
    </row>
    <row r="62" spans="1:8" hidden="1" x14ac:dyDescent="0.25">
      <c r="A62" s="6" t="s">
        <v>156</v>
      </c>
      <c r="B62" s="7" t="s">
        <v>177</v>
      </c>
      <c r="C62" s="6"/>
      <c r="D62" s="6"/>
      <c r="E62" s="6"/>
      <c r="F62" s="6">
        <v>2</v>
      </c>
      <c r="G62" s="6" t="s">
        <v>10</v>
      </c>
      <c r="H62" s="6">
        <v>1</v>
      </c>
    </row>
    <row r="63" spans="1:8" hidden="1" x14ac:dyDescent="0.25">
      <c r="A63" s="6" t="s">
        <v>156</v>
      </c>
      <c r="B63" s="7" t="s">
        <v>178</v>
      </c>
      <c r="C63" s="6"/>
      <c r="D63" s="6"/>
      <c r="E63" s="6"/>
      <c r="F63" s="6">
        <v>1</v>
      </c>
      <c r="G63" s="6" t="s">
        <v>10</v>
      </c>
      <c r="H63" s="6">
        <v>1</v>
      </c>
    </row>
    <row r="64" spans="1:8" hidden="1" x14ac:dyDescent="0.25">
      <c r="A64" s="6" t="s">
        <v>12</v>
      </c>
      <c r="B64" s="7" t="s">
        <v>180</v>
      </c>
      <c r="C64" s="6"/>
      <c r="D64" s="6" t="s">
        <v>181</v>
      </c>
      <c r="E64" s="6" t="s">
        <v>183</v>
      </c>
      <c r="F64" s="6">
        <v>1</v>
      </c>
      <c r="G64" s="6" t="s">
        <v>10</v>
      </c>
      <c r="H64" s="6">
        <v>1</v>
      </c>
    </row>
    <row r="65" spans="1:8" hidden="1" x14ac:dyDescent="0.25">
      <c r="A65" s="6" t="s">
        <v>12</v>
      </c>
      <c r="B65" s="7" t="s">
        <v>179</v>
      </c>
      <c r="C65" s="6" t="s">
        <v>184</v>
      </c>
      <c r="D65" s="6" t="s">
        <v>186</v>
      </c>
      <c r="E65" s="6" t="s">
        <v>185</v>
      </c>
      <c r="F65" s="6">
        <v>1</v>
      </c>
      <c r="G65" s="6" t="s">
        <v>10</v>
      </c>
      <c r="H65" s="6">
        <v>1</v>
      </c>
    </row>
    <row r="66" spans="1:8" hidden="1" x14ac:dyDescent="0.25">
      <c r="A66" s="6" t="s">
        <v>12</v>
      </c>
      <c r="B66" s="7" t="s">
        <v>179</v>
      </c>
      <c r="C66" s="6" t="s">
        <v>187</v>
      </c>
      <c r="D66" s="6" t="s">
        <v>182</v>
      </c>
      <c r="E66" s="6"/>
      <c r="F66" s="6">
        <v>1</v>
      </c>
      <c r="G66" s="6" t="s">
        <v>10</v>
      </c>
      <c r="H66" s="6">
        <v>1</v>
      </c>
    </row>
    <row r="67" spans="1:8" hidden="1" x14ac:dyDescent="0.25">
      <c r="A67" s="6" t="s">
        <v>175</v>
      </c>
      <c r="B67" s="7"/>
      <c r="C67" s="6" t="s">
        <v>237</v>
      </c>
      <c r="D67" s="6"/>
      <c r="E67" s="6"/>
      <c r="F67" s="6">
        <v>1</v>
      </c>
      <c r="G67" s="6" t="s">
        <v>10</v>
      </c>
      <c r="H67" s="6">
        <v>1</v>
      </c>
    </row>
    <row r="68" spans="1:8" hidden="1" x14ac:dyDescent="0.25">
      <c r="A68" s="6" t="s">
        <v>139</v>
      </c>
      <c r="B68" s="7"/>
      <c r="C68" s="6"/>
      <c r="D68" s="6"/>
      <c r="E68" s="6"/>
      <c r="F68" s="6">
        <v>3</v>
      </c>
      <c r="G68" s="6" t="s">
        <v>10</v>
      </c>
      <c r="H68" s="6">
        <v>2</v>
      </c>
    </row>
    <row r="69" spans="1:8" hidden="1" x14ac:dyDescent="0.25">
      <c r="A69" s="6" t="s">
        <v>92</v>
      </c>
      <c r="B69" s="7" t="str">
        <f>bolso("Caja de tacos",Table6[])</f>
        <v xml:space="preserve">Caja de tacos Contiene: </v>
      </c>
      <c r="C69" s="6"/>
      <c r="D69" s="6"/>
      <c r="E69" s="6"/>
      <c r="F69" s="6">
        <v>1</v>
      </c>
      <c r="G69" s="6" t="s">
        <v>10</v>
      </c>
      <c r="H69" s="6">
        <v>2</v>
      </c>
    </row>
    <row r="70" spans="1:8" hidden="1" x14ac:dyDescent="0.25">
      <c r="A70" s="6" t="s">
        <v>143</v>
      </c>
      <c r="B70" s="7"/>
      <c r="C70" s="6"/>
      <c r="D70" s="6"/>
      <c r="E70" s="6"/>
      <c r="F70" s="6">
        <v>1</v>
      </c>
      <c r="G70" s="6" t="s">
        <v>10</v>
      </c>
      <c r="H70" s="6">
        <v>2</v>
      </c>
    </row>
    <row r="71" spans="1:8" hidden="1" x14ac:dyDescent="0.25">
      <c r="A71" s="6" t="s">
        <v>154</v>
      </c>
      <c r="B71" s="7" t="s">
        <v>155</v>
      </c>
      <c r="C71" s="6"/>
      <c r="D71" s="6"/>
      <c r="E71" s="6"/>
      <c r="F71" s="6">
        <v>1</v>
      </c>
      <c r="G71" s="6" t="s">
        <v>10</v>
      </c>
      <c r="H71" s="6">
        <v>2</v>
      </c>
    </row>
    <row r="72" spans="1:8" hidden="1" x14ac:dyDescent="0.25">
      <c r="A72" s="6" t="s">
        <v>156</v>
      </c>
      <c r="B72" s="7" t="s">
        <v>165</v>
      </c>
      <c r="C72" s="6" t="s">
        <v>166</v>
      </c>
      <c r="D72" s="6"/>
      <c r="E72" s="6"/>
      <c r="F72" s="6">
        <v>1</v>
      </c>
      <c r="G72" s="6" t="s">
        <v>10</v>
      </c>
      <c r="H72" s="6">
        <v>2</v>
      </c>
    </row>
    <row r="73" spans="1:8" hidden="1" x14ac:dyDescent="0.25">
      <c r="A73" s="6" t="s">
        <v>156</v>
      </c>
      <c r="B73" s="7" t="s">
        <v>165</v>
      </c>
      <c r="C73" s="6" t="s">
        <v>167</v>
      </c>
      <c r="D73" s="6"/>
      <c r="E73" s="6"/>
      <c r="F73" s="6">
        <v>1</v>
      </c>
      <c r="G73" s="6" t="s">
        <v>10</v>
      </c>
      <c r="H73" s="6">
        <v>2</v>
      </c>
    </row>
    <row r="74" spans="1:8" hidden="1" x14ac:dyDescent="0.25">
      <c r="A74" s="6" t="s">
        <v>156</v>
      </c>
      <c r="B74" s="7" t="s">
        <v>168</v>
      </c>
      <c r="C74" s="6" t="s">
        <v>158</v>
      </c>
      <c r="D74" s="6"/>
      <c r="E74" s="6"/>
      <c r="F74" s="6">
        <v>1</v>
      </c>
      <c r="G74" s="6" t="s">
        <v>10</v>
      </c>
      <c r="H74" s="6">
        <v>2</v>
      </c>
    </row>
    <row r="75" spans="1:8" hidden="1" x14ac:dyDescent="0.25">
      <c r="A75" s="6" t="s">
        <v>156</v>
      </c>
      <c r="B75" s="7" t="s">
        <v>168</v>
      </c>
      <c r="C75" s="6" t="s">
        <v>166</v>
      </c>
      <c r="D75" s="6"/>
      <c r="E75" s="6"/>
      <c r="F75" s="6">
        <v>1</v>
      </c>
      <c r="G75" s="6" t="s">
        <v>10</v>
      </c>
      <c r="H75" s="6">
        <v>2</v>
      </c>
    </row>
    <row r="76" spans="1:8" hidden="1" x14ac:dyDescent="0.25">
      <c r="A76" s="6" t="s">
        <v>156</v>
      </c>
      <c r="B76" s="7" t="s">
        <v>169</v>
      </c>
      <c r="C76" s="6"/>
      <c r="D76" s="6"/>
      <c r="E76" s="6"/>
      <c r="F76" s="6">
        <v>1</v>
      </c>
      <c r="G76" s="6" t="s">
        <v>10</v>
      </c>
      <c r="H76" s="6">
        <v>2</v>
      </c>
    </row>
    <row r="77" spans="1:8" hidden="1" x14ac:dyDescent="0.25">
      <c r="A77" s="6" t="s">
        <v>156</v>
      </c>
      <c r="B77" s="7" t="s">
        <v>170</v>
      </c>
      <c r="C77" s="6"/>
      <c r="D77" s="6"/>
      <c r="E77" s="6"/>
      <c r="F77" s="6">
        <v>1</v>
      </c>
      <c r="G77" s="6" t="s">
        <v>10</v>
      </c>
      <c r="H77" s="6">
        <v>2</v>
      </c>
    </row>
    <row r="78" spans="1:8" hidden="1" x14ac:dyDescent="0.25">
      <c r="A78" s="6" t="s">
        <v>156</v>
      </c>
      <c r="B78" s="7" t="s">
        <v>171</v>
      </c>
      <c r="C78" s="6"/>
      <c r="D78" s="6"/>
      <c r="E78" s="6"/>
      <c r="F78" s="6">
        <v>1</v>
      </c>
      <c r="G78" s="6" t="s">
        <v>10</v>
      </c>
      <c r="H78" s="6">
        <v>2</v>
      </c>
    </row>
    <row r="79" spans="1:8" hidden="1" x14ac:dyDescent="0.25">
      <c r="A79" s="6" t="s">
        <v>156</v>
      </c>
      <c r="B79" s="7" t="s">
        <v>172</v>
      </c>
      <c r="C79" s="6" t="s">
        <v>166</v>
      </c>
      <c r="D79" s="6"/>
      <c r="E79" s="6"/>
      <c r="F79" s="6">
        <v>1</v>
      </c>
      <c r="G79" s="6" t="s">
        <v>10</v>
      </c>
      <c r="H79" s="6">
        <v>2</v>
      </c>
    </row>
    <row r="80" spans="1:8" hidden="1" x14ac:dyDescent="0.25">
      <c r="A80" s="6" t="s">
        <v>140</v>
      </c>
      <c r="B80" s="7" t="s">
        <v>141</v>
      </c>
      <c r="C80" s="6" t="s">
        <v>142</v>
      </c>
      <c r="D80" s="6"/>
      <c r="E80" s="6"/>
      <c r="F80" s="6">
        <v>1</v>
      </c>
      <c r="G80" s="6" t="s">
        <v>10</v>
      </c>
      <c r="H80" s="6">
        <v>2</v>
      </c>
    </row>
    <row r="81" spans="1:8" hidden="1" x14ac:dyDescent="0.25">
      <c r="A81" s="6" t="s">
        <v>151</v>
      </c>
      <c r="B81" s="7" t="s">
        <v>152</v>
      </c>
      <c r="C81" s="6" t="s">
        <v>153</v>
      </c>
      <c r="D81" s="6"/>
      <c r="E81" s="6"/>
      <c r="F81" s="6">
        <v>1</v>
      </c>
      <c r="G81" s="6" t="s">
        <v>10</v>
      </c>
      <c r="H81" s="6">
        <v>2</v>
      </c>
    </row>
    <row r="82" spans="1:8" hidden="1" x14ac:dyDescent="0.25">
      <c r="A82" s="6" t="s">
        <v>144</v>
      </c>
      <c r="B82" s="7" t="s">
        <v>250</v>
      </c>
      <c r="C82" s="6"/>
      <c r="D82" s="6"/>
      <c r="E82" s="6"/>
      <c r="F82" s="6">
        <v>1</v>
      </c>
      <c r="G82" s="6" t="s">
        <v>10</v>
      </c>
      <c r="H82" s="6">
        <v>2</v>
      </c>
    </row>
    <row r="83" spans="1:8" hidden="1" x14ac:dyDescent="0.25">
      <c r="A83" s="6" t="s">
        <v>144</v>
      </c>
      <c r="B83" s="7" t="s">
        <v>145</v>
      </c>
      <c r="C83" s="6"/>
      <c r="D83" s="6"/>
      <c r="E83" s="6"/>
      <c r="F83" s="6">
        <v>1</v>
      </c>
      <c r="G83" s="6" t="s">
        <v>10</v>
      </c>
      <c r="H83" s="6">
        <v>2</v>
      </c>
    </row>
    <row r="84" spans="1:8" hidden="1" x14ac:dyDescent="0.25">
      <c r="A84" s="6" t="s">
        <v>144</v>
      </c>
      <c r="B84" s="7" t="s">
        <v>251</v>
      </c>
      <c r="C84" s="6"/>
      <c r="D84" s="6"/>
      <c r="E84" s="6"/>
      <c r="F84" s="6">
        <v>1</v>
      </c>
      <c r="G84" s="6" t="s">
        <v>10</v>
      </c>
      <c r="H84" s="6">
        <v>2</v>
      </c>
    </row>
    <row r="85" spans="1:8" hidden="1" x14ac:dyDescent="0.25">
      <c r="A85" s="6" t="s">
        <v>160</v>
      </c>
      <c r="B85" s="7" t="s">
        <v>161</v>
      </c>
      <c r="C85" s="6" t="s">
        <v>162</v>
      </c>
      <c r="D85" s="6" t="s">
        <v>163</v>
      </c>
      <c r="E85" s="6"/>
      <c r="F85" s="6">
        <v>2</v>
      </c>
      <c r="G85" s="6" t="s">
        <v>10</v>
      </c>
      <c r="H85" s="6">
        <v>3</v>
      </c>
    </row>
    <row r="86" spans="1:8" hidden="1" x14ac:dyDescent="0.25">
      <c r="A86" s="6" t="s">
        <v>160</v>
      </c>
      <c r="B86" s="7" t="s">
        <v>164</v>
      </c>
      <c r="C86" s="6" t="s">
        <v>162</v>
      </c>
      <c r="D86" s="6" t="s">
        <v>163</v>
      </c>
      <c r="E86" s="6"/>
      <c r="F86" s="6">
        <v>1</v>
      </c>
      <c r="G86" s="6" t="s">
        <v>10</v>
      </c>
      <c r="H86" s="6">
        <v>3</v>
      </c>
    </row>
    <row r="87" spans="1:8" hidden="1" x14ac:dyDescent="0.25">
      <c r="A87" s="6" t="s">
        <v>156</v>
      </c>
      <c r="B87" s="7" t="s">
        <v>157</v>
      </c>
      <c r="C87" s="6" t="s">
        <v>158</v>
      </c>
      <c r="D87" s="6"/>
      <c r="E87" s="6"/>
      <c r="F87" s="6">
        <v>1</v>
      </c>
      <c r="G87" s="6" t="s">
        <v>10</v>
      </c>
      <c r="H87" s="6">
        <v>3</v>
      </c>
    </row>
    <row r="88" spans="1:8" hidden="1" x14ac:dyDescent="0.25">
      <c r="A88" s="6" t="s">
        <v>156</v>
      </c>
      <c r="B88" s="7" t="s">
        <v>157</v>
      </c>
      <c r="C88" s="6" t="s">
        <v>249</v>
      </c>
      <c r="D88" s="6"/>
      <c r="E88" s="6"/>
      <c r="F88" s="6">
        <v>1</v>
      </c>
      <c r="G88" s="6" t="s">
        <v>10</v>
      </c>
      <c r="H88" s="6">
        <v>3</v>
      </c>
    </row>
    <row r="89" spans="1:8" hidden="1" x14ac:dyDescent="0.25">
      <c r="A89" s="6" t="s">
        <v>156</v>
      </c>
      <c r="B89" s="7" t="s">
        <v>248</v>
      </c>
      <c r="C89" s="6"/>
      <c r="D89" s="6"/>
      <c r="E89" s="6"/>
      <c r="F89" s="6">
        <v>1</v>
      </c>
      <c r="G89" s="6" t="s">
        <v>10</v>
      </c>
      <c r="H89" s="6">
        <v>3</v>
      </c>
    </row>
    <row r="90" spans="1:8" hidden="1" x14ac:dyDescent="0.25">
      <c r="A90" s="6" t="s">
        <v>156</v>
      </c>
      <c r="B90" s="7" t="s">
        <v>159</v>
      </c>
      <c r="C90" s="6"/>
      <c r="D90" s="6"/>
      <c r="E90" s="6"/>
      <c r="F90" s="6">
        <v>1</v>
      </c>
      <c r="G90" s="6" t="s">
        <v>10</v>
      </c>
      <c r="H90" s="6">
        <v>3</v>
      </c>
    </row>
    <row r="91" spans="1:8" x14ac:dyDescent="0.25">
      <c r="A91" s="6" t="s">
        <v>190</v>
      </c>
      <c r="B91" s="7"/>
      <c r="C91" s="6"/>
      <c r="D91" s="6"/>
      <c r="E91" s="6"/>
      <c r="F91" s="6">
        <v>2</v>
      </c>
      <c r="G91" s="6" t="s">
        <v>7</v>
      </c>
      <c r="H91" s="6" t="s">
        <v>233</v>
      </c>
    </row>
    <row r="92" spans="1:8" x14ac:dyDescent="0.25">
      <c r="A92" s="6" t="s">
        <v>156</v>
      </c>
      <c r="B92" s="7" t="s">
        <v>219</v>
      </c>
      <c r="C92" s="6"/>
      <c r="D92" s="6"/>
      <c r="E92" s="6"/>
      <c r="F92" s="6">
        <v>1</v>
      </c>
      <c r="G92" s="6" t="s">
        <v>7</v>
      </c>
      <c r="H92" s="6" t="s">
        <v>233</v>
      </c>
    </row>
    <row r="93" spans="1:8" x14ac:dyDescent="0.25">
      <c r="A93" s="6" t="s">
        <v>221</v>
      </c>
      <c r="B93" s="7" t="s">
        <v>222</v>
      </c>
      <c r="C93" s="6"/>
      <c r="D93" s="6"/>
      <c r="E93" s="6"/>
      <c r="F93" s="6">
        <v>1</v>
      </c>
      <c r="G93" s="6" t="s">
        <v>7</v>
      </c>
      <c r="H93" s="6" t="s">
        <v>233</v>
      </c>
    </row>
    <row r="94" spans="1:8" ht="30" x14ac:dyDescent="0.25">
      <c r="A94" s="6" t="s">
        <v>59</v>
      </c>
      <c r="B94" s="7" t="s">
        <v>252</v>
      </c>
      <c r="C94" s="6"/>
      <c r="D94" s="6"/>
      <c r="E94" s="6"/>
      <c r="F94" s="6">
        <v>1</v>
      </c>
      <c r="G94" s="6" t="s">
        <v>7</v>
      </c>
      <c r="H94" s="6" t="s">
        <v>233</v>
      </c>
    </row>
    <row r="95" spans="1:8" x14ac:dyDescent="0.25">
      <c r="A95" s="6" t="s">
        <v>59</v>
      </c>
      <c r="B95" s="7" t="s">
        <v>220</v>
      </c>
      <c r="C95" s="6"/>
      <c r="D95" s="6"/>
      <c r="E95" s="6"/>
      <c r="F95" s="6">
        <v>1</v>
      </c>
      <c r="G95" s="6" t="s">
        <v>7</v>
      </c>
      <c r="H95" s="6" t="s">
        <v>233</v>
      </c>
    </row>
    <row r="96" spans="1:8" x14ac:dyDescent="0.25">
      <c r="A96" s="6" t="s">
        <v>11</v>
      </c>
      <c r="B96" s="7" t="s">
        <v>223</v>
      </c>
      <c r="C96" s="6" t="s">
        <v>79</v>
      </c>
      <c r="D96" s="6"/>
      <c r="E96" s="6"/>
      <c r="F96" s="6">
        <v>5</v>
      </c>
      <c r="G96" s="6" t="s">
        <v>7</v>
      </c>
      <c r="H96" s="6" t="s">
        <v>233</v>
      </c>
    </row>
    <row r="97" spans="1:8" x14ac:dyDescent="0.25">
      <c r="A97" s="6" t="s">
        <v>11</v>
      </c>
      <c r="B97" s="7" t="s">
        <v>224</v>
      </c>
      <c r="C97" s="6" t="s">
        <v>119</v>
      </c>
      <c r="D97" s="6"/>
      <c r="E97" s="6"/>
      <c r="F97" s="6">
        <v>1</v>
      </c>
      <c r="G97" s="6" t="s">
        <v>7</v>
      </c>
      <c r="H97" s="6" t="s">
        <v>233</v>
      </c>
    </row>
    <row r="98" spans="1:8" x14ac:dyDescent="0.25">
      <c r="A98" s="6" t="s">
        <v>253</v>
      </c>
      <c r="B98" s="7"/>
      <c r="C98" s="6"/>
      <c r="D98" s="6"/>
      <c r="E98" s="6"/>
      <c r="F98" s="6">
        <v>5</v>
      </c>
      <c r="G98" s="6" t="s">
        <v>7</v>
      </c>
      <c r="H98" s="6" t="s">
        <v>233</v>
      </c>
    </row>
    <row r="99" spans="1:8" x14ac:dyDescent="0.25">
      <c r="A99" s="6" t="s">
        <v>191</v>
      </c>
      <c r="B99" s="7"/>
      <c r="C99" s="6"/>
      <c r="D99" s="6"/>
      <c r="E99" s="6"/>
      <c r="F99" s="6">
        <v>1</v>
      </c>
      <c r="G99" s="6" t="s">
        <v>7</v>
      </c>
      <c r="H99" s="6" t="s">
        <v>234</v>
      </c>
    </row>
    <row r="100" spans="1:8" x14ac:dyDescent="0.25">
      <c r="A100" s="6" t="s">
        <v>226</v>
      </c>
      <c r="B100" s="7"/>
      <c r="C100" s="6"/>
      <c r="D100" s="6"/>
      <c r="E100" s="6"/>
      <c r="F100" s="6">
        <v>1</v>
      </c>
      <c r="G100" s="6" t="s">
        <v>7</v>
      </c>
      <c r="H100" s="6" t="s">
        <v>234</v>
      </c>
    </row>
    <row r="101" spans="1:8" x14ac:dyDescent="0.25">
      <c r="A101" s="6" t="s">
        <v>156</v>
      </c>
      <c r="B101" s="7" t="s">
        <v>227</v>
      </c>
      <c r="C101" s="6"/>
      <c r="D101" s="6"/>
      <c r="E101" s="6"/>
      <c r="F101" s="6">
        <v>1</v>
      </c>
      <c r="G101" s="6" t="s">
        <v>7</v>
      </c>
      <c r="H101" s="6" t="s">
        <v>234</v>
      </c>
    </row>
    <row r="102" spans="1:8" x14ac:dyDescent="0.25">
      <c r="A102" s="6" t="s">
        <v>156</v>
      </c>
      <c r="B102" s="7" t="s">
        <v>228</v>
      </c>
      <c r="C102" s="6"/>
      <c r="D102" s="6"/>
      <c r="E102" s="6"/>
      <c r="F102" s="6">
        <v>1</v>
      </c>
      <c r="G102" s="6" t="s">
        <v>7</v>
      </c>
      <c r="H102" s="6" t="s">
        <v>234</v>
      </c>
    </row>
    <row r="103" spans="1:8" x14ac:dyDescent="0.25">
      <c r="A103" s="6" t="s">
        <v>156</v>
      </c>
      <c r="B103" s="7" t="s">
        <v>239</v>
      </c>
      <c r="C103" s="6"/>
      <c r="D103" s="6"/>
      <c r="E103" s="6"/>
      <c r="F103" s="6">
        <v>1</v>
      </c>
      <c r="G103" s="6" t="s">
        <v>7</v>
      </c>
      <c r="H103" s="6" t="s">
        <v>234</v>
      </c>
    </row>
    <row r="104" spans="1:8" x14ac:dyDescent="0.25">
      <c r="A104" s="6" t="s">
        <v>156</v>
      </c>
      <c r="B104" s="7" t="s">
        <v>229</v>
      </c>
      <c r="C104" s="6"/>
      <c r="D104" s="6"/>
      <c r="E104" s="6"/>
      <c r="F104" s="6">
        <v>1</v>
      </c>
      <c r="G104" s="6" t="s">
        <v>7</v>
      </c>
      <c r="H104" s="6" t="s">
        <v>234</v>
      </c>
    </row>
    <row r="105" spans="1:8" ht="165" hidden="1" x14ac:dyDescent="0.25">
      <c r="A105" s="6" t="s">
        <v>92</v>
      </c>
      <c r="B105"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6"/>
      <c r="D105" s="6"/>
      <c r="E105" s="6"/>
      <c r="F105" s="6">
        <v>1</v>
      </c>
      <c r="G105" s="6" t="s">
        <v>7</v>
      </c>
      <c r="H105" s="6" t="s">
        <v>235</v>
      </c>
    </row>
    <row r="106" spans="1:8" hidden="1" x14ac:dyDescent="0.25">
      <c r="A106" s="6" t="s">
        <v>215</v>
      </c>
      <c r="B106" s="7"/>
      <c r="C106" s="6"/>
      <c r="D106" s="6" t="s">
        <v>216</v>
      </c>
      <c r="E106" s="6">
        <v>8321127</v>
      </c>
      <c r="F106" s="6">
        <v>1</v>
      </c>
      <c r="G106" s="6" t="s">
        <v>7</v>
      </c>
      <c r="H106" s="6" t="s">
        <v>235</v>
      </c>
    </row>
    <row r="107" spans="1:8" hidden="1" x14ac:dyDescent="0.25">
      <c r="A107" s="6" t="s">
        <v>190</v>
      </c>
      <c r="B107" s="7"/>
      <c r="C107" s="6"/>
      <c r="D107" s="6"/>
      <c r="E107" s="6"/>
      <c r="F107" s="6">
        <v>6</v>
      </c>
      <c r="G107" s="6" t="s">
        <v>7</v>
      </c>
      <c r="H107" s="6" t="s">
        <v>235</v>
      </c>
    </row>
    <row r="108" spans="1:8" ht="45" hidden="1" x14ac:dyDescent="0.25">
      <c r="A108" s="6" t="s">
        <v>242</v>
      </c>
      <c r="B108" s="7"/>
      <c r="C108" s="6"/>
      <c r="D108" s="7" t="s">
        <v>218</v>
      </c>
      <c r="E108" s="6"/>
      <c r="F108" s="6">
        <v>3</v>
      </c>
      <c r="G108" s="6" t="s">
        <v>7</v>
      </c>
      <c r="H108" s="6" t="s">
        <v>235</v>
      </c>
    </row>
    <row r="109" spans="1:8" hidden="1" x14ac:dyDescent="0.25">
      <c r="A109" s="6" t="s">
        <v>192</v>
      </c>
      <c r="B109" s="7"/>
      <c r="C109" s="6"/>
      <c r="D109" s="6"/>
      <c r="E109" s="6"/>
      <c r="F109" s="6">
        <v>1</v>
      </c>
      <c r="G109" s="6" t="s">
        <v>7</v>
      </c>
      <c r="H109" s="6" t="s">
        <v>235</v>
      </c>
    </row>
    <row r="110" spans="1:8" hidden="1" x14ac:dyDescent="0.25">
      <c r="A110" s="6" t="s">
        <v>188</v>
      </c>
      <c r="B110" s="7" t="s">
        <v>189</v>
      </c>
      <c r="C110" s="6"/>
      <c r="D110" s="6" t="s">
        <v>48</v>
      </c>
      <c r="E110" s="6"/>
      <c r="F110" s="6">
        <v>6</v>
      </c>
      <c r="G110" s="6" t="s">
        <v>7</v>
      </c>
      <c r="H110" s="6" t="s">
        <v>235</v>
      </c>
    </row>
    <row r="111" spans="1:8" hidden="1" x14ac:dyDescent="0.25">
      <c r="A111" s="6" t="s">
        <v>210</v>
      </c>
      <c r="B111" s="7" t="s">
        <v>254</v>
      </c>
      <c r="C111" s="6"/>
      <c r="D111" s="6"/>
      <c r="E111" s="6"/>
      <c r="F111" s="6">
        <v>1</v>
      </c>
      <c r="G111" s="6" t="s">
        <v>7</v>
      </c>
      <c r="H111" s="6" t="s">
        <v>235</v>
      </c>
    </row>
    <row r="112" spans="1:8" hidden="1" x14ac:dyDescent="0.25">
      <c r="A112" s="6" t="s">
        <v>212</v>
      </c>
      <c r="B112" s="7" t="s">
        <v>166</v>
      </c>
      <c r="C112" s="6"/>
      <c r="D112" s="6" t="s">
        <v>213</v>
      </c>
      <c r="E112" s="6"/>
      <c r="F112" s="6">
        <v>1</v>
      </c>
      <c r="G112" s="6" t="s">
        <v>7</v>
      </c>
      <c r="H112" s="6" t="s">
        <v>235</v>
      </c>
    </row>
    <row r="113" spans="1:8" hidden="1" x14ac:dyDescent="0.25">
      <c r="A113" s="6" t="s">
        <v>212</v>
      </c>
      <c r="B113" s="7" t="s">
        <v>158</v>
      </c>
      <c r="C113" s="6"/>
      <c r="D113" s="6" t="s">
        <v>214</v>
      </c>
      <c r="E113" s="6"/>
      <c r="F113" s="6">
        <v>1</v>
      </c>
      <c r="G113" s="6" t="s">
        <v>7</v>
      </c>
      <c r="H113" s="6" t="s">
        <v>235</v>
      </c>
    </row>
    <row r="114" spans="1:8" ht="30" hidden="1" x14ac:dyDescent="0.25">
      <c r="A114" s="6" t="s">
        <v>193</v>
      </c>
      <c r="B114" s="7" t="s">
        <v>194</v>
      </c>
      <c r="C114" s="6"/>
      <c r="D114" s="6"/>
      <c r="E114" s="6"/>
      <c r="F114" s="6">
        <v>1</v>
      </c>
      <c r="G114" s="6" t="s">
        <v>7</v>
      </c>
      <c r="H114" s="6" t="s">
        <v>235</v>
      </c>
    </row>
    <row r="115" spans="1:8" hidden="1" x14ac:dyDescent="0.25">
      <c r="A115" s="6" t="s">
        <v>35</v>
      </c>
      <c r="B115" s="7" t="s">
        <v>39</v>
      </c>
      <c r="C115" s="6" t="s">
        <v>37</v>
      </c>
      <c r="D115" s="6" t="s">
        <v>27</v>
      </c>
      <c r="E115" s="6" t="s">
        <v>27</v>
      </c>
      <c r="F115" s="6">
        <v>1</v>
      </c>
      <c r="G115" s="6" t="s">
        <v>36</v>
      </c>
      <c r="H115" s="6" t="s">
        <v>36</v>
      </c>
    </row>
    <row r="116" spans="1:8" hidden="1" x14ac:dyDescent="0.25">
      <c r="A116" s="6" t="s">
        <v>35</v>
      </c>
      <c r="B116" s="7" t="s">
        <v>39</v>
      </c>
      <c r="C116" s="6" t="s">
        <v>38</v>
      </c>
      <c r="D116" s="6" t="s">
        <v>27</v>
      </c>
      <c r="E116" s="6" t="s">
        <v>27</v>
      </c>
      <c r="F116" s="6">
        <v>1</v>
      </c>
      <c r="G116" s="6" t="s">
        <v>36</v>
      </c>
      <c r="H116" s="6" t="s">
        <v>36</v>
      </c>
    </row>
    <row r="117" spans="1:8" hidden="1" x14ac:dyDescent="0.25">
      <c r="A117" s="6" t="s">
        <v>40</v>
      </c>
      <c r="B117" s="7" t="s">
        <v>42</v>
      </c>
      <c r="C117" s="6" t="s">
        <v>41</v>
      </c>
      <c r="D117" s="6" t="s">
        <v>27</v>
      </c>
      <c r="E117" s="6" t="s">
        <v>27</v>
      </c>
      <c r="F117" s="6">
        <v>2</v>
      </c>
      <c r="G117" s="6" t="s">
        <v>36</v>
      </c>
      <c r="H117" s="6" t="s">
        <v>36</v>
      </c>
    </row>
    <row r="118" spans="1:8" hidden="1" x14ac:dyDescent="0.25">
      <c r="A118" s="6" t="s">
        <v>40</v>
      </c>
      <c r="B118" s="7" t="s">
        <v>255</v>
      </c>
      <c r="C118" s="6" t="s">
        <v>256</v>
      </c>
      <c r="D118" s="6" t="s">
        <v>27</v>
      </c>
      <c r="E118" s="6" t="s">
        <v>27</v>
      </c>
      <c r="F118" s="6">
        <v>1</v>
      </c>
      <c r="G118" s="6" t="s">
        <v>36</v>
      </c>
      <c r="H118" s="6" t="s">
        <v>36</v>
      </c>
    </row>
    <row r="119" spans="1:8" ht="30" hidden="1" x14ac:dyDescent="0.25">
      <c r="A119" s="6" t="s">
        <v>92</v>
      </c>
      <c r="B119" s="7" t="str">
        <f>bolso("Caja de tacos 1",Table6[])</f>
        <v xml:space="preserve">Caja de tacos 1 Contiene:  Tacos varios pequeños x20, </v>
      </c>
      <c r="C119" s="6"/>
      <c r="D119" s="6"/>
      <c r="E119" s="6"/>
      <c r="F119" s="6">
        <v>1</v>
      </c>
      <c r="G119" s="6" t="s">
        <v>8</v>
      </c>
      <c r="H119" s="6">
        <v>3</v>
      </c>
    </row>
    <row r="120" spans="1:8" hidden="1" x14ac:dyDescent="0.25">
      <c r="A120" s="6" t="s">
        <v>11</v>
      </c>
      <c r="B120" s="7" t="s">
        <v>534</v>
      </c>
      <c r="C120" s="6" t="s">
        <v>79</v>
      </c>
      <c r="D120" s="6" t="s">
        <v>27</v>
      </c>
      <c r="E120" s="6" t="s">
        <v>27</v>
      </c>
      <c r="F120" s="6">
        <v>1</v>
      </c>
      <c r="G120" s="6" t="s">
        <v>5</v>
      </c>
      <c r="H120" s="6">
        <v>1</v>
      </c>
    </row>
    <row r="121" spans="1:8" hidden="1" x14ac:dyDescent="0.25">
      <c r="A121" s="6" t="s">
        <v>11</v>
      </c>
      <c r="B121" s="7" t="s">
        <v>535</v>
      </c>
      <c r="C121" s="6" t="s">
        <v>30</v>
      </c>
      <c r="D121" s="6" t="s">
        <v>27</v>
      </c>
      <c r="E121" s="6" t="s">
        <v>27</v>
      </c>
      <c r="F121" s="6">
        <v>4</v>
      </c>
      <c r="G121" s="6" t="s">
        <v>5</v>
      </c>
      <c r="H121" s="6">
        <v>1</v>
      </c>
    </row>
    <row r="122" spans="1:8" hidden="1" x14ac:dyDescent="0.25">
      <c r="A122" s="6" t="s">
        <v>12</v>
      </c>
      <c r="B122" s="7" t="s">
        <v>536</v>
      </c>
      <c r="C122" s="6"/>
      <c r="D122" s="6"/>
      <c r="E122" s="6"/>
      <c r="F122" s="6">
        <v>1</v>
      </c>
      <c r="G122" s="6" t="s">
        <v>5</v>
      </c>
      <c r="H122" s="6">
        <v>1</v>
      </c>
    </row>
    <row r="123" spans="1:8" ht="30" hidden="1" x14ac:dyDescent="0.25">
      <c r="A123" s="6" t="s">
        <v>44</v>
      </c>
      <c r="B123" s="7" t="s">
        <v>537</v>
      </c>
      <c r="C123" s="6" t="s">
        <v>64</v>
      </c>
      <c r="D123" s="6"/>
      <c r="E123" s="6"/>
      <c r="F123" s="6">
        <v>1</v>
      </c>
      <c r="G123" s="6" t="s">
        <v>5</v>
      </c>
      <c r="H123" s="6">
        <v>1</v>
      </c>
    </row>
    <row r="124" spans="1:8" hidden="1" x14ac:dyDescent="0.25">
      <c r="A124" s="6" t="s">
        <v>156</v>
      </c>
      <c r="B124" s="7" t="s">
        <v>415</v>
      </c>
      <c r="C124" s="6"/>
      <c r="D124" s="6"/>
      <c r="E124" s="6"/>
      <c r="F124" s="6">
        <v>1</v>
      </c>
      <c r="G124" s="6" t="s">
        <v>10</v>
      </c>
      <c r="H124" s="6">
        <v>2</v>
      </c>
    </row>
    <row r="125" spans="1:8" x14ac:dyDescent="0.25">
      <c r="A125" s="6" t="s">
        <v>175</v>
      </c>
      <c r="B125" s="7"/>
      <c r="C125" s="6" t="s">
        <v>538</v>
      </c>
      <c r="D125" s="6"/>
      <c r="E125" s="6"/>
      <c r="F125" s="6">
        <v>1</v>
      </c>
      <c r="G125" s="6" t="s">
        <v>7</v>
      </c>
      <c r="H125" s="6" t="s">
        <v>233</v>
      </c>
    </row>
    <row r="126" spans="1:8" x14ac:dyDescent="0.25">
      <c r="A126" s="6" t="s">
        <v>116</v>
      </c>
      <c r="B126" s="7"/>
      <c r="C126" s="7" t="s">
        <v>539</v>
      </c>
      <c r="D126" s="6"/>
      <c r="E126" s="6"/>
      <c r="F126" s="6">
        <v>1</v>
      </c>
      <c r="G126" s="6" t="s">
        <v>7</v>
      </c>
      <c r="H126" s="6" t="s">
        <v>234</v>
      </c>
    </row>
    <row r="127" spans="1:8" hidden="1" x14ac:dyDescent="0.25">
      <c r="A127" s="6"/>
      <c r="B127" s="7"/>
      <c r="C127" s="6"/>
      <c r="D127" s="6"/>
      <c r="E127" s="6"/>
      <c r="F127" s="6"/>
      <c r="G127" s="6"/>
      <c r="H127" s="6"/>
    </row>
    <row r="128" spans="1:8" hidden="1" x14ac:dyDescent="0.25">
      <c r="A128" s="6"/>
      <c r="B128" s="7"/>
      <c r="C128" s="6"/>
      <c r="D128" s="6"/>
      <c r="E128" s="6"/>
      <c r="F128" s="6"/>
      <c r="G128" s="6"/>
      <c r="H128" s="6"/>
    </row>
    <row r="129" spans="1:8" hidden="1" x14ac:dyDescent="0.25">
      <c r="A129" s="6"/>
      <c r="B129" s="7"/>
      <c r="C129" s="6"/>
      <c r="D129" s="6"/>
      <c r="E129" s="6"/>
      <c r="F129" s="6"/>
      <c r="G129" s="6"/>
      <c r="H129" s="6"/>
    </row>
    <row r="130" spans="1:8" hidden="1" x14ac:dyDescent="0.25">
      <c r="A130" s="6"/>
      <c r="B130" s="7"/>
      <c r="C130" s="6"/>
      <c r="D130" s="6"/>
      <c r="E130" s="6"/>
      <c r="F130" s="6"/>
      <c r="G130" s="6"/>
      <c r="H130" s="6"/>
    </row>
    <row r="131" spans="1:8" hidden="1"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Y3:AD3"/>
  </mergeCells>
  <dataValidations count="7">
    <dataValidation type="list" allowBlank="1" showInputMessage="1" showErrorMessage="1" sqref="A90 A117:A118 A120:A123 A140:A1048576 A1:A88 A94:A95 K4:K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H132:H1048576 H1:H126 P47:P1048576 M47:M1048576 U47:U1048576 P1:P3 M1:M3 U1:U3" xr:uid="{F2DC22E0-CF8D-439B-BECD-43669397755E}">
      <formula1>INDEX(Compartimientos,0,MATCH(OFFSET(INDIRECT(ADDRESS(ROW(), COLUMN())),0,-1),Cajoneras,0))</formula1>
    </dataValidation>
    <dataValidation type="list" allowBlank="1" showInputMessage="1" showErrorMessage="1" sqref="W14 P4:P32 U4:U32" xr:uid="{44DDC578-AA09-4DE5-B930-E67B6BA36566}">
      <formula1>INDEX(Medidas,0,MATCH(OFFSET(INDIRECT(ADDRESS(ROW(), COLUMN())),0,-1),categoriasDeMedidas,0))</formula1>
    </dataValidation>
    <dataValidation type="list" allowBlank="1" showInputMessage="1" showErrorMessage="1" sqref="Q4:Q13 Q16:Q31" xr:uid="{B42A14F1-F620-4535-8278-9BE3E2D91DD1}">
      <formula1>Bolsos</formula1>
    </dataValidation>
    <dataValidation type="list" allowBlank="1" showInputMessage="1" showErrorMessage="1" sqref="G132:G1048576 G1:G126" xr:uid="{BE90CED2-C975-4E7D-82E9-3A42B0777B45}">
      <formula1>Cajoneras</formula1>
    </dataValidation>
    <dataValidation type="list" allowBlank="1" showInputMessage="1" showErrorMessage="1" sqref="M4:M32" xr:uid="{7C314762-EB05-4611-B50E-D37F3006159C}">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294B67D-E469-4692-B763-863A19A1C2D6}">
          <x14:formula1>
            <xm:f>Configuracion!$I$2:$I$7</xm:f>
          </x14:formula1>
          <xm:sqref>C118</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 type="list" allowBlank="1" showInputMessage="1" showErrorMessage="1" xr:uid="{D2AE4E04-1E8D-4836-A505-196224EFA28F}">
          <x14:formula1>
            <xm:f>Configuracion!$A$2:$A$73</xm:f>
          </x14:formula1>
          <xm:sqref>K1:K3 K47:K1048576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AD139"/>
  <sheetViews>
    <sheetView topLeftCell="E6" workbookViewId="0">
      <selection activeCell="J13" sqref="J13"/>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21"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88</v>
      </c>
      <c r="B2" s="7" t="s">
        <v>540</v>
      </c>
      <c r="C2" s="6"/>
      <c r="D2" s="6"/>
      <c r="E2" s="6"/>
      <c r="F2" s="6">
        <v>1</v>
      </c>
      <c r="G2" s="6" t="s">
        <v>303</v>
      </c>
      <c r="H2" s="6">
        <v>1</v>
      </c>
    </row>
    <row r="3" spans="1:30" x14ac:dyDescent="0.25">
      <c r="A3" s="6" t="s">
        <v>88</v>
      </c>
      <c r="B3" s="7" t="s">
        <v>541</v>
      </c>
      <c r="C3" s="6"/>
      <c r="D3" s="6"/>
      <c r="E3" s="6"/>
      <c r="F3" s="6">
        <v>3</v>
      </c>
      <c r="G3" s="6" t="s">
        <v>303</v>
      </c>
      <c r="H3" s="6">
        <v>1</v>
      </c>
      <c r="J3" t="s">
        <v>0</v>
      </c>
      <c r="K3" t="s">
        <v>1</v>
      </c>
      <c r="L3" t="s">
        <v>2</v>
      </c>
      <c r="M3" t="s">
        <v>660</v>
      </c>
      <c r="N3" s="4" t="s">
        <v>4</v>
      </c>
      <c r="O3" t="s">
        <v>18</v>
      </c>
      <c r="P3" t="s">
        <v>14</v>
      </c>
      <c r="T3" t="s">
        <v>28</v>
      </c>
      <c r="V3" s="15" t="s">
        <v>230</v>
      </c>
      <c r="W3" s="15"/>
      <c r="X3" s="15"/>
      <c r="Y3" s="15"/>
      <c r="Z3" s="15"/>
      <c r="AA3" s="15"/>
    </row>
    <row r="4" spans="1:30" x14ac:dyDescent="0.25">
      <c r="A4" s="6" t="s">
        <v>242</v>
      </c>
      <c r="B4" s="7"/>
      <c r="C4" s="6"/>
      <c r="D4" s="6" t="s">
        <v>354</v>
      </c>
      <c r="E4" s="6"/>
      <c r="F4" s="6">
        <v>1</v>
      </c>
      <c r="G4" s="6" t="s">
        <v>303</v>
      </c>
      <c r="H4" s="6">
        <v>1</v>
      </c>
      <c r="J4" t="s">
        <v>156</v>
      </c>
      <c r="K4" t="s">
        <v>566</v>
      </c>
      <c r="O4">
        <v>3</v>
      </c>
      <c r="P4" t="s">
        <v>15</v>
      </c>
      <c r="T4" t="s">
        <v>15</v>
      </c>
      <c r="V4" t="s">
        <v>8</v>
      </c>
      <c r="W4" t="s">
        <v>5</v>
      </c>
      <c r="X4" t="s">
        <v>6</v>
      </c>
      <c r="Y4" t="s">
        <v>9</v>
      </c>
      <c r="Z4" t="s">
        <v>10</v>
      </c>
      <c r="AA4" t="s">
        <v>257</v>
      </c>
      <c r="AB4" t="s">
        <v>303</v>
      </c>
      <c r="AC4" t="s">
        <v>7</v>
      </c>
      <c r="AD4" t="s">
        <v>36</v>
      </c>
    </row>
    <row r="5" spans="1:30" x14ac:dyDescent="0.25">
      <c r="A5" s="6" t="s">
        <v>100</v>
      </c>
      <c r="B5" s="7" t="s">
        <v>542</v>
      </c>
      <c r="C5" s="6"/>
      <c r="D5" s="6"/>
      <c r="E5" s="6"/>
      <c r="F5" s="6">
        <v>1</v>
      </c>
      <c r="G5" s="6" t="s">
        <v>303</v>
      </c>
      <c r="H5" s="6">
        <v>1</v>
      </c>
      <c r="J5" t="s">
        <v>156</v>
      </c>
      <c r="K5" t="s">
        <v>567</v>
      </c>
      <c r="O5">
        <v>1</v>
      </c>
      <c r="P5" t="s">
        <v>15</v>
      </c>
      <c r="T5" t="s">
        <v>572</v>
      </c>
      <c r="V5">
        <v>1</v>
      </c>
      <c r="W5">
        <v>1</v>
      </c>
      <c r="X5">
        <v>1</v>
      </c>
      <c r="Y5">
        <v>1</v>
      </c>
      <c r="Z5">
        <v>1</v>
      </c>
      <c r="AA5">
        <v>1</v>
      </c>
      <c r="AB5">
        <v>1</v>
      </c>
      <c r="AC5" t="s">
        <v>231</v>
      </c>
      <c r="AD5" t="s">
        <v>36</v>
      </c>
    </row>
    <row r="6" spans="1:30" x14ac:dyDescent="0.25">
      <c r="A6" s="6" t="s">
        <v>83</v>
      </c>
      <c r="B6" s="7"/>
      <c r="C6" s="6"/>
      <c r="D6" s="6" t="s">
        <v>543</v>
      </c>
      <c r="E6" s="6">
        <v>1813</v>
      </c>
      <c r="F6" s="6">
        <v>1</v>
      </c>
      <c r="G6" s="6" t="s">
        <v>303</v>
      </c>
      <c r="H6" s="6">
        <v>1</v>
      </c>
      <c r="J6" t="s">
        <v>156</v>
      </c>
      <c r="K6" t="s">
        <v>444</v>
      </c>
      <c r="O6">
        <v>3</v>
      </c>
      <c r="P6" t="s">
        <v>15</v>
      </c>
      <c r="T6" t="s">
        <v>575</v>
      </c>
      <c r="V6">
        <v>2</v>
      </c>
      <c r="Z6">
        <v>2</v>
      </c>
      <c r="AC6" t="s">
        <v>233</v>
      </c>
    </row>
    <row r="7" spans="1:30" x14ac:dyDescent="0.25">
      <c r="A7" s="6" t="s">
        <v>544</v>
      </c>
      <c r="B7" s="7" t="s">
        <v>112</v>
      </c>
      <c r="C7" s="6"/>
      <c r="D7" s="6"/>
      <c r="E7" s="6"/>
      <c r="F7" s="6">
        <v>1</v>
      </c>
      <c r="G7" s="6" t="s">
        <v>303</v>
      </c>
      <c r="H7" s="6">
        <v>1</v>
      </c>
      <c r="J7" t="s">
        <v>156</v>
      </c>
      <c r="K7" t="s">
        <v>443</v>
      </c>
      <c r="O7">
        <v>3</v>
      </c>
      <c r="P7" t="s">
        <v>15</v>
      </c>
      <c r="T7" t="s">
        <v>387</v>
      </c>
      <c r="V7">
        <v>3</v>
      </c>
      <c r="Z7">
        <v>3</v>
      </c>
      <c r="AC7" t="s">
        <v>234</v>
      </c>
    </row>
    <row r="8" spans="1:30" x14ac:dyDescent="0.25">
      <c r="A8" s="6" t="s">
        <v>365</v>
      </c>
      <c r="B8" s="7"/>
      <c r="C8" s="6"/>
      <c r="D8" s="6" t="s">
        <v>543</v>
      </c>
      <c r="E8" s="6">
        <v>851</v>
      </c>
      <c r="F8" s="6">
        <v>1</v>
      </c>
      <c r="G8" s="6" t="s">
        <v>303</v>
      </c>
      <c r="H8" s="6">
        <v>1</v>
      </c>
      <c r="J8" t="s">
        <v>156</v>
      </c>
      <c r="K8" t="s">
        <v>568</v>
      </c>
      <c r="O8">
        <v>1</v>
      </c>
      <c r="P8" t="s">
        <v>15</v>
      </c>
      <c r="T8" t="s">
        <v>615</v>
      </c>
      <c r="V8">
        <v>4</v>
      </c>
    </row>
    <row r="9" spans="1:30" x14ac:dyDescent="0.25">
      <c r="A9" s="6" t="s">
        <v>362</v>
      </c>
      <c r="B9" s="7"/>
      <c r="C9" s="6"/>
      <c r="D9" s="6" t="s">
        <v>543</v>
      </c>
      <c r="E9" s="6">
        <v>722</v>
      </c>
      <c r="F9" s="6">
        <v>1</v>
      </c>
      <c r="G9" s="6" t="s">
        <v>303</v>
      </c>
      <c r="H9" s="6">
        <v>1</v>
      </c>
      <c r="J9" t="s">
        <v>156</v>
      </c>
      <c r="K9" t="s">
        <v>569</v>
      </c>
      <c r="O9">
        <v>1</v>
      </c>
      <c r="P9" t="s">
        <v>15</v>
      </c>
      <c r="T9" t="s">
        <v>618</v>
      </c>
    </row>
    <row r="10" spans="1:30" x14ac:dyDescent="0.25">
      <c r="A10" s="6" t="s">
        <v>80</v>
      </c>
      <c r="B10" s="7"/>
      <c r="C10" s="6"/>
      <c r="D10" s="6" t="s">
        <v>543</v>
      </c>
      <c r="E10" s="6">
        <v>1626</v>
      </c>
      <c r="F10" s="6">
        <v>1</v>
      </c>
      <c r="G10" s="6" t="s">
        <v>303</v>
      </c>
      <c r="H10" s="6">
        <v>1</v>
      </c>
      <c r="J10" t="s">
        <v>156</v>
      </c>
      <c r="K10" t="s">
        <v>23</v>
      </c>
      <c r="O10">
        <v>1</v>
      </c>
      <c r="P10" t="s">
        <v>15</v>
      </c>
      <c r="T10" t="s">
        <v>388</v>
      </c>
    </row>
    <row r="11" spans="1:30" x14ac:dyDescent="0.25">
      <c r="A11" s="6" t="s">
        <v>95</v>
      </c>
      <c r="B11" s="7"/>
      <c r="C11" s="6"/>
      <c r="D11" s="6" t="s">
        <v>543</v>
      </c>
      <c r="E11" s="6">
        <v>1110</v>
      </c>
      <c r="F11" s="6">
        <v>1</v>
      </c>
      <c r="G11" s="6" t="s">
        <v>303</v>
      </c>
      <c r="H11" s="6">
        <v>1</v>
      </c>
      <c r="J11" t="s">
        <v>156</v>
      </c>
      <c r="K11" t="s">
        <v>570</v>
      </c>
      <c r="O11">
        <v>2</v>
      </c>
      <c r="P11" t="s">
        <v>15</v>
      </c>
      <c r="T11" t="s">
        <v>368</v>
      </c>
    </row>
    <row r="12" spans="1:30" x14ac:dyDescent="0.25">
      <c r="A12" s="6" t="s">
        <v>346</v>
      </c>
      <c r="B12" s="7" t="s">
        <v>545</v>
      </c>
      <c r="C12" s="6"/>
      <c r="D12" s="6" t="s">
        <v>546</v>
      </c>
      <c r="E12" s="6"/>
      <c r="F12" s="6">
        <v>1</v>
      </c>
      <c r="G12" s="6" t="s">
        <v>303</v>
      </c>
      <c r="H12" s="6">
        <v>1</v>
      </c>
      <c r="J12" t="s">
        <v>156</v>
      </c>
      <c r="K12" t="s">
        <v>571</v>
      </c>
      <c r="O12">
        <v>1</v>
      </c>
      <c r="P12" t="s">
        <v>15</v>
      </c>
      <c r="T12" t="s">
        <v>621</v>
      </c>
    </row>
    <row r="13" spans="1:30" x14ac:dyDescent="0.25">
      <c r="A13" s="6" t="s">
        <v>471</v>
      </c>
      <c r="B13" s="7" t="s">
        <v>547</v>
      </c>
      <c r="C13" s="6"/>
      <c r="D13" s="6"/>
      <c r="E13" s="6"/>
      <c r="F13" s="6">
        <v>2</v>
      </c>
      <c r="G13" s="6" t="s">
        <v>303</v>
      </c>
      <c r="H13" s="6">
        <v>1</v>
      </c>
      <c r="J13" t="s">
        <v>90</v>
      </c>
      <c r="K13" t="s">
        <v>573</v>
      </c>
      <c r="O13">
        <v>3</v>
      </c>
      <c r="P13" t="s">
        <v>572</v>
      </c>
      <c r="T13" t="s">
        <v>29</v>
      </c>
    </row>
    <row r="14" spans="1:30" x14ac:dyDescent="0.25">
      <c r="A14" s="6" t="s">
        <v>87</v>
      </c>
      <c r="B14" s="7"/>
      <c r="C14" s="6"/>
      <c r="D14" s="6"/>
      <c r="E14" s="6"/>
      <c r="F14" s="6">
        <v>4</v>
      </c>
      <c r="G14" s="6" t="s">
        <v>303</v>
      </c>
      <c r="H14" s="6">
        <v>1</v>
      </c>
      <c r="J14" t="s">
        <v>472</v>
      </c>
      <c r="K14" t="s">
        <v>574</v>
      </c>
      <c r="O14">
        <v>1</v>
      </c>
      <c r="P14" t="s">
        <v>572</v>
      </c>
    </row>
    <row r="15" spans="1:30" x14ac:dyDescent="0.25">
      <c r="A15" s="6" t="s">
        <v>12</v>
      </c>
      <c r="B15" s="7" t="s">
        <v>548</v>
      </c>
      <c r="C15" s="6" t="s">
        <v>461</v>
      </c>
      <c r="D15" s="6" t="s">
        <v>549</v>
      </c>
      <c r="E15" s="6"/>
      <c r="F15" s="6">
        <v>1</v>
      </c>
      <c r="G15" s="6" t="s">
        <v>257</v>
      </c>
      <c r="H15" s="6">
        <v>1</v>
      </c>
      <c r="J15" t="s">
        <v>395</v>
      </c>
      <c r="K15" t="s">
        <v>395</v>
      </c>
      <c r="L15" t="s">
        <v>397</v>
      </c>
      <c r="O15">
        <v>2</v>
      </c>
      <c r="P15" t="s">
        <v>575</v>
      </c>
    </row>
    <row r="16" spans="1:30" x14ac:dyDescent="0.25">
      <c r="A16" s="6" t="s">
        <v>12</v>
      </c>
      <c r="B16" s="7" t="s">
        <v>550</v>
      </c>
      <c r="C16" s="6"/>
      <c r="D16" s="6" t="s">
        <v>182</v>
      </c>
      <c r="E16" s="6" t="s">
        <v>551</v>
      </c>
      <c r="F16" s="6">
        <v>1</v>
      </c>
      <c r="G16" s="6" t="s">
        <v>257</v>
      </c>
      <c r="H16" s="6">
        <v>1</v>
      </c>
      <c r="J16" t="s">
        <v>395</v>
      </c>
      <c r="K16" t="s">
        <v>395</v>
      </c>
      <c r="L16" t="s">
        <v>576</v>
      </c>
      <c r="O16">
        <v>1</v>
      </c>
      <c r="P16" t="s">
        <v>575</v>
      </c>
    </row>
    <row r="17" spans="1:16" x14ac:dyDescent="0.25">
      <c r="A17" s="6" t="s">
        <v>12</v>
      </c>
      <c r="B17" s="7" t="s">
        <v>552</v>
      </c>
      <c r="C17" s="6"/>
      <c r="D17" s="6" t="s">
        <v>181</v>
      </c>
      <c r="E17" s="6" t="s">
        <v>553</v>
      </c>
      <c r="F17" s="6">
        <v>1</v>
      </c>
      <c r="G17" s="6" t="s">
        <v>257</v>
      </c>
      <c r="H17" s="6">
        <v>1</v>
      </c>
      <c r="J17" t="s">
        <v>468</v>
      </c>
      <c r="K17" t="s">
        <v>468</v>
      </c>
      <c r="O17">
        <v>1</v>
      </c>
      <c r="P17" t="s">
        <v>575</v>
      </c>
    </row>
    <row r="18" spans="1:16" x14ac:dyDescent="0.25">
      <c r="A18" s="6" t="s">
        <v>554</v>
      </c>
      <c r="B18" s="7" t="s">
        <v>555</v>
      </c>
      <c r="C18" s="6"/>
      <c r="D18" s="6" t="s">
        <v>556</v>
      </c>
      <c r="E18" s="6"/>
      <c r="F18" s="6">
        <v>1</v>
      </c>
      <c r="G18" s="6" t="s">
        <v>10</v>
      </c>
      <c r="H18" s="6">
        <v>1</v>
      </c>
      <c r="J18" t="s">
        <v>468</v>
      </c>
      <c r="K18" t="s">
        <v>577</v>
      </c>
      <c r="O18">
        <v>1</v>
      </c>
      <c r="P18" t="s">
        <v>575</v>
      </c>
    </row>
    <row r="19" spans="1:16" x14ac:dyDescent="0.25">
      <c r="A19" s="6" t="s">
        <v>151</v>
      </c>
      <c r="B19" s="7" t="s">
        <v>557</v>
      </c>
      <c r="C19" s="6"/>
      <c r="D19" s="6"/>
      <c r="E19" s="6"/>
      <c r="F19" s="6">
        <v>2</v>
      </c>
      <c r="G19" s="6" t="s">
        <v>10</v>
      </c>
      <c r="H19" s="6">
        <v>1</v>
      </c>
      <c r="J19" t="s">
        <v>469</v>
      </c>
      <c r="K19" t="s">
        <v>578</v>
      </c>
      <c r="O19">
        <v>1</v>
      </c>
      <c r="P19" t="s">
        <v>575</v>
      </c>
    </row>
    <row r="20" spans="1:16" x14ac:dyDescent="0.25">
      <c r="A20" s="6" t="s">
        <v>11</v>
      </c>
      <c r="B20" s="7" t="s">
        <v>558</v>
      </c>
      <c r="C20" s="6" t="s">
        <v>123</v>
      </c>
      <c r="D20" s="6"/>
      <c r="E20" s="6"/>
      <c r="F20" s="6">
        <v>3</v>
      </c>
      <c r="G20" s="6" t="s">
        <v>10</v>
      </c>
      <c r="H20" s="6">
        <v>1</v>
      </c>
      <c r="J20" t="s">
        <v>611</v>
      </c>
      <c r="K20" t="s">
        <v>612</v>
      </c>
      <c r="O20">
        <v>1</v>
      </c>
      <c r="P20" t="s">
        <v>387</v>
      </c>
    </row>
    <row r="21" spans="1:16" x14ac:dyDescent="0.25">
      <c r="A21" s="6" t="s">
        <v>32</v>
      </c>
      <c r="B21" s="7" t="s">
        <v>559</v>
      </c>
      <c r="C21" s="6" t="s">
        <v>52</v>
      </c>
      <c r="D21" s="6" t="s">
        <v>560</v>
      </c>
      <c r="E21" s="6"/>
      <c r="F21" s="6">
        <v>1</v>
      </c>
      <c r="G21" s="6" t="s">
        <v>10</v>
      </c>
      <c r="H21" s="6">
        <v>1</v>
      </c>
      <c r="J21" t="s">
        <v>90</v>
      </c>
      <c r="K21" t="s">
        <v>614</v>
      </c>
      <c r="O21">
        <v>2</v>
      </c>
      <c r="P21" t="s">
        <v>387</v>
      </c>
    </row>
    <row r="22" spans="1:16" x14ac:dyDescent="0.25">
      <c r="A22" s="6" t="s">
        <v>11</v>
      </c>
      <c r="B22" s="7"/>
      <c r="C22" s="6" t="s">
        <v>121</v>
      </c>
      <c r="D22" s="6"/>
      <c r="E22" s="6"/>
      <c r="F22" s="6">
        <v>5</v>
      </c>
      <c r="G22" s="6" t="s">
        <v>10</v>
      </c>
      <c r="H22" s="6">
        <v>1</v>
      </c>
      <c r="J22" t="s">
        <v>611</v>
      </c>
      <c r="K22" t="s">
        <v>613</v>
      </c>
      <c r="O22">
        <v>2</v>
      </c>
      <c r="P22" t="s">
        <v>387</v>
      </c>
    </row>
    <row r="23" spans="1:16" ht="30" x14ac:dyDescent="0.25">
      <c r="A23" s="6" t="s">
        <v>32</v>
      </c>
      <c r="B23" s="7" t="s">
        <v>561</v>
      </c>
      <c r="C23" s="6" t="s">
        <v>52</v>
      </c>
      <c r="D23" s="6" t="s">
        <v>562</v>
      </c>
      <c r="E23" s="6"/>
      <c r="F23" s="6">
        <v>1</v>
      </c>
      <c r="G23" s="6" t="s">
        <v>10</v>
      </c>
      <c r="H23" s="6">
        <v>1</v>
      </c>
      <c r="J23" t="s">
        <v>687</v>
      </c>
      <c r="K23" t="s">
        <v>616</v>
      </c>
      <c r="O23">
        <v>1</v>
      </c>
      <c r="P23" t="s">
        <v>615</v>
      </c>
    </row>
    <row r="24" spans="1:16" x14ac:dyDescent="0.25">
      <c r="A24" s="6" t="s">
        <v>175</v>
      </c>
      <c r="B24" s="7"/>
      <c r="C24" s="6" t="s">
        <v>237</v>
      </c>
      <c r="D24" s="6" t="s">
        <v>298</v>
      </c>
      <c r="E24" s="6"/>
      <c r="F24" s="6">
        <v>1</v>
      </c>
      <c r="G24" s="6" t="s">
        <v>10</v>
      </c>
      <c r="H24" s="6">
        <v>1</v>
      </c>
      <c r="J24" t="s">
        <v>400</v>
      </c>
      <c r="K24" t="s">
        <v>617</v>
      </c>
      <c r="O24">
        <v>6</v>
      </c>
      <c r="P24" t="s">
        <v>615</v>
      </c>
    </row>
    <row r="25" spans="1:16" x14ac:dyDescent="0.25">
      <c r="A25" s="6" t="s">
        <v>156</v>
      </c>
      <c r="B25" s="7" t="s">
        <v>563</v>
      </c>
      <c r="C25" s="6"/>
      <c r="D25" s="6"/>
      <c r="E25" s="6"/>
      <c r="F25" s="6">
        <v>1</v>
      </c>
      <c r="G25" s="6" t="s">
        <v>5</v>
      </c>
      <c r="H25" s="6">
        <v>1</v>
      </c>
      <c r="J25" t="s">
        <v>89</v>
      </c>
      <c r="K25" t="s">
        <v>619</v>
      </c>
      <c r="O25">
        <v>5</v>
      </c>
      <c r="P25" t="s">
        <v>618</v>
      </c>
    </row>
    <row r="26" spans="1:16" x14ac:dyDescent="0.25">
      <c r="A26" s="6" t="s">
        <v>156</v>
      </c>
      <c r="B26" s="7" t="s">
        <v>564</v>
      </c>
      <c r="C26" s="6"/>
      <c r="D26" s="6"/>
      <c r="E26" s="6"/>
      <c r="F26" s="6">
        <v>1</v>
      </c>
      <c r="G26" s="6" t="s">
        <v>5</v>
      </c>
      <c r="H26" s="6">
        <v>1</v>
      </c>
      <c r="J26" t="s">
        <v>90</v>
      </c>
      <c r="K26" t="s">
        <v>383</v>
      </c>
      <c r="O26">
        <v>6</v>
      </c>
      <c r="P26" t="s">
        <v>388</v>
      </c>
    </row>
    <row r="27" spans="1:16" x14ac:dyDescent="0.25">
      <c r="A27" s="6" t="s">
        <v>156</v>
      </c>
      <c r="B27" s="7" t="s">
        <v>565</v>
      </c>
      <c r="C27" s="6"/>
      <c r="D27" s="6"/>
      <c r="E27" s="6"/>
      <c r="F27" s="6">
        <v>1</v>
      </c>
      <c r="G27" s="6" t="s">
        <v>5</v>
      </c>
      <c r="H27" s="6">
        <v>1</v>
      </c>
      <c r="J27" t="s">
        <v>471</v>
      </c>
      <c r="K27" t="s">
        <v>620</v>
      </c>
      <c r="O27">
        <v>20</v>
      </c>
      <c r="P27" t="s">
        <v>368</v>
      </c>
    </row>
    <row r="28" spans="1:16" x14ac:dyDescent="0.25">
      <c r="A28" s="6" t="s">
        <v>154</v>
      </c>
      <c r="B28" s="7" t="s">
        <v>155</v>
      </c>
      <c r="C28" s="6"/>
      <c r="D28" s="6"/>
      <c r="E28" s="6"/>
      <c r="F28" s="6">
        <v>1</v>
      </c>
      <c r="G28" s="6" t="s">
        <v>5</v>
      </c>
      <c r="H28" s="6">
        <v>1</v>
      </c>
      <c r="J28" t="s">
        <v>623</v>
      </c>
      <c r="K28" t="s">
        <v>625</v>
      </c>
      <c r="L28" t="s">
        <v>624</v>
      </c>
      <c r="O28">
        <v>1</v>
      </c>
      <c r="P28" t="s">
        <v>621</v>
      </c>
    </row>
    <row r="29" spans="1:16" ht="75" x14ac:dyDescent="0.25">
      <c r="A29" s="6" t="s">
        <v>92</v>
      </c>
      <c r="B29" s="7" t="str">
        <f>bolso("Caja de herramientas 1",Table625[])</f>
        <v xml:space="preserve">Caja de herramientas 1 Contiene:  martillo x3,  llave francesa x1,  Destornillador phillips x3,  Destornillador plano x3,  llave union x1,  pico de loro x1,  pinza x1,  alicate x2,  llave 1/2 y 9/16 x1, </v>
      </c>
      <c r="C29" s="6"/>
      <c r="D29" s="6"/>
      <c r="E29" s="6"/>
      <c r="F29" s="6">
        <v>1</v>
      </c>
      <c r="G29" s="6" t="s">
        <v>5</v>
      </c>
      <c r="H29" s="6">
        <v>1</v>
      </c>
      <c r="J29" t="s">
        <v>623</v>
      </c>
      <c r="K29" t="s">
        <v>626</v>
      </c>
      <c r="L29" t="s">
        <v>627</v>
      </c>
      <c r="O29">
        <v>1</v>
      </c>
      <c r="P29" t="s">
        <v>621</v>
      </c>
    </row>
    <row r="30" spans="1:16" ht="60" x14ac:dyDescent="0.25">
      <c r="A30" s="6" t="s">
        <v>92</v>
      </c>
      <c r="B30" s="7" t="str">
        <f>bolso("Bolso de trauma 1",Table625[])</f>
        <v xml:space="preserve">Bolso de trauma 1 Contiene:  Collar cervical x2,  Collar cervical x1,  bolsa valvula mascara x1,  valvula-mascara  x1,  Disp. Succion manual x1, </v>
      </c>
      <c r="C30" s="6"/>
      <c r="D30" s="6"/>
      <c r="E30" s="6"/>
      <c r="F30" s="6">
        <v>1</v>
      </c>
      <c r="G30" s="6" t="s">
        <v>5</v>
      </c>
      <c r="H30" s="6">
        <v>1</v>
      </c>
      <c r="J30" t="s">
        <v>623</v>
      </c>
      <c r="K30" t="s">
        <v>622</v>
      </c>
      <c r="L30" t="s">
        <v>628</v>
      </c>
      <c r="O30">
        <v>1</v>
      </c>
      <c r="P30" t="s">
        <v>621</v>
      </c>
    </row>
    <row r="31" spans="1:16" ht="30" x14ac:dyDescent="0.25">
      <c r="A31" s="6" t="s">
        <v>92</v>
      </c>
      <c r="B31" s="7" t="str">
        <f>bolso("Bolso de cadaveres",Table625[])</f>
        <v xml:space="preserve">Bolso de cadaveres Contiene:  Traje de aprox. Clase C x3,  Guantes p cadaver x1, </v>
      </c>
      <c r="C31" s="6"/>
      <c r="D31" s="6"/>
      <c r="E31" s="6"/>
      <c r="F31" s="6">
        <v>1</v>
      </c>
      <c r="G31" s="6" t="s">
        <v>5</v>
      </c>
      <c r="H31" s="6">
        <v>1</v>
      </c>
      <c r="J31" t="s">
        <v>623</v>
      </c>
      <c r="K31" t="s">
        <v>630</v>
      </c>
      <c r="L31" t="s">
        <v>629</v>
      </c>
      <c r="O31">
        <v>1</v>
      </c>
      <c r="P31" t="s">
        <v>621</v>
      </c>
    </row>
    <row r="32" spans="1:16" x14ac:dyDescent="0.25">
      <c r="A32" s="6" t="s">
        <v>156</v>
      </c>
      <c r="B32" s="7" t="s">
        <v>579</v>
      </c>
      <c r="C32" s="6"/>
      <c r="D32" s="6"/>
      <c r="E32" s="6"/>
      <c r="F32" s="6">
        <v>1</v>
      </c>
      <c r="G32" s="6" t="s">
        <v>5</v>
      </c>
      <c r="H32" s="6">
        <v>1</v>
      </c>
      <c r="J32" t="s">
        <v>623</v>
      </c>
      <c r="K32" t="s">
        <v>630</v>
      </c>
      <c r="L32" t="s">
        <v>631</v>
      </c>
      <c r="O32">
        <v>1</v>
      </c>
      <c r="P32" t="s">
        <v>621</v>
      </c>
    </row>
    <row r="33" spans="1:16" x14ac:dyDescent="0.25">
      <c r="A33" s="6" t="s">
        <v>580</v>
      </c>
      <c r="B33" s="7" t="s">
        <v>581</v>
      </c>
      <c r="C33" s="6" t="s">
        <v>52</v>
      </c>
      <c r="D33" s="6"/>
      <c r="E33" s="6">
        <v>27348635</v>
      </c>
      <c r="F33" s="6">
        <v>1</v>
      </c>
      <c r="G33" s="6" t="s">
        <v>9</v>
      </c>
      <c r="H33" s="6">
        <v>1</v>
      </c>
      <c r="J33" t="s">
        <v>623</v>
      </c>
      <c r="K33" t="s">
        <v>633</v>
      </c>
      <c r="L33" t="s">
        <v>632</v>
      </c>
      <c r="O33">
        <v>1</v>
      </c>
      <c r="P33" t="s">
        <v>621</v>
      </c>
    </row>
    <row r="34" spans="1:16" x14ac:dyDescent="0.25">
      <c r="A34" s="6" t="s">
        <v>59</v>
      </c>
      <c r="B34" s="7" t="s">
        <v>583</v>
      </c>
      <c r="C34" s="6" t="s">
        <v>52</v>
      </c>
      <c r="D34" s="6" t="s">
        <v>582</v>
      </c>
      <c r="E34" s="6"/>
      <c r="F34" s="6">
        <v>1</v>
      </c>
      <c r="G34" s="6" t="s">
        <v>9</v>
      </c>
      <c r="H34" s="6">
        <v>1</v>
      </c>
      <c r="J34" t="s">
        <v>647</v>
      </c>
      <c r="K34" t="s">
        <v>646</v>
      </c>
      <c r="O34">
        <v>1</v>
      </c>
      <c r="P34" t="s">
        <v>29</v>
      </c>
    </row>
    <row r="35" spans="1:16" x14ac:dyDescent="0.25">
      <c r="A35" s="6" t="s">
        <v>53</v>
      </c>
      <c r="B35" s="7"/>
      <c r="C35" s="6"/>
      <c r="D35" s="6"/>
      <c r="E35" s="6"/>
      <c r="F35" s="6">
        <v>7</v>
      </c>
      <c r="G35" s="6" t="s">
        <v>9</v>
      </c>
      <c r="H35" s="6">
        <v>1</v>
      </c>
      <c r="J35" t="s">
        <v>156</v>
      </c>
      <c r="K35" t="s">
        <v>205</v>
      </c>
      <c r="O35">
        <v>1</v>
      </c>
      <c r="P35" t="s">
        <v>29</v>
      </c>
    </row>
    <row r="36" spans="1:16" x14ac:dyDescent="0.25">
      <c r="A36" s="6" t="s">
        <v>175</v>
      </c>
      <c r="B36" s="7"/>
      <c r="C36" s="6" t="s">
        <v>237</v>
      </c>
      <c r="D36" s="6"/>
      <c r="E36" s="6"/>
      <c r="F36" s="6">
        <v>1</v>
      </c>
      <c r="G36" s="6" t="s">
        <v>9</v>
      </c>
      <c r="H36" s="6">
        <v>1</v>
      </c>
      <c r="J36" t="s">
        <v>156</v>
      </c>
      <c r="K36" t="s">
        <v>648</v>
      </c>
      <c r="O36">
        <v>2</v>
      </c>
      <c r="P36" t="s">
        <v>29</v>
      </c>
    </row>
    <row r="37" spans="1:16" x14ac:dyDescent="0.25">
      <c r="A37" s="6" t="s">
        <v>44</v>
      </c>
      <c r="B37" s="7" t="s">
        <v>584</v>
      </c>
      <c r="C37" s="6" t="s">
        <v>45</v>
      </c>
      <c r="D37" s="6"/>
      <c r="E37" s="6"/>
      <c r="F37" s="6">
        <v>1</v>
      </c>
      <c r="G37" s="6" t="s">
        <v>9</v>
      </c>
      <c r="H37" s="6">
        <v>1</v>
      </c>
      <c r="J37" t="s">
        <v>156</v>
      </c>
      <c r="K37" t="s">
        <v>649</v>
      </c>
      <c r="O37">
        <v>1</v>
      </c>
      <c r="P37" t="s">
        <v>29</v>
      </c>
    </row>
    <row r="38" spans="1:16" x14ac:dyDescent="0.25">
      <c r="A38" s="6" t="s">
        <v>11</v>
      </c>
      <c r="B38" s="7"/>
      <c r="C38" s="6" t="s">
        <v>123</v>
      </c>
      <c r="D38" s="6"/>
      <c r="E38" s="6"/>
      <c r="F38" s="6">
        <v>2</v>
      </c>
      <c r="G38" s="6" t="s">
        <v>9</v>
      </c>
      <c r="H38" s="6">
        <v>1</v>
      </c>
      <c r="J38" t="s">
        <v>156</v>
      </c>
      <c r="K38" t="s">
        <v>650</v>
      </c>
      <c r="O38">
        <v>1</v>
      </c>
      <c r="P38" t="s">
        <v>29</v>
      </c>
    </row>
    <row r="39" spans="1:16" x14ac:dyDescent="0.25">
      <c r="A39" s="6" t="s">
        <v>160</v>
      </c>
      <c r="B39" s="7" t="s">
        <v>585</v>
      </c>
      <c r="C39" s="6" t="s">
        <v>692</v>
      </c>
      <c r="D39" s="6"/>
      <c r="E39" s="6"/>
      <c r="F39" s="6">
        <v>1</v>
      </c>
      <c r="G39" s="6" t="s">
        <v>9</v>
      </c>
      <c r="H39" s="6">
        <v>1</v>
      </c>
      <c r="J39" t="s">
        <v>156</v>
      </c>
      <c r="K39" t="s">
        <v>651</v>
      </c>
      <c r="O39">
        <v>1</v>
      </c>
      <c r="P39" t="s">
        <v>29</v>
      </c>
    </row>
    <row r="40" spans="1:16" x14ac:dyDescent="0.25">
      <c r="A40" s="6" t="s">
        <v>54</v>
      </c>
      <c r="B40" s="7" t="s">
        <v>586</v>
      </c>
      <c r="C40" s="6" t="s">
        <v>225</v>
      </c>
      <c r="D40" s="6" t="s">
        <v>587</v>
      </c>
      <c r="E40" s="6"/>
      <c r="F40" s="6">
        <v>1</v>
      </c>
      <c r="G40" s="6" t="s">
        <v>9</v>
      </c>
      <c r="H40" s="6">
        <v>1</v>
      </c>
      <c r="J40" t="s">
        <v>652</v>
      </c>
      <c r="K40" t="s">
        <v>653</v>
      </c>
      <c r="O40">
        <v>3</v>
      </c>
      <c r="P40" t="s">
        <v>29</v>
      </c>
    </row>
    <row r="41" spans="1:16" x14ac:dyDescent="0.25">
      <c r="A41" s="6" t="s">
        <v>173</v>
      </c>
      <c r="B41" s="7"/>
      <c r="C41" s="6" t="s">
        <v>66</v>
      </c>
      <c r="D41" s="6"/>
      <c r="E41" s="6"/>
      <c r="F41" s="6">
        <v>1</v>
      </c>
      <c r="G41" s="6" t="s">
        <v>9</v>
      </c>
      <c r="H41" s="6">
        <v>1</v>
      </c>
      <c r="J41" t="s">
        <v>156</v>
      </c>
      <c r="K41" t="s">
        <v>17</v>
      </c>
      <c r="O41">
        <v>1</v>
      </c>
      <c r="P41" t="s">
        <v>29</v>
      </c>
    </row>
    <row r="42" spans="1:16" x14ac:dyDescent="0.25">
      <c r="A42" s="6" t="s">
        <v>156</v>
      </c>
      <c r="B42" s="7" t="s">
        <v>26</v>
      </c>
      <c r="C42" s="6"/>
      <c r="D42" s="6"/>
      <c r="E42" s="6"/>
      <c r="F42" s="6">
        <v>4</v>
      </c>
      <c r="G42" s="6" t="s">
        <v>9</v>
      </c>
      <c r="H42" s="6">
        <v>1</v>
      </c>
      <c r="J42" t="s">
        <v>156</v>
      </c>
      <c r="K42" t="s">
        <v>654</v>
      </c>
      <c r="O42">
        <v>1</v>
      </c>
      <c r="P42" t="s">
        <v>29</v>
      </c>
    </row>
    <row r="43" spans="1:16" x14ac:dyDescent="0.25">
      <c r="A43" s="6" t="s">
        <v>174</v>
      </c>
      <c r="B43" s="7"/>
      <c r="C43" s="6" t="s">
        <v>236</v>
      </c>
      <c r="D43" s="6"/>
      <c r="E43" s="6"/>
      <c r="F43" s="6">
        <v>1</v>
      </c>
      <c r="G43" s="6" t="s">
        <v>9</v>
      </c>
      <c r="H43" s="6">
        <v>1</v>
      </c>
      <c r="J43" t="s">
        <v>156</v>
      </c>
      <c r="K43" t="s">
        <v>655</v>
      </c>
      <c r="O43">
        <v>3</v>
      </c>
      <c r="P43" t="s">
        <v>29</v>
      </c>
    </row>
    <row r="44" spans="1:16" x14ac:dyDescent="0.25">
      <c r="A44" s="6" t="s">
        <v>44</v>
      </c>
      <c r="B44" s="7" t="s">
        <v>588</v>
      </c>
      <c r="C44" s="6" t="s">
        <v>45</v>
      </c>
      <c r="D44" s="6"/>
      <c r="E44" s="6"/>
      <c r="F44" s="6">
        <v>1</v>
      </c>
      <c r="G44" s="6" t="s">
        <v>9</v>
      </c>
      <c r="H44" s="6">
        <v>1</v>
      </c>
      <c r="J44" t="s">
        <v>156</v>
      </c>
      <c r="K44" t="s">
        <v>570</v>
      </c>
      <c r="O44">
        <v>2</v>
      </c>
      <c r="P44" t="s">
        <v>29</v>
      </c>
    </row>
    <row r="45" spans="1:16" ht="30" x14ac:dyDescent="0.25">
      <c r="A45" s="6" t="s">
        <v>32</v>
      </c>
      <c r="B45" s="7" t="s">
        <v>561</v>
      </c>
      <c r="C45" s="6" t="s">
        <v>52</v>
      </c>
      <c r="D45" s="6"/>
      <c r="E45" s="6"/>
      <c r="F45" s="6">
        <v>2</v>
      </c>
      <c r="G45" s="6" t="s">
        <v>6</v>
      </c>
      <c r="H45" s="6">
        <v>1</v>
      </c>
      <c r="J45" t="s">
        <v>156</v>
      </c>
      <c r="K45" t="s">
        <v>23</v>
      </c>
      <c r="O45">
        <v>1</v>
      </c>
      <c r="P45" t="s">
        <v>29</v>
      </c>
    </row>
    <row r="46" spans="1:16" x14ac:dyDescent="0.25">
      <c r="A46" s="6" t="s">
        <v>243</v>
      </c>
      <c r="B46" s="7"/>
      <c r="C46" s="6"/>
      <c r="D46" s="6" t="s">
        <v>589</v>
      </c>
      <c r="E46" s="6" t="s">
        <v>590</v>
      </c>
      <c r="F46" s="6">
        <v>1</v>
      </c>
      <c r="G46" s="6" t="s">
        <v>6</v>
      </c>
      <c r="H46" s="6">
        <v>1</v>
      </c>
      <c r="J46" t="s">
        <v>156</v>
      </c>
      <c r="K46" t="s">
        <v>656</v>
      </c>
      <c r="O46">
        <v>1</v>
      </c>
      <c r="P46" t="s">
        <v>29</v>
      </c>
    </row>
    <row r="47" spans="1:16" x14ac:dyDescent="0.25">
      <c r="A47" s="6" t="s">
        <v>591</v>
      </c>
      <c r="B47" s="7"/>
      <c r="C47" s="6"/>
      <c r="D47" s="6" t="s">
        <v>182</v>
      </c>
      <c r="E47" s="6" t="s">
        <v>592</v>
      </c>
      <c r="F47" s="6">
        <v>1</v>
      </c>
      <c r="G47" s="6" t="s">
        <v>6</v>
      </c>
      <c r="H47" s="6">
        <v>1</v>
      </c>
    </row>
    <row r="48" spans="1:16" x14ac:dyDescent="0.25">
      <c r="A48" s="6" t="s">
        <v>59</v>
      </c>
      <c r="B48" s="7" t="s">
        <v>593</v>
      </c>
      <c r="C48" s="6"/>
      <c r="D48" s="6"/>
      <c r="E48" s="6"/>
      <c r="F48" s="6">
        <v>1</v>
      </c>
      <c r="G48" s="6" t="s">
        <v>6</v>
      </c>
      <c r="H48" s="6">
        <v>1</v>
      </c>
    </row>
    <row r="49" spans="1:9" x14ac:dyDescent="0.25">
      <c r="A49" s="6" t="s">
        <v>11</v>
      </c>
      <c r="B49" s="7"/>
      <c r="C49" s="6" t="s">
        <v>79</v>
      </c>
      <c r="D49" s="6"/>
      <c r="E49" s="6"/>
      <c r="F49" s="6">
        <v>1</v>
      </c>
      <c r="G49" s="6" t="s">
        <v>6</v>
      </c>
      <c r="H49" s="6">
        <v>1</v>
      </c>
    </row>
    <row r="50" spans="1:9" x14ac:dyDescent="0.25">
      <c r="A50" s="6" t="s">
        <v>32</v>
      </c>
      <c r="B50" s="7" t="s">
        <v>559</v>
      </c>
      <c r="C50" s="6" t="s">
        <v>72</v>
      </c>
      <c r="D50" s="6"/>
      <c r="E50" s="6">
        <v>140700533</v>
      </c>
      <c r="F50" s="6">
        <v>1</v>
      </c>
      <c r="G50" s="6" t="s">
        <v>6</v>
      </c>
      <c r="H50" s="6">
        <v>1</v>
      </c>
    </row>
    <row r="51" spans="1:9" x14ac:dyDescent="0.25">
      <c r="A51" s="6" t="s">
        <v>11</v>
      </c>
      <c r="B51" s="7"/>
      <c r="C51" s="6" t="s">
        <v>123</v>
      </c>
      <c r="D51" s="6"/>
      <c r="E51" s="6"/>
      <c r="F51" s="6">
        <v>3</v>
      </c>
      <c r="G51" s="6" t="s">
        <v>6</v>
      </c>
      <c r="H51" s="6">
        <v>1</v>
      </c>
    </row>
    <row r="52" spans="1:9" x14ac:dyDescent="0.25">
      <c r="A52" s="6" t="s">
        <v>11</v>
      </c>
      <c r="B52" s="7"/>
      <c r="C52" s="6" t="s">
        <v>121</v>
      </c>
      <c r="D52" s="6"/>
      <c r="E52" s="6"/>
      <c r="F52" s="6">
        <v>3</v>
      </c>
      <c r="G52" s="6" t="s">
        <v>6</v>
      </c>
      <c r="H52" s="6">
        <v>1</v>
      </c>
    </row>
    <row r="53" spans="1:9" x14ac:dyDescent="0.25">
      <c r="A53" s="6" t="s">
        <v>11</v>
      </c>
      <c r="B53" s="7"/>
      <c r="C53" s="6" t="s">
        <v>79</v>
      </c>
      <c r="D53" s="6"/>
      <c r="E53" s="6"/>
      <c r="F53" s="6">
        <v>2</v>
      </c>
      <c r="G53" s="6" t="s">
        <v>6</v>
      </c>
      <c r="H53" s="6">
        <v>1</v>
      </c>
    </row>
    <row r="54" spans="1:9" x14ac:dyDescent="0.25">
      <c r="A54" s="6" t="s">
        <v>11</v>
      </c>
      <c r="B54" s="7"/>
      <c r="C54" s="6" t="s">
        <v>77</v>
      </c>
      <c r="D54" s="6"/>
      <c r="E54" s="6"/>
      <c r="F54" s="6">
        <v>1</v>
      </c>
      <c r="G54" s="6" t="s">
        <v>6</v>
      </c>
      <c r="H54" s="6">
        <v>1</v>
      </c>
    </row>
    <row r="55" spans="1:9" x14ac:dyDescent="0.25">
      <c r="A55" s="6" t="s">
        <v>35</v>
      </c>
      <c r="B55" s="7" t="s">
        <v>595</v>
      </c>
      <c r="C55" s="6" t="s">
        <v>103</v>
      </c>
      <c r="D55" s="6"/>
      <c r="E55" s="6"/>
      <c r="F55" s="6">
        <v>1</v>
      </c>
      <c r="G55" s="6" t="s">
        <v>36</v>
      </c>
      <c r="H55" s="6" t="s">
        <v>36</v>
      </c>
    </row>
    <row r="56" spans="1:9" x14ac:dyDescent="0.25">
      <c r="A56" s="6" t="s">
        <v>35</v>
      </c>
      <c r="B56" s="7" t="s">
        <v>594</v>
      </c>
      <c r="C56" s="6" t="s">
        <v>37</v>
      </c>
      <c r="D56" s="6"/>
      <c r="E56" s="6"/>
      <c r="F56" s="6">
        <v>1</v>
      </c>
      <c r="G56" s="6" t="s">
        <v>36</v>
      </c>
      <c r="H56" s="6" t="s">
        <v>36</v>
      </c>
    </row>
    <row r="57" spans="1:9" x14ac:dyDescent="0.25">
      <c r="A57" s="6" t="s">
        <v>40</v>
      </c>
      <c r="B57" s="7"/>
      <c r="C57" s="6" t="s">
        <v>41</v>
      </c>
      <c r="D57" s="6"/>
      <c r="E57" s="6"/>
      <c r="F57" s="6">
        <v>2</v>
      </c>
      <c r="G57" s="6" t="s">
        <v>36</v>
      </c>
      <c r="H57" s="6" t="s">
        <v>36</v>
      </c>
    </row>
    <row r="58" spans="1:9" x14ac:dyDescent="0.25">
      <c r="A58" s="6" t="s">
        <v>61</v>
      </c>
      <c r="B58" s="7" t="s">
        <v>596</v>
      </c>
      <c r="C58" s="6" t="s">
        <v>597</v>
      </c>
      <c r="D58" s="6"/>
      <c r="E58" s="6"/>
      <c r="F58" s="6">
        <v>1</v>
      </c>
      <c r="G58" s="6" t="s">
        <v>36</v>
      </c>
      <c r="H58" s="6" t="s">
        <v>36</v>
      </c>
    </row>
    <row r="59" spans="1:9" x14ac:dyDescent="0.25">
      <c r="A59" s="6" t="s">
        <v>156</v>
      </c>
      <c r="B59" s="7" t="s">
        <v>598</v>
      </c>
      <c r="C59" s="6" t="s">
        <v>539</v>
      </c>
      <c r="D59" s="6"/>
      <c r="E59" s="6"/>
      <c r="F59" s="6">
        <v>1</v>
      </c>
      <c r="G59" s="6" t="s">
        <v>36</v>
      </c>
      <c r="H59" s="6" t="s">
        <v>36</v>
      </c>
    </row>
    <row r="60" spans="1:9" x14ac:dyDescent="0.25">
      <c r="A60" s="6" t="s">
        <v>156</v>
      </c>
      <c r="B60" s="7" t="s">
        <v>599</v>
      </c>
      <c r="C60" s="6"/>
      <c r="D60" s="6"/>
      <c r="E60" s="6"/>
      <c r="F60" s="6">
        <v>1</v>
      </c>
      <c r="G60" s="6" t="s">
        <v>8</v>
      </c>
      <c r="H60" s="6">
        <v>1</v>
      </c>
      <c r="I60" s="6"/>
    </row>
    <row r="61" spans="1:9" x14ac:dyDescent="0.25">
      <c r="A61" s="6" t="s">
        <v>156</v>
      </c>
      <c r="B61" s="7" t="s">
        <v>600</v>
      </c>
      <c r="C61" s="6"/>
      <c r="D61" s="6"/>
      <c r="E61" s="6"/>
      <c r="F61" s="6">
        <v>1</v>
      </c>
      <c r="G61" s="6" t="s">
        <v>8</v>
      </c>
      <c r="H61" s="6">
        <v>1</v>
      </c>
    </row>
    <row r="62" spans="1:9" x14ac:dyDescent="0.25">
      <c r="A62" s="6" t="s">
        <v>156</v>
      </c>
      <c r="B62" s="7" t="s">
        <v>601</v>
      </c>
      <c r="C62" s="6"/>
      <c r="D62" s="6"/>
      <c r="E62" s="6"/>
      <c r="F62" s="6">
        <v>1</v>
      </c>
      <c r="G62" s="6" t="s">
        <v>8</v>
      </c>
      <c r="H62" s="6">
        <v>1</v>
      </c>
    </row>
    <row r="63" spans="1:9" x14ac:dyDescent="0.25">
      <c r="A63" s="6" t="s">
        <v>156</v>
      </c>
      <c r="B63" s="7" t="s">
        <v>602</v>
      </c>
      <c r="C63" s="6"/>
      <c r="D63" s="6"/>
      <c r="E63" s="6"/>
      <c r="F63" s="6">
        <v>2</v>
      </c>
      <c r="G63" s="6" t="s">
        <v>8</v>
      </c>
      <c r="H63" s="6">
        <v>1</v>
      </c>
    </row>
    <row r="64" spans="1:9" x14ac:dyDescent="0.25">
      <c r="A64" s="6" t="s">
        <v>156</v>
      </c>
      <c r="B64" s="7" t="s">
        <v>415</v>
      </c>
      <c r="C64" s="6"/>
      <c r="D64" s="6"/>
      <c r="E64" s="6"/>
      <c r="F64" s="6">
        <v>1</v>
      </c>
      <c r="G64" s="6" t="s">
        <v>8</v>
      </c>
      <c r="H64" s="6">
        <v>1</v>
      </c>
    </row>
    <row r="65" spans="1:8" x14ac:dyDescent="0.25">
      <c r="A65" s="6" t="s">
        <v>156</v>
      </c>
      <c r="B65" s="7" t="s">
        <v>603</v>
      </c>
      <c r="C65" s="6"/>
      <c r="D65" s="6"/>
      <c r="E65" s="6"/>
      <c r="F65" s="6">
        <v>1</v>
      </c>
      <c r="G65" s="6" t="s">
        <v>8</v>
      </c>
      <c r="H65" s="6">
        <v>1</v>
      </c>
    </row>
    <row r="66" spans="1:8" x14ac:dyDescent="0.25">
      <c r="A66" s="6" t="s">
        <v>156</v>
      </c>
      <c r="B66" s="7" t="s">
        <v>604</v>
      </c>
      <c r="C66" s="6"/>
      <c r="D66" s="6"/>
      <c r="E66" s="6"/>
      <c r="F66" s="6">
        <v>2</v>
      </c>
      <c r="G66" s="6" t="s">
        <v>8</v>
      </c>
      <c r="H66" s="6">
        <v>1</v>
      </c>
    </row>
    <row r="67" spans="1:8" x14ac:dyDescent="0.25">
      <c r="A67" s="6" t="s">
        <v>156</v>
      </c>
      <c r="B67" s="7" t="s">
        <v>605</v>
      </c>
      <c r="C67" s="6"/>
      <c r="D67" s="6"/>
      <c r="E67" s="6"/>
      <c r="F67" s="6">
        <v>3</v>
      </c>
      <c r="G67" s="6" t="s">
        <v>8</v>
      </c>
      <c r="H67" s="6">
        <v>1</v>
      </c>
    </row>
    <row r="68" spans="1:8" x14ac:dyDescent="0.25">
      <c r="A68" s="6" t="s">
        <v>606</v>
      </c>
      <c r="B68" s="7"/>
      <c r="C68" s="6"/>
      <c r="D68" s="6"/>
      <c r="E68" s="6"/>
      <c r="F68" s="6">
        <v>1</v>
      </c>
      <c r="G68" s="6" t="s">
        <v>8</v>
      </c>
      <c r="H68" s="6">
        <v>1</v>
      </c>
    </row>
    <row r="69" spans="1:8" x14ac:dyDescent="0.25">
      <c r="A69" s="6" t="s">
        <v>156</v>
      </c>
      <c r="B69" s="7" t="s">
        <v>607</v>
      </c>
      <c r="C69" s="6"/>
      <c r="D69" s="6"/>
      <c r="E69" s="6"/>
      <c r="F69" s="6">
        <v>4</v>
      </c>
      <c r="G69" s="6" t="s">
        <v>8</v>
      </c>
      <c r="H69" s="6">
        <v>1</v>
      </c>
    </row>
    <row r="70" spans="1:8" x14ac:dyDescent="0.25">
      <c r="A70" s="6" t="s">
        <v>156</v>
      </c>
      <c r="B70" s="7" t="s">
        <v>608</v>
      </c>
      <c r="C70" s="6"/>
      <c r="D70" s="6"/>
      <c r="E70" s="6"/>
      <c r="F70" s="6">
        <v>1</v>
      </c>
      <c r="G70" s="6" t="s">
        <v>8</v>
      </c>
      <c r="H70" s="6">
        <v>1</v>
      </c>
    </row>
    <row r="71" spans="1:8" x14ac:dyDescent="0.25">
      <c r="A71" s="6" t="s">
        <v>156</v>
      </c>
      <c r="B71" s="7" t="s">
        <v>159</v>
      </c>
      <c r="C71" s="6"/>
      <c r="D71" s="6"/>
      <c r="E71" s="6"/>
      <c r="F71" s="6">
        <v>2</v>
      </c>
      <c r="G71" s="6" t="s">
        <v>8</v>
      </c>
      <c r="H71" s="6">
        <v>1</v>
      </c>
    </row>
    <row r="72" spans="1:8" x14ac:dyDescent="0.25">
      <c r="A72" s="6" t="s">
        <v>156</v>
      </c>
      <c r="B72" s="7" t="s">
        <v>609</v>
      </c>
      <c r="C72" s="6"/>
      <c r="D72" s="6"/>
      <c r="E72" s="6"/>
      <c r="F72" s="6">
        <v>1</v>
      </c>
      <c r="G72" s="6" t="s">
        <v>8</v>
      </c>
      <c r="H72" s="6">
        <v>1</v>
      </c>
    </row>
    <row r="73" spans="1:8" x14ac:dyDescent="0.25">
      <c r="A73" s="6" t="s">
        <v>156</v>
      </c>
      <c r="B73" s="10" t="s">
        <v>610</v>
      </c>
      <c r="C73" s="6"/>
      <c r="D73" s="6"/>
      <c r="E73" s="6"/>
      <c r="F73" s="6">
        <v>2</v>
      </c>
      <c r="G73" s="6" t="s">
        <v>8</v>
      </c>
      <c r="H73" s="6">
        <v>1</v>
      </c>
    </row>
    <row r="74" spans="1:8" x14ac:dyDescent="0.25">
      <c r="A74" s="6" t="s">
        <v>109</v>
      </c>
      <c r="B74" s="7"/>
      <c r="C74" s="6" t="s">
        <v>125</v>
      </c>
      <c r="D74" s="6"/>
      <c r="E74" s="6"/>
      <c r="F74" s="6">
        <v>2</v>
      </c>
      <c r="G74" s="6" t="s">
        <v>8</v>
      </c>
      <c r="H74" s="6">
        <v>1</v>
      </c>
    </row>
    <row r="75" spans="1:8" ht="60" x14ac:dyDescent="0.25">
      <c r="A75" s="6" t="s">
        <v>92</v>
      </c>
      <c r="B75" s="7" t="str">
        <f>bolso("Cajon de hazmat 1",Table625[])</f>
        <v xml:space="preserve">Cajon de hazmat 1 Contiene:  Guantes para hazmat x1,  Traje de aprox. Clase B trelleborg x2,  Botas de hazmat phoenix x2, </v>
      </c>
      <c r="C75" s="6"/>
      <c r="D75" s="6"/>
      <c r="E75" s="6"/>
      <c r="F75" s="6">
        <v>1</v>
      </c>
      <c r="G75" s="6" t="s">
        <v>8</v>
      </c>
      <c r="H75" s="6">
        <v>1</v>
      </c>
    </row>
    <row r="76" spans="1:8" ht="45" x14ac:dyDescent="0.25">
      <c r="A76" s="6" t="s">
        <v>92</v>
      </c>
      <c r="B76" s="7" t="str">
        <f>bolso("Cajon de seguridad en escena 1",Table625[])</f>
        <v xml:space="preserve">Cajon de seguridad en escena 1 Contiene:  Protector auditivo sthil x1,  chaleco vial x6, </v>
      </c>
      <c r="C76" s="6"/>
      <c r="D76" s="6"/>
      <c r="E76" s="6"/>
      <c r="F76" s="6">
        <v>1</v>
      </c>
      <c r="G76" s="6" t="s">
        <v>8</v>
      </c>
      <c r="H76" s="6">
        <v>1</v>
      </c>
    </row>
    <row r="77" spans="1:8" ht="30" x14ac:dyDescent="0.25">
      <c r="A77" s="6" t="s">
        <v>92</v>
      </c>
      <c r="B77" s="7" t="str">
        <f>bolso("Cajon material nautico 1",Table625[])</f>
        <v xml:space="preserve">Cajon material nautico 1 Contiene:  Chaleco salvavidas secumar x5, </v>
      </c>
      <c r="C77" s="6"/>
      <c r="D77" s="6"/>
      <c r="E77" s="6"/>
      <c r="F77" s="6">
        <v>1</v>
      </c>
      <c r="G77" s="6" t="s">
        <v>8</v>
      </c>
      <c r="H77" s="6">
        <v>1</v>
      </c>
    </row>
    <row r="78" spans="1:8" ht="39.75" customHeight="1" x14ac:dyDescent="0.25">
      <c r="A78" s="6" t="s">
        <v>188</v>
      </c>
      <c r="B78" s="7"/>
      <c r="C78" s="6"/>
      <c r="D78" s="6"/>
      <c r="E78" s="6"/>
      <c r="F78" s="6">
        <v>6</v>
      </c>
      <c r="G78" s="6" t="s">
        <v>7</v>
      </c>
      <c r="H78" s="6" t="s">
        <v>231</v>
      </c>
    </row>
    <row r="79" spans="1:8" x14ac:dyDescent="0.25">
      <c r="A79" s="6" t="s">
        <v>190</v>
      </c>
      <c r="B79" s="7"/>
      <c r="C79" s="6"/>
      <c r="D79" s="6"/>
      <c r="E79" s="6"/>
      <c r="F79" s="6">
        <v>9</v>
      </c>
      <c r="G79" s="6" t="s">
        <v>7</v>
      </c>
      <c r="H79" s="6" t="s">
        <v>231</v>
      </c>
    </row>
    <row r="80" spans="1:8" x14ac:dyDescent="0.25">
      <c r="A80" s="6" t="s">
        <v>154</v>
      </c>
      <c r="B80" s="7" t="s">
        <v>634</v>
      </c>
      <c r="C80" s="6"/>
      <c r="D80" s="6"/>
      <c r="E80" s="6"/>
      <c r="F80" s="6">
        <v>1</v>
      </c>
      <c r="G80" s="6" t="s">
        <v>7</v>
      </c>
      <c r="H80" s="6" t="s">
        <v>231</v>
      </c>
    </row>
    <row r="81" spans="1:8" x14ac:dyDescent="0.25">
      <c r="A81" s="6" t="s">
        <v>506</v>
      </c>
      <c r="B81" s="7"/>
      <c r="C81" s="6"/>
      <c r="D81" s="6"/>
      <c r="E81" s="6"/>
      <c r="F81" s="6">
        <v>4</v>
      </c>
      <c r="G81" s="6" t="s">
        <v>7</v>
      </c>
      <c r="H81" s="6" t="s">
        <v>231</v>
      </c>
    </row>
    <row r="82" spans="1:8" x14ac:dyDescent="0.25">
      <c r="A82" s="6" t="s">
        <v>192</v>
      </c>
      <c r="B82" s="7"/>
      <c r="C82" s="6"/>
      <c r="D82" s="6"/>
      <c r="E82" s="6"/>
      <c r="F82" s="6">
        <v>1</v>
      </c>
      <c r="G82" s="6" t="s">
        <v>7</v>
      </c>
      <c r="H82" s="6" t="s">
        <v>231</v>
      </c>
    </row>
    <row r="83" spans="1:8" x14ac:dyDescent="0.25">
      <c r="A83" s="6" t="s">
        <v>395</v>
      </c>
      <c r="B83" s="7"/>
      <c r="C83" s="6" t="s">
        <v>635</v>
      </c>
      <c r="D83" s="6"/>
      <c r="E83" s="6"/>
      <c r="F83" s="6">
        <v>5</v>
      </c>
      <c r="G83" s="6" t="s">
        <v>7</v>
      </c>
      <c r="H83" s="6" t="s">
        <v>231</v>
      </c>
    </row>
    <row r="84" spans="1:8" x14ac:dyDescent="0.25">
      <c r="A84" s="6" t="s">
        <v>395</v>
      </c>
      <c r="B84" s="7"/>
      <c r="C84" s="6" t="s">
        <v>397</v>
      </c>
      <c r="D84" s="6"/>
      <c r="E84" s="6"/>
      <c r="F84" s="6">
        <v>1</v>
      </c>
      <c r="G84" s="6" t="s">
        <v>7</v>
      </c>
      <c r="H84" s="6" t="s">
        <v>231</v>
      </c>
    </row>
    <row r="85" spans="1:8" x14ac:dyDescent="0.25">
      <c r="A85" s="6" t="s">
        <v>395</v>
      </c>
      <c r="B85" s="7"/>
      <c r="C85" s="6" t="s">
        <v>526</v>
      </c>
      <c r="D85" s="6"/>
      <c r="E85" s="6"/>
      <c r="F85" s="6">
        <v>1</v>
      </c>
      <c r="G85" s="6" t="s">
        <v>7</v>
      </c>
      <c r="H85" s="6" t="s">
        <v>231</v>
      </c>
    </row>
    <row r="86" spans="1:8" x14ac:dyDescent="0.25">
      <c r="A86" s="6" t="s">
        <v>638</v>
      </c>
      <c r="B86" s="7"/>
      <c r="C86" s="6"/>
      <c r="D86" s="6"/>
      <c r="E86" s="6"/>
      <c r="F86" s="6">
        <v>2</v>
      </c>
      <c r="G86" s="6" t="s">
        <v>7</v>
      </c>
      <c r="H86" s="6" t="s">
        <v>231</v>
      </c>
    </row>
    <row r="87" spans="1:8" x14ac:dyDescent="0.25">
      <c r="A87" s="6" t="s">
        <v>468</v>
      </c>
      <c r="B87" s="7" t="s">
        <v>491</v>
      </c>
      <c r="C87" s="6"/>
      <c r="D87" s="6"/>
      <c r="E87" s="6"/>
      <c r="F87" s="6">
        <v>1</v>
      </c>
      <c r="G87" s="6" t="s">
        <v>7</v>
      </c>
      <c r="H87" s="6" t="s">
        <v>231</v>
      </c>
    </row>
    <row r="88" spans="1:8" x14ac:dyDescent="0.25">
      <c r="A88" s="6" t="s">
        <v>258</v>
      </c>
      <c r="B88" s="7" t="s">
        <v>639</v>
      </c>
      <c r="C88" s="6"/>
      <c r="D88" s="6"/>
      <c r="E88" s="6"/>
      <c r="F88" s="6">
        <v>1</v>
      </c>
      <c r="G88" s="6" t="s">
        <v>7</v>
      </c>
      <c r="H88" s="6" t="s">
        <v>231</v>
      </c>
    </row>
    <row r="89" spans="1:8" x14ac:dyDescent="0.25">
      <c r="A89" s="6" t="s">
        <v>212</v>
      </c>
      <c r="B89" s="7"/>
      <c r="C89" s="6" t="s">
        <v>461</v>
      </c>
      <c r="D89" s="6"/>
      <c r="E89" s="6">
        <v>173865</v>
      </c>
      <c r="F89" s="6">
        <v>1</v>
      </c>
      <c r="G89" s="6" t="s">
        <v>7</v>
      </c>
      <c r="H89" s="6" t="s">
        <v>231</v>
      </c>
    </row>
    <row r="90" spans="1:8" x14ac:dyDescent="0.25">
      <c r="A90" s="6" t="s">
        <v>193</v>
      </c>
      <c r="B90" s="7" t="s">
        <v>640</v>
      </c>
      <c r="C90" s="6"/>
      <c r="D90" s="6" t="s">
        <v>641</v>
      </c>
      <c r="E90" s="6">
        <v>27309</v>
      </c>
      <c r="F90" s="6">
        <v>1</v>
      </c>
      <c r="G90" s="6" t="s">
        <v>7</v>
      </c>
      <c r="H90" s="6" t="s">
        <v>231</v>
      </c>
    </row>
    <row r="91" spans="1:8" x14ac:dyDescent="0.25">
      <c r="A91" s="6" t="s">
        <v>217</v>
      </c>
      <c r="B91" s="7"/>
      <c r="C91" s="6"/>
      <c r="D91" s="6"/>
      <c r="E91" s="6" t="s">
        <v>642</v>
      </c>
      <c r="F91" s="6">
        <v>1</v>
      </c>
      <c r="G91" s="6" t="s">
        <v>7</v>
      </c>
      <c r="H91" s="6" t="s">
        <v>231</v>
      </c>
    </row>
    <row r="92" spans="1:8" x14ac:dyDescent="0.25">
      <c r="A92" s="6" t="s">
        <v>217</v>
      </c>
      <c r="B92" s="7"/>
      <c r="C92" s="6"/>
      <c r="D92" s="6"/>
      <c r="E92" s="6" t="s">
        <v>643</v>
      </c>
      <c r="F92" s="6">
        <v>1</v>
      </c>
      <c r="G92" s="6" t="s">
        <v>7</v>
      </c>
      <c r="H92" s="6" t="s">
        <v>231</v>
      </c>
    </row>
    <row r="93" spans="1:8" x14ac:dyDescent="0.25">
      <c r="A93" s="6" t="s">
        <v>192</v>
      </c>
      <c r="B93" s="7"/>
      <c r="C93" s="6"/>
      <c r="D93" s="6"/>
      <c r="E93" s="6"/>
      <c r="F93" s="6">
        <v>1</v>
      </c>
      <c r="G93" s="6" t="s">
        <v>7</v>
      </c>
      <c r="H93" s="6" t="s">
        <v>234</v>
      </c>
    </row>
    <row r="94" spans="1:8" x14ac:dyDescent="0.25">
      <c r="A94" s="6" t="s">
        <v>11</v>
      </c>
      <c r="B94" s="7"/>
      <c r="C94" s="6" t="s">
        <v>79</v>
      </c>
      <c r="D94" s="6"/>
      <c r="E94" s="6"/>
      <c r="F94" s="6">
        <v>1</v>
      </c>
      <c r="G94" s="6" t="s">
        <v>7</v>
      </c>
      <c r="H94" s="6" t="s">
        <v>234</v>
      </c>
    </row>
    <row r="95" spans="1:8" x14ac:dyDescent="0.25">
      <c r="A95" s="6" t="s">
        <v>160</v>
      </c>
      <c r="B95" s="7" t="s">
        <v>585</v>
      </c>
      <c r="C95" s="6" t="s">
        <v>644</v>
      </c>
      <c r="D95" s="6"/>
      <c r="E95" s="6"/>
      <c r="F95" s="6">
        <v>3</v>
      </c>
      <c r="G95" s="6" t="s">
        <v>7</v>
      </c>
      <c r="H95" s="6" t="s">
        <v>234</v>
      </c>
    </row>
    <row r="96" spans="1:8" x14ac:dyDescent="0.25">
      <c r="A96" s="6" t="s">
        <v>190</v>
      </c>
      <c r="B96" s="7"/>
      <c r="C96" s="6"/>
      <c r="D96" s="6"/>
      <c r="E96" s="6"/>
      <c r="F96" s="6">
        <v>2</v>
      </c>
      <c r="G96" s="6" t="s">
        <v>7</v>
      </c>
      <c r="H96" s="6" t="s">
        <v>233</v>
      </c>
    </row>
    <row r="97" spans="1:8" x14ac:dyDescent="0.25">
      <c r="A97" s="6" t="s">
        <v>11</v>
      </c>
      <c r="B97" s="7"/>
      <c r="C97" s="6" t="s">
        <v>79</v>
      </c>
      <c r="D97" s="6"/>
      <c r="E97" s="6"/>
      <c r="F97" s="6">
        <v>1</v>
      </c>
      <c r="G97" s="6" t="s">
        <v>7</v>
      </c>
      <c r="H97" s="6" t="s">
        <v>233</v>
      </c>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7"/>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V3:AA3"/>
  </mergeCells>
  <dataValidations count="8">
    <dataValidation type="list" allowBlank="1" showInputMessage="1" showErrorMessage="1" sqref="T14 K28:K29 O4:O28 K33 O31:O32 O34:O46" xr:uid="{9570069C-680E-43F0-A274-6FF141815118}">
      <formula1>INDEX(Medidas,0,MATCH(OFFSET(INDIRECT(ADDRESS(ROW(), COLUMN())),0,-1),categoriasDeMedidas,0))</formula1>
    </dataValidation>
    <dataValidation type="list" allowBlank="1" showInputMessage="1" showErrorMessage="1" sqref="L1:N3 L47:N1048576 H132:H1048576 H1 H60:H97 H99:H126 H3:H54"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G1:G97 G99:G1048576 H55:H59 I60" xr:uid="{91411108-00DD-4AAD-AFD3-7E4F18DCFA38}">
      <formula1>$V$4:$AD$4</formula1>
    </dataValidation>
    <dataValidation type="list" allowBlank="1" showInputMessage="1" showErrorMessage="1" sqref="H2" xr:uid="{7C3379AB-4336-4C6D-8FF5-E18FC9833EAF}">
      <formula1>INDEX($V$5:$AD$8,0,MATCH(OFFSET(INDIRECT(ADDRESS(ROW(), COLUMN())),0,-1),$V$4:$AD$4,0))</formula1>
    </dataValidation>
    <dataValidation type="list" allowBlank="1" showInputMessage="1" showErrorMessage="1" sqref="L4:L46" xr:uid="{BC68B347-5A27-4B20-BF34-174D9602D296}">
      <formula1>INDEX(Medidas,0,MATCH(OFFSET(INDIRECT(ADDRESS(ROW(), COLUMN())),0,-2),categoriasDeMedidas,0))</formula1>
    </dataValidation>
    <dataValidation type="list" allowBlank="1" showInputMessage="1" showErrorMessage="1" sqref="A99:A1048576 A1:A97" xr:uid="{58756418-36DD-4166-A20C-B9253895726C}">
      <formula1>categorias</formula1>
    </dataValidation>
    <dataValidation type="list" allowBlank="1" showInputMessage="1" showErrorMessage="1" sqref="P1:P25 P47:P1048576" xr:uid="{9B51F6F7-D609-46BB-8F82-8FFECADB6CB1}">
      <formula1>$T:$T</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D9CFBB2-B4D8-4C31-B989-AE13787D42CF}">
          <x14:formula1>
            <xm:f>Configuracion!$I$2:$I$7</xm:f>
          </x14:formula1>
          <xm:sqref>C118 C57</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14A3BCEF-3DC8-4C4C-A3DE-EC553E18ABDD}">
          <x14:formula1>
            <xm:f>Configuracion!$A:$A</xm:f>
          </x14:formula1>
          <xm:sqref>J1:J1048576</xm:sqref>
        </x14:dataValidation>
        <x14:dataValidation type="list" allowBlank="1" showInputMessage="1" showErrorMessage="1" xr:uid="{CC19D81C-26B7-4A5E-91B9-CE0CECAC3715}">
          <x14:formula1>
            <xm:f>Configuracion!$V$2:$V$4</xm:f>
          </x14:formula1>
          <xm:sqref>C39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Z136"/>
  <sheetViews>
    <sheetView topLeftCell="A11" workbookViewId="0">
      <selection activeCell="A16" sqref="A16"/>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x14ac:dyDescent="0.25">
      <c r="A1" s="4" t="s">
        <v>0</v>
      </c>
      <c r="B1" s="5" t="s">
        <v>1</v>
      </c>
      <c r="C1" s="4" t="s">
        <v>2</v>
      </c>
      <c r="D1" s="4" t="s">
        <v>3</v>
      </c>
      <c r="E1" s="4" t="s">
        <v>4</v>
      </c>
      <c r="F1" s="4" t="s">
        <v>240</v>
      </c>
      <c r="G1" s="4" t="s">
        <v>13</v>
      </c>
      <c r="H1" s="4" t="s">
        <v>232</v>
      </c>
    </row>
    <row r="2" spans="1:26" x14ac:dyDescent="0.25">
      <c r="A2" s="6" t="s">
        <v>116</v>
      </c>
      <c r="B2" s="7"/>
      <c r="C2" s="6" t="s">
        <v>390</v>
      </c>
      <c r="D2" s="6"/>
      <c r="E2" s="6"/>
      <c r="F2" s="6">
        <v>1</v>
      </c>
      <c r="G2" s="6" t="s">
        <v>8</v>
      </c>
      <c r="H2" s="6">
        <v>1</v>
      </c>
    </row>
    <row r="3" spans="1:26" x14ac:dyDescent="0.25">
      <c r="A3" s="6" t="s">
        <v>375</v>
      </c>
      <c r="B3" s="7" t="s">
        <v>376</v>
      </c>
      <c r="C3" s="6"/>
      <c r="D3" s="6"/>
      <c r="E3" s="6"/>
      <c r="F3" s="6">
        <v>4</v>
      </c>
      <c r="G3" s="6" t="s">
        <v>8</v>
      </c>
      <c r="H3" s="6">
        <v>1</v>
      </c>
      <c r="J3" t="s">
        <v>0</v>
      </c>
      <c r="K3" t="s">
        <v>16</v>
      </c>
      <c r="L3" t="s">
        <v>2</v>
      </c>
      <c r="M3" s="4" t="s">
        <v>3</v>
      </c>
      <c r="N3" s="4" t="s">
        <v>4</v>
      </c>
      <c r="O3" t="s">
        <v>18</v>
      </c>
      <c r="P3" t="s">
        <v>14</v>
      </c>
      <c r="R3" t="s">
        <v>28</v>
      </c>
      <c r="T3" s="15" t="s">
        <v>230</v>
      </c>
      <c r="U3" s="15"/>
      <c r="V3" s="15"/>
      <c r="W3" s="15"/>
      <c r="X3" s="15"/>
      <c r="Y3" s="15"/>
    </row>
    <row r="4" spans="1:26" x14ac:dyDescent="0.25">
      <c r="A4" s="6" t="s">
        <v>375</v>
      </c>
      <c r="B4" s="7" t="s">
        <v>377</v>
      </c>
      <c r="C4" s="6"/>
      <c r="D4" s="6"/>
      <c r="E4" s="6"/>
      <c r="F4" s="6">
        <v>1</v>
      </c>
      <c r="G4" s="6" t="s">
        <v>8</v>
      </c>
      <c r="H4" s="6">
        <v>1</v>
      </c>
      <c r="J4" t="s">
        <v>12</v>
      </c>
      <c r="K4" t="s">
        <v>662</v>
      </c>
      <c r="M4" t="s">
        <v>661</v>
      </c>
      <c r="N4" t="s">
        <v>663</v>
      </c>
      <c r="O4">
        <v>1</v>
      </c>
      <c r="P4" t="s">
        <v>261</v>
      </c>
      <c r="R4" t="s">
        <v>268</v>
      </c>
      <c r="T4" t="s">
        <v>8</v>
      </c>
      <c r="U4" t="s">
        <v>5</v>
      </c>
      <c r="V4" t="s">
        <v>6</v>
      </c>
      <c r="W4" t="s">
        <v>9</v>
      </c>
      <c r="X4" t="s">
        <v>10</v>
      </c>
      <c r="Y4" t="s">
        <v>257</v>
      </c>
      <c r="Z4" t="s">
        <v>7</v>
      </c>
    </row>
    <row r="5" spans="1:26" x14ac:dyDescent="0.25">
      <c r="A5" s="6" t="s">
        <v>378</v>
      </c>
      <c r="B5" s="7" t="s">
        <v>379</v>
      </c>
      <c r="C5" s="6"/>
      <c r="D5" s="6"/>
      <c r="E5" s="6"/>
      <c r="F5" s="6">
        <v>7</v>
      </c>
      <c r="G5" s="6" t="s">
        <v>8</v>
      </c>
      <c r="H5" s="6">
        <v>1</v>
      </c>
      <c r="J5" t="s">
        <v>664</v>
      </c>
      <c r="K5" t="s">
        <v>262</v>
      </c>
      <c r="O5">
        <v>2</v>
      </c>
      <c r="P5" t="s">
        <v>261</v>
      </c>
      <c r="R5" t="s">
        <v>272</v>
      </c>
      <c r="T5">
        <v>1</v>
      </c>
      <c r="U5">
        <v>1</v>
      </c>
      <c r="V5">
        <v>1</v>
      </c>
      <c r="W5">
        <v>1</v>
      </c>
      <c r="X5">
        <v>1</v>
      </c>
      <c r="Y5">
        <v>1</v>
      </c>
      <c r="Z5">
        <v>1</v>
      </c>
    </row>
    <row r="6" spans="1:26" x14ac:dyDescent="0.25">
      <c r="A6" s="6" t="s">
        <v>154</v>
      </c>
      <c r="B6" s="7" t="s">
        <v>155</v>
      </c>
      <c r="C6" s="6"/>
      <c r="D6" s="6"/>
      <c r="E6" s="6"/>
      <c r="F6" s="6">
        <v>1</v>
      </c>
      <c r="G6" s="6" t="s">
        <v>8</v>
      </c>
      <c r="H6" s="6">
        <v>1</v>
      </c>
      <c r="J6" t="s">
        <v>12</v>
      </c>
      <c r="K6" t="s">
        <v>665</v>
      </c>
      <c r="M6" t="s">
        <v>661</v>
      </c>
      <c r="N6" t="s">
        <v>666</v>
      </c>
      <c r="O6">
        <v>1</v>
      </c>
      <c r="P6" t="s">
        <v>263</v>
      </c>
      <c r="R6" t="s">
        <v>274</v>
      </c>
      <c r="T6">
        <v>2</v>
      </c>
      <c r="U6">
        <v>2</v>
      </c>
      <c r="X6" t="s">
        <v>401</v>
      </c>
    </row>
    <row r="7" spans="1:26" x14ac:dyDescent="0.25">
      <c r="A7" s="6" t="s">
        <v>53</v>
      </c>
      <c r="B7" s="7" t="s">
        <v>238</v>
      </c>
      <c r="C7" s="6"/>
      <c r="D7" s="6"/>
      <c r="E7" s="6"/>
      <c r="F7" s="6">
        <v>8</v>
      </c>
      <c r="G7" s="6" t="s">
        <v>8</v>
      </c>
      <c r="H7" s="6">
        <v>2</v>
      </c>
      <c r="J7" t="s">
        <v>664</v>
      </c>
      <c r="K7" t="s">
        <v>264</v>
      </c>
      <c r="O7">
        <v>2</v>
      </c>
      <c r="P7" t="s">
        <v>263</v>
      </c>
      <c r="R7" t="s">
        <v>352</v>
      </c>
      <c r="T7">
        <v>3</v>
      </c>
    </row>
    <row r="8" spans="1:26" x14ac:dyDescent="0.25">
      <c r="A8" s="6" t="s">
        <v>381</v>
      </c>
      <c r="B8" s="7" t="s">
        <v>382</v>
      </c>
      <c r="C8" s="6"/>
      <c r="D8" s="6"/>
      <c r="E8" s="6">
        <v>10023961</v>
      </c>
      <c r="F8" s="6">
        <v>1</v>
      </c>
      <c r="G8" s="6" t="s">
        <v>8</v>
      </c>
      <c r="H8" s="6">
        <v>2</v>
      </c>
      <c r="J8" t="s">
        <v>664</v>
      </c>
      <c r="K8" t="s">
        <v>262</v>
      </c>
      <c r="O8">
        <v>2</v>
      </c>
      <c r="P8" t="s">
        <v>263</v>
      </c>
      <c r="R8" t="s">
        <v>353</v>
      </c>
    </row>
    <row r="9" spans="1:26" x14ac:dyDescent="0.25">
      <c r="A9" s="6" t="s">
        <v>394</v>
      </c>
      <c r="B9" s="7"/>
      <c r="C9" s="6"/>
      <c r="D9" s="6"/>
      <c r="E9" s="6"/>
      <c r="F9" s="6">
        <v>1</v>
      </c>
      <c r="G9" s="6" t="s">
        <v>8</v>
      </c>
      <c r="H9" s="6">
        <v>2</v>
      </c>
      <c r="J9" t="s">
        <v>12</v>
      </c>
      <c r="K9" t="s">
        <v>668</v>
      </c>
      <c r="M9" t="s">
        <v>667</v>
      </c>
      <c r="N9">
        <v>580426</v>
      </c>
      <c r="O9">
        <v>1</v>
      </c>
      <c r="P9" t="s">
        <v>268</v>
      </c>
      <c r="R9" t="s">
        <v>348</v>
      </c>
    </row>
    <row r="10" spans="1:26" ht="45" x14ac:dyDescent="0.25">
      <c r="A10" s="6" t="s">
        <v>92</v>
      </c>
      <c r="B10" s="7" t="str">
        <f>bolso("Cajon de hazmat 1",Table69[] )</f>
        <v xml:space="preserve">Cajon de hazmat 1 Contiene:  Traje de aproximacion clase "C" x8,  Traje de aproximacion clase "A" x3, </v>
      </c>
      <c r="C10" s="6"/>
      <c r="D10" s="6"/>
      <c r="E10" s="6"/>
      <c r="F10" s="6">
        <v>1</v>
      </c>
      <c r="G10" s="6" t="s">
        <v>8</v>
      </c>
      <c r="H10" s="6">
        <v>3</v>
      </c>
      <c r="J10" t="s">
        <v>671</v>
      </c>
      <c r="K10" t="s">
        <v>669</v>
      </c>
      <c r="M10" t="s">
        <v>670</v>
      </c>
      <c r="O10">
        <v>2</v>
      </c>
      <c r="P10" t="s">
        <v>268</v>
      </c>
      <c r="R10" t="s">
        <v>261</v>
      </c>
    </row>
    <row r="11" spans="1:26" ht="60" x14ac:dyDescent="0.25">
      <c r="A11" s="6" t="s">
        <v>92</v>
      </c>
      <c r="B11" s="7" t="str">
        <f>bolso("Cajon de hazmat 2",Table69[] )</f>
        <v xml:space="preserve">Cajon de hazmat 2 Contiene:  Traje de aproximacion clase "A" x1,  Traje de aproximacion clase "C" x2, </v>
      </c>
      <c r="C11" s="6"/>
      <c r="D11" s="6"/>
      <c r="E11" s="6"/>
      <c r="F11" s="6">
        <v>1</v>
      </c>
      <c r="G11" s="6" t="s">
        <v>8</v>
      </c>
      <c r="H11" s="6">
        <v>3</v>
      </c>
      <c r="J11" t="s">
        <v>672</v>
      </c>
      <c r="K11" t="s">
        <v>674</v>
      </c>
      <c r="M11" t="s">
        <v>673</v>
      </c>
      <c r="N11" t="s">
        <v>675</v>
      </c>
      <c r="O11">
        <v>2</v>
      </c>
      <c r="P11" t="s">
        <v>268</v>
      </c>
      <c r="R11" t="s">
        <v>263</v>
      </c>
    </row>
    <row r="12" spans="1:26" ht="30" x14ac:dyDescent="0.25">
      <c r="A12" s="6" t="s">
        <v>92</v>
      </c>
      <c r="B12" s="7" t="str">
        <f>bolso("Cajon de hazmat 3",Table69[] )</f>
        <v xml:space="preserve">Cajon de hazmat 3 Contiene:  Traje de aproximacion clase "A" x1, </v>
      </c>
      <c r="C12" s="6"/>
      <c r="D12" s="6"/>
      <c r="E12" s="6"/>
      <c r="F12" s="6">
        <v>1</v>
      </c>
      <c r="G12" s="6" t="s">
        <v>8</v>
      </c>
      <c r="H12" s="6">
        <v>3</v>
      </c>
      <c r="J12" t="s">
        <v>156</v>
      </c>
      <c r="K12" t="s">
        <v>269</v>
      </c>
      <c r="O12">
        <v>2</v>
      </c>
      <c r="P12" t="s">
        <v>268</v>
      </c>
      <c r="R12" t="s">
        <v>270</v>
      </c>
    </row>
    <row r="13" spans="1:26" x14ac:dyDescent="0.25">
      <c r="A13" s="6" t="s">
        <v>392</v>
      </c>
      <c r="B13" s="7" t="s">
        <v>393</v>
      </c>
      <c r="C13" s="6"/>
      <c r="D13" s="6"/>
      <c r="E13" s="6"/>
      <c r="F13" s="6">
        <v>1</v>
      </c>
      <c r="G13" s="6" t="s">
        <v>8</v>
      </c>
      <c r="H13" s="6">
        <v>3</v>
      </c>
      <c r="J13" t="s">
        <v>12</v>
      </c>
      <c r="K13" t="s">
        <v>676</v>
      </c>
      <c r="M13" t="s">
        <v>667</v>
      </c>
      <c r="N13">
        <v>959421</v>
      </c>
      <c r="O13">
        <v>1</v>
      </c>
      <c r="P13" t="s">
        <v>270</v>
      </c>
      <c r="R13" t="s">
        <v>357</v>
      </c>
    </row>
    <row r="14" spans="1:26" x14ac:dyDescent="0.25">
      <c r="A14" s="6" t="s">
        <v>392</v>
      </c>
      <c r="B14" s="7"/>
      <c r="C14" s="6"/>
      <c r="D14" s="6"/>
      <c r="E14" s="6"/>
      <c r="F14" s="6">
        <v>2</v>
      </c>
      <c r="G14" s="6" t="s">
        <v>8</v>
      </c>
      <c r="H14" s="6">
        <v>3</v>
      </c>
      <c r="J14" t="s">
        <v>671</v>
      </c>
      <c r="K14" t="s">
        <v>669</v>
      </c>
      <c r="M14" t="s">
        <v>670</v>
      </c>
      <c r="O14">
        <v>1</v>
      </c>
      <c r="P14" t="s">
        <v>270</v>
      </c>
      <c r="R14" t="s">
        <v>275</v>
      </c>
    </row>
    <row r="15" spans="1:26" x14ac:dyDescent="0.25">
      <c r="A15" t="s">
        <v>386</v>
      </c>
      <c r="B15" s="7"/>
      <c r="C15" s="6"/>
      <c r="D15" s="6"/>
      <c r="E15" s="6"/>
      <c r="F15" s="6">
        <v>2</v>
      </c>
      <c r="G15" s="6" t="s">
        <v>8</v>
      </c>
      <c r="H15" s="6">
        <v>3</v>
      </c>
      <c r="J15" t="s">
        <v>156</v>
      </c>
      <c r="K15" t="s">
        <v>19</v>
      </c>
      <c r="O15">
        <v>1</v>
      </c>
      <c r="P15" t="s">
        <v>272</v>
      </c>
      <c r="R15" t="s">
        <v>280</v>
      </c>
    </row>
    <row r="16" spans="1:26" x14ac:dyDescent="0.25">
      <c r="A16" t="s">
        <v>90</v>
      </c>
      <c r="B16" s="7" t="s">
        <v>385</v>
      </c>
      <c r="C16" s="6"/>
      <c r="D16" s="6"/>
      <c r="E16" s="6"/>
      <c r="F16" s="6">
        <v>2</v>
      </c>
      <c r="G16" s="6" t="s">
        <v>8</v>
      </c>
      <c r="H16" s="6">
        <v>3</v>
      </c>
      <c r="J16" t="s">
        <v>156</v>
      </c>
      <c r="K16" t="s">
        <v>273</v>
      </c>
      <c r="O16">
        <v>1</v>
      </c>
      <c r="P16" t="s">
        <v>272</v>
      </c>
      <c r="R16" t="s">
        <v>367</v>
      </c>
    </row>
    <row r="17" spans="1:18" x14ac:dyDescent="0.25">
      <c r="A17" s="6" t="s">
        <v>418</v>
      </c>
      <c r="B17" s="7" t="s">
        <v>420</v>
      </c>
      <c r="C17" s="6"/>
      <c r="D17" s="6"/>
      <c r="E17" s="6" t="s">
        <v>419</v>
      </c>
      <c r="F17" s="6">
        <v>1</v>
      </c>
      <c r="G17" s="6" t="s">
        <v>9</v>
      </c>
      <c r="H17" s="6">
        <v>1</v>
      </c>
      <c r="J17" t="s">
        <v>156</v>
      </c>
      <c r="K17" t="s">
        <v>20</v>
      </c>
      <c r="O17">
        <v>1</v>
      </c>
      <c r="P17" t="s">
        <v>272</v>
      </c>
      <c r="R17" t="s">
        <v>387</v>
      </c>
    </row>
    <row r="18" spans="1:18" ht="30" x14ac:dyDescent="0.25">
      <c r="A18" s="6" t="s">
        <v>151</v>
      </c>
      <c r="B18" s="7" t="s">
        <v>330</v>
      </c>
      <c r="C18" s="6" t="s">
        <v>332</v>
      </c>
      <c r="D18" s="6"/>
      <c r="E18" s="6"/>
      <c r="F18" s="6">
        <v>1</v>
      </c>
      <c r="G18" s="6" t="s">
        <v>9</v>
      </c>
      <c r="H18" s="6">
        <v>1</v>
      </c>
      <c r="J18" t="s">
        <v>156</v>
      </c>
      <c r="K18" t="s">
        <v>19</v>
      </c>
      <c r="O18">
        <v>1</v>
      </c>
      <c r="P18" t="s">
        <v>274</v>
      </c>
      <c r="R18" t="s">
        <v>388</v>
      </c>
    </row>
    <row r="19" spans="1:18" ht="30" x14ac:dyDescent="0.25">
      <c r="A19" s="6" t="s">
        <v>151</v>
      </c>
      <c r="B19" s="7" t="s">
        <v>331</v>
      </c>
      <c r="C19" s="6" t="s">
        <v>333</v>
      </c>
      <c r="D19" s="6"/>
      <c r="E19" s="6"/>
      <c r="F19" s="6">
        <v>1</v>
      </c>
      <c r="G19" s="6" t="s">
        <v>9</v>
      </c>
      <c r="H19" s="6">
        <v>1</v>
      </c>
      <c r="J19" t="s">
        <v>156</v>
      </c>
      <c r="K19" t="s">
        <v>20</v>
      </c>
      <c r="O19">
        <v>1</v>
      </c>
      <c r="P19" t="s">
        <v>274</v>
      </c>
      <c r="R19" t="s">
        <v>389</v>
      </c>
    </row>
    <row r="20" spans="1:18" ht="45" x14ac:dyDescent="0.25">
      <c r="A20" s="6" t="s">
        <v>151</v>
      </c>
      <c r="B20" s="7" t="s">
        <v>334</v>
      </c>
      <c r="C20" s="6" t="s">
        <v>335</v>
      </c>
      <c r="D20" s="6"/>
      <c r="E20" s="6"/>
      <c r="F20" s="6">
        <v>1</v>
      </c>
      <c r="G20" s="6" t="s">
        <v>9</v>
      </c>
      <c r="H20" s="6">
        <v>1</v>
      </c>
      <c r="J20" t="s">
        <v>677</v>
      </c>
      <c r="K20" t="s">
        <v>276</v>
      </c>
      <c r="O20">
        <v>1</v>
      </c>
      <c r="P20" t="s">
        <v>275</v>
      </c>
      <c r="R20" t="s">
        <v>368</v>
      </c>
    </row>
    <row r="21" spans="1:18" ht="30" x14ac:dyDescent="0.25">
      <c r="A21" s="6" t="s">
        <v>151</v>
      </c>
      <c r="B21" s="7" t="s">
        <v>336</v>
      </c>
      <c r="C21" s="6" t="s">
        <v>337</v>
      </c>
      <c r="D21" s="6"/>
      <c r="E21" s="6"/>
      <c r="F21" s="6">
        <v>1</v>
      </c>
      <c r="G21" s="6" t="s">
        <v>9</v>
      </c>
      <c r="H21" s="6">
        <v>1</v>
      </c>
      <c r="J21" t="s">
        <v>677</v>
      </c>
      <c r="K21" t="s">
        <v>277</v>
      </c>
      <c r="O21">
        <v>1</v>
      </c>
      <c r="P21" t="s">
        <v>275</v>
      </c>
      <c r="R21" t="s">
        <v>370</v>
      </c>
    </row>
    <row r="22" spans="1:18" ht="30" x14ac:dyDescent="0.25">
      <c r="A22" s="6" t="s">
        <v>151</v>
      </c>
      <c r="B22" s="7" t="s">
        <v>338</v>
      </c>
      <c r="C22" s="6" t="s">
        <v>339</v>
      </c>
      <c r="D22" s="6"/>
      <c r="E22" s="6"/>
      <c r="F22" s="6">
        <v>1</v>
      </c>
      <c r="G22" s="6" t="s">
        <v>9</v>
      </c>
      <c r="H22" s="6">
        <v>1</v>
      </c>
      <c r="J22" t="s">
        <v>677</v>
      </c>
      <c r="K22" t="s">
        <v>278</v>
      </c>
      <c r="O22">
        <v>1</v>
      </c>
      <c r="P22" t="s">
        <v>275</v>
      </c>
      <c r="R22" t="s">
        <v>404</v>
      </c>
    </row>
    <row r="23" spans="1:18" ht="45" x14ac:dyDescent="0.25">
      <c r="A23" s="6" t="s">
        <v>151</v>
      </c>
      <c r="B23" s="7" t="s">
        <v>340</v>
      </c>
      <c r="C23" s="6" t="s">
        <v>341</v>
      </c>
      <c r="D23" s="6"/>
      <c r="E23" s="6"/>
      <c r="F23" s="6">
        <v>1</v>
      </c>
      <c r="G23" s="6" t="s">
        <v>9</v>
      </c>
      <c r="H23" s="6">
        <v>1</v>
      </c>
      <c r="J23" t="s">
        <v>677</v>
      </c>
      <c r="K23" t="s">
        <v>279</v>
      </c>
      <c r="O23">
        <v>1</v>
      </c>
      <c r="P23" t="s">
        <v>275</v>
      </c>
      <c r="R23" t="s">
        <v>430</v>
      </c>
    </row>
    <row r="24" spans="1:18" x14ac:dyDescent="0.25">
      <c r="A24" s="6" t="s">
        <v>151</v>
      </c>
      <c r="B24" s="7" t="s">
        <v>344</v>
      </c>
      <c r="C24" s="6" t="s">
        <v>345</v>
      </c>
      <c r="D24" s="6"/>
      <c r="E24" s="6"/>
      <c r="F24" s="6">
        <v>1</v>
      </c>
      <c r="G24" s="6" t="s">
        <v>9</v>
      </c>
      <c r="H24" s="6">
        <v>1</v>
      </c>
      <c r="J24" t="s">
        <v>677</v>
      </c>
      <c r="K24" t="s">
        <v>281</v>
      </c>
      <c r="O24">
        <v>1</v>
      </c>
      <c r="P24" t="s">
        <v>280</v>
      </c>
      <c r="R24" t="s">
        <v>432</v>
      </c>
    </row>
    <row r="25" spans="1:18" x14ac:dyDescent="0.25">
      <c r="A25" s="6" t="s">
        <v>11</v>
      </c>
      <c r="B25" s="7" t="s">
        <v>417</v>
      </c>
      <c r="C25" s="6" t="s">
        <v>123</v>
      </c>
      <c r="D25" s="6"/>
      <c r="E25" s="6"/>
      <c r="F25" s="6">
        <v>2</v>
      </c>
      <c r="G25" s="6" t="s">
        <v>9</v>
      </c>
      <c r="H25" s="6">
        <v>1</v>
      </c>
      <c r="J25" t="s">
        <v>677</v>
      </c>
      <c r="K25" t="s">
        <v>282</v>
      </c>
      <c r="O25">
        <v>1</v>
      </c>
      <c r="P25" t="s">
        <v>280</v>
      </c>
      <c r="R25" t="s">
        <v>435</v>
      </c>
    </row>
    <row r="26" spans="1:18" ht="30" x14ac:dyDescent="0.25">
      <c r="A26" s="6" t="s">
        <v>151</v>
      </c>
      <c r="B26" s="7" t="s">
        <v>342</v>
      </c>
      <c r="C26" s="6"/>
      <c r="D26" s="6"/>
      <c r="E26" s="6"/>
      <c r="F26" s="6">
        <v>1</v>
      </c>
      <c r="G26" s="6" t="s">
        <v>9</v>
      </c>
      <c r="H26" s="6">
        <v>2</v>
      </c>
      <c r="J26" t="s">
        <v>677</v>
      </c>
      <c r="K26" t="s">
        <v>283</v>
      </c>
      <c r="O26">
        <v>2</v>
      </c>
      <c r="P26" t="s">
        <v>280</v>
      </c>
      <c r="R26" t="s">
        <v>437</v>
      </c>
    </row>
    <row r="27" spans="1:18" ht="30" x14ac:dyDescent="0.25">
      <c r="A27" s="6" t="s">
        <v>151</v>
      </c>
      <c r="B27" s="7" t="s">
        <v>343</v>
      </c>
      <c r="C27" s="6"/>
      <c r="D27" s="6"/>
      <c r="E27" s="6"/>
      <c r="F27" s="6">
        <v>1</v>
      </c>
      <c r="G27" s="6" t="s">
        <v>9</v>
      </c>
      <c r="H27" s="6">
        <v>2</v>
      </c>
      <c r="J27" t="s">
        <v>678</v>
      </c>
      <c r="K27" t="s">
        <v>284</v>
      </c>
      <c r="L27" t="s">
        <v>106</v>
      </c>
      <c r="O27">
        <v>1</v>
      </c>
      <c r="P27" t="s">
        <v>280</v>
      </c>
      <c r="R27" t="s">
        <v>440</v>
      </c>
    </row>
    <row r="28" spans="1:18" x14ac:dyDescent="0.25">
      <c r="A28" s="6" t="s">
        <v>381</v>
      </c>
      <c r="B28" s="7" t="s">
        <v>422</v>
      </c>
      <c r="C28" s="6"/>
      <c r="D28" s="6" t="s">
        <v>421</v>
      </c>
      <c r="E28" s="6">
        <v>1043</v>
      </c>
      <c r="F28" s="6">
        <v>1</v>
      </c>
      <c r="G28" s="6" t="s">
        <v>9</v>
      </c>
      <c r="H28" s="6">
        <v>1</v>
      </c>
      <c r="J28" t="s">
        <v>678</v>
      </c>
      <c r="K28" t="s">
        <v>285</v>
      </c>
      <c r="L28" t="s">
        <v>107</v>
      </c>
      <c r="O28">
        <v>5</v>
      </c>
      <c r="P28" t="s">
        <v>280</v>
      </c>
      <c r="R28" t="s">
        <v>29</v>
      </c>
    </row>
    <row r="29" spans="1:18" x14ac:dyDescent="0.25">
      <c r="A29" s="6" t="s">
        <v>381</v>
      </c>
      <c r="B29" s="7" t="s">
        <v>422</v>
      </c>
      <c r="C29" s="6"/>
      <c r="D29" s="6" t="s">
        <v>421</v>
      </c>
      <c r="E29" s="6">
        <v>4100</v>
      </c>
      <c r="F29" s="6">
        <v>1</v>
      </c>
      <c r="G29" s="6" t="s">
        <v>9</v>
      </c>
      <c r="H29" s="6">
        <v>1</v>
      </c>
      <c r="J29" t="s">
        <v>678</v>
      </c>
      <c r="K29" t="s">
        <v>286</v>
      </c>
      <c r="L29" t="s">
        <v>108</v>
      </c>
      <c r="O29">
        <v>2</v>
      </c>
      <c r="P29" t="s">
        <v>280</v>
      </c>
    </row>
    <row r="30" spans="1:18" x14ac:dyDescent="0.25">
      <c r="A30" s="6" t="s">
        <v>381</v>
      </c>
      <c r="B30" s="7" t="s">
        <v>423</v>
      </c>
      <c r="C30" s="6"/>
      <c r="D30" s="6"/>
      <c r="E30" s="6"/>
      <c r="F30" s="6">
        <v>2</v>
      </c>
      <c r="G30" s="6" t="s">
        <v>9</v>
      </c>
      <c r="H30" s="6">
        <v>1</v>
      </c>
      <c r="J30" t="s">
        <v>678</v>
      </c>
      <c r="K30" t="s">
        <v>287</v>
      </c>
      <c r="L30" t="s">
        <v>467</v>
      </c>
      <c r="O30">
        <v>1</v>
      </c>
      <c r="P30" t="s">
        <v>280</v>
      </c>
    </row>
    <row r="31" spans="1:18" x14ac:dyDescent="0.25">
      <c r="A31" s="6" t="s">
        <v>381</v>
      </c>
      <c r="B31" s="7" t="s">
        <v>424</v>
      </c>
      <c r="C31" s="6"/>
      <c r="D31" s="6" t="s">
        <v>354</v>
      </c>
      <c r="E31" s="6"/>
      <c r="F31" s="6">
        <v>2</v>
      </c>
      <c r="G31" s="6" t="s">
        <v>9</v>
      </c>
      <c r="H31" s="6">
        <v>1</v>
      </c>
      <c r="J31" t="s">
        <v>679</v>
      </c>
      <c r="K31" t="s">
        <v>326</v>
      </c>
      <c r="O31">
        <v>1</v>
      </c>
      <c r="P31" t="s">
        <v>352</v>
      </c>
    </row>
    <row r="32" spans="1:18" x14ac:dyDescent="0.25">
      <c r="A32" s="6" t="s">
        <v>381</v>
      </c>
      <c r="B32" s="7" t="s">
        <v>425</v>
      </c>
      <c r="C32" s="6"/>
      <c r="D32" s="6"/>
      <c r="E32" s="6"/>
      <c r="F32" s="6">
        <v>2</v>
      </c>
      <c r="G32" s="6" t="s">
        <v>9</v>
      </c>
      <c r="H32" s="6">
        <v>1</v>
      </c>
      <c r="J32" t="s">
        <v>679</v>
      </c>
      <c r="K32" t="s">
        <v>327</v>
      </c>
      <c r="O32">
        <v>1</v>
      </c>
      <c r="P32" t="s">
        <v>352</v>
      </c>
    </row>
    <row r="33" spans="1:16" x14ac:dyDescent="0.25">
      <c r="A33" s="6" t="s">
        <v>100</v>
      </c>
      <c r="B33" s="7" t="s">
        <v>360</v>
      </c>
      <c r="C33" s="6"/>
      <c r="D33" s="6" t="s">
        <v>354</v>
      </c>
      <c r="E33" s="6"/>
      <c r="F33" s="6">
        <v>3</v>
      </c>
      <c r="G33" s="6" t="s">
        <v>10</v>
      </c>
      <c r="H33" s="6">
        <v>1</v>
      </c>
      <c r="J33" t="s">
        <v>679</v>
      </c>
      <c r="K33" t="s">
        <v>328</v>
      </c>
      <c r="O33">
        <v>2</v>
      </c>
      <c r="P33" t="s">
        <v>352</v>
      </c>
    </row>
    <row r="34" spans="1:16" ht="45" x14ac:dyDescent="0.25">
      <c r="A34" s="6" t="s">
        <v>92</v>
      </c>
      <c r="B34" s="7" t="str">
        <f>bolso("Bolso de corta vidrios",Table69[])</f>
        <v xml:space="preserve">Bolso de corta vidrios Contiene:  Corta vidrios holmatro x1,  Corta cinturones x2, </v>
      </c>
      <c r="C34" s="6"/>
      <c r="D34" s="6"/>
      <c r="E34" s="6"/>
      <c r="F34" s="6">
        <v>1</v>
      </c>
      <c r="G34" s="6" t="s">
        <v>10</v>
      </c>
      <c r="H34" s="6">
        <v>1</v>
      </c>
      <c r="J34" t="s">
        <v>679</v>
      </c>
      <c r="K34" t="s">
        <v>329</v>
      </c>
      <c r="O34">
        <v>2</v>
      </c>
      <c r="P34" t="s">
        <v>352</v>
      </c>
    </row>
    <row r="35" spans="1:16" ht="60" x14ac:dyDescent="0.25">
      <c r="A35" s="6" t="s">
        <v>92</v>
      </c>
      <c r="B35" s="7" t="str">
        <f>bolso("Bolso de comando de minicojines 2",Table69[])</f>
        <v xml:space="preserve">Bolso de comando de minicojines 2 Contiene:  Comando de minicojines x1,  Reductor de presion para minicojines x1, </v>
      </c>
      <c r="C35" s="6"/>
      <c r="D35" s="6"/>
      <c r="E35" s="6"/>
      <c r="F35" s="6">
        <v>1</v>
      </c>
      <c r="G35" s="6" t="s">
        <v>10</v>
      </c>
      <c r="H35" s="6">
        <v>1</v>
      </c>
      <c r="J35" t="s">
        <v>156</v>
      </c>
      <c r="K35" t="s">
        <v>349</v>
      </c>
      <c r="O35">
        <v>1</v>
      </c>
      <c r="P35" t="s">
        <v>348</v>
      </c>
    </row>
    <row r="36" spans="1:16" ht="30" x14ac:dyDescent="0.25">
      <c r="A36" s="6" t="s">
        <v>92</v>
      </c>
      <c r="B36" s="7" t="s">
        <v>355</v>
      </c>
      <c r="C36" s="6"/>
      <c r="D36" s="6"/>
      <c r="E36" s="6"/>
      <c r="F36" s="6">
        <v>1</v>
      </c>
      <c r="G36" s="6" t="s">
        <v>10</v>
      </c>
      <c r="H36" s="6">
        <v>1</v>
      </c>
      <c r="J36" t="s">
        <v>156</v>
      </c>
      <c r="K36" t="s">
        <v>350</v>
      </c>
      <c r="O36">
        <v>2</v>
      </c>
      <c r="P36" t="s">
        <v>348</v>
      </c>
    </row>
    <row r="37" spans="1:16" ht="45" x14ac:dyDescent="0.25">
      <c r="A37" s="6" t="s">
        <v>92</v>
      </c>
      <c r="B37" s="7" t="str">
        <f>bolso("Caja de cubre parantes",Table69[])</f>
        <v xml:space="preserve">Caja de cubre parantes Contiene:  Cubre parantes chico x6,  Cubre parantes grande x6, </v>
      </c>
      <c r="C37" s="6"/>
      <c r="D37" s="6" t="s">
        <v>354</v>
      </c>
      <c r="E37" s="6"/>
      <c r="F37" s="6">
        <v>1</v>
      </c>
      <c r="G37" s="6" t="s">
        <v>10</v>
      </c>
      <c r="H37" s="6">
        <v>1</v>
      </c>
      <c r="J37" t="s">
        <v>679</v>
      </c>
      <c r="K37" t="s">
        <v>326</v>
      </c>
      <c r="O37">
        <v>1</v>
      </c>
      <c r="P37" t="s">
        <v>353</v>
      </c>
    </row>
    <row r="38" spans="1:16" ht="45" x14ac:dyDescent="0.25">
      <c r="A38" s="6" t="s">
        <v>92</v>
      </c>
      <c r="B38" s="7" t="str">
        <f>bolso("Caja de seguridad en la escena",Table69[])</f>
        <v xml:space="preserve">Caja de seguridad en la escena Contiene:  lampara vial x4,  Lampara vial marca x1, </v>
      </c>
      <c r="C38" s="6"/>
      <c r="D38" s="6"/>
      <c r="E38" s="6"/>
      <c r="F38" s="6">
        <v>1</v>
      </c>
      <c r="G38" s="6" t="s">
        <v>10</v>
      </c>
      <c r="H38" s="6">
        <v>1</v>
      </c>
      <c r="J38" t="s">
        <v>679</v>
      </c>
      <c r="K38" t="s">
        <v>327</v>
      </c>
      <c r="O38">
        <v>1</v>
      </c>
      <c r="P38" t="s">
        <v>353</v>
      </c>
    </row>
    <row r="39" spans="1:16" ht="30" x14ac:dyDescent="0.25">
      <c r="A39" s="6" t="s">
        <v>92</v>
      </c>
      <c r="B39" s="7" t="str">
        <f>bolso("Cajon de tacos 1",Table69[])</f>
        <v xml:space="preserve">Cajon de tacos 1 Contiene:  Tacos varios de madera x12, </v>
      </c>
      <c r="C39" s="6"/>
      <c r="D39" s="6"/>
      <c r="E39" s="6"/>
      <c r="F39" s="6">
        <v>1</v>
      </c>
      <c r="G39" s="6" t="s">
        <v>10</v>
      </c>
      <c r="H39" s="6">
        <v>1</v>
      </c>
      <c r="J39" t="s">
        <v>680</v>
      </c>
      <c r="K39" t="s">
        <v>358</v>
      </c>
      <c r="O39">
        <v>6</v>
      </c>
      <c r="P39" t="s">
        <v>357</v>
      </c>
    </row>
    <row r="40" spans="1:16" ht="45" x14ac:dyDescent="0.25">
      <c r="A40" s="6" t="s">
        <v>92</v>
      </c>
      <c r="B40" s="7" t="str">
        <f>bolso("Cajon de tacos 2",Table69[])</f>
        <v xml:space="preserve">Cajon de tacos 2 Contiene:  Cuña plastica x11,  Taco plastico fino x5,  Taco plastico ancho x6, </v>
      </c>
      <c r="C40" s="6"/>
      <c r="D40" s="6"/>
      <c r="E40" s="6"/>
      <c r="F40" s="6">
        <v>1</v>
      </c>
      <c r="G40" s="6" t="s">
        <v>10</v>
      </c>
      <c r="H40" s="6">
        <v>1</v>
      </c>
      <c r="J40" t="s">
        <v>680</v>
      </c>
      <c r="K40" t="s">
        <v>359</v>
      </c>
      <c r="O40">
        <v>6</v>
      </c>
      <c r="P40" t="s">
        <v>357</v>
      </c>
    </row>
    <row r="41" spans="1:16" x14ac:dyDescent="0.25">
      <c r="A41" s="6" t="s">
        <v>362</v>
      </c>
      <c r="B41" s="7" t="s">
        <v>363</v>
      </c>
      <c r="C41" s="6"/>
      <c r="D41" s="6" t="s">
        <v>354</v>
      </c>
      <c r="E41" s="6">
        <v>58115</v>
      </c>
      <c r="F41" s="6">
        <v>1</v>
      </c>
      <c r="G41" s="6" t="s">
        <v>10</v>
      </c>
      <c r="H41" s="6">
        <v>1</v>
      </c>
      <c r="J41" t="s">
        <v>681</v>
      </c>
      <c r="K41" t="s">
        <v>682</v>
      </c>
      <c r="M41" t="s">
        <v>683</v>
      </c>
      <c r="O41">
        <v>4</v>
      </c>
      <c r="P41" t="s">
        <v>367</v>
      </c>
    </row>
    <row r="42" spans="1:16" x14ac:dyDescent="0.25">
      <c r="A42" s="6" t="s">
        <v>83</v>
      </c>
      <c r="B42" s="7" t="s">
        <v>363</v>
      </c>
      <c r="C42" s="6"/>
      <c r="D42" s="6" t="s">
        <v>354</v>
      </c>
      <c r="E42" s="6">
        <v>114947</v>
      </c>
      <c r="F42" s="6">
        <v>1</v>
      </c>
      <c r="G42" s="6" t="s">
        <v>10</v>
      </c>
      <c r="H42" s="6">
        <v>1</v>
      </c>
      <c r="J42" t="s">
        <v>681</v>
      </c>
      <c r="K42" t="s">
        <v>684</v>
      </c>
      <c r="M42" t="s">
        <v>685</v>
      </c>
      <c r="O42">
        <v>1</v>
      </c>
      <c r="P42" t="s">
        <v>367</v>
      </c>
    </row>
    <row r="43" spans="1:16" x14ac:dyDescent="0.25">
      <c r="A43" s="6" t="s">
        <v>242</v>
      </c>
      <c r="B43" s="7"/>
      <c r="C43" s="6"/>
      <c r="D43" s="6" t="s">
        <v>354</v>
      </c>
      <c r="E43" s="6"/>
      <c r="F43" s="6">
        <v>2</v>
      </c>
      <c r="G43" s="6" t="s">
        <v>10</v>
      </c>
      <c r="H43" s="6">
        <v>1</v>
      </c>
      <c r="J43" t="s">
        <v>686</v>
      </c>
      <c r="K43" t="s">
        <v>369</v>
      </c>
      <c r="O43">
        <v>12</v>
      </c>
      <c r="P43" t="s">
        <v>368</v>
      </c>
    </row>
    <row r="44" spans="1:16" x14ac:dyDescent="0.25">
      <c r="A44" s="6" t="s">
        <v>242</v>
      </c>
      <c r="B44" s="7"/>
      <c r="C44" s="6"/>
      <c r="D44" s="6" t="s">
        <v>356</v>
      </c>
      <c r="E44" s="6"/>
      <c r="F44" s="6">
        <v>2</v>
      </c>
      <c r="G44" s="6" t="s">
        <v>10</v>
      </c>
      <c r="H44" s="6">
        <v>1</v>
      </c>
      <c r="J44" t="s">
        <v>686</v>
      </c>
      <c r="K44" t="s">
        <v>371</v>
      </c>
      <c r="O44">
        <v>11</v>
      </c>
      <c r="P44" t="s">
        <v>370</v>
      </c>
    </row>
    <row r="45" spans="1:16" x14ac:dyDescent="0.25">
      <c r="A45" s="6" t="s">
        <v>242</v>
      </c>
      <c r="B45" s="7"/>
      <c r="C45" s="6"/>
      <c r="D45" s="6"/>
      <c r="E45" s="6"/>
      <c r="F45" s="6">
        <v>1</v>
      </c>
      <c r="G45" s="6" t="s">
        <v>10</v>
      </c>
      <c r="H45" s="6">
        <v>1</v>
      </c>
      <c r="J45" t="s">
        <v>686</v>
      </c>
      <c r="K45" t="s">
        <v>372</v>
      </c>
      <c r="O45">
        <v>5</v>
      </c>
      <c r="P45" t="s">
        <v>370</v>
      </c>
    </row>
    <row r="46" spans="1:16" ht="30" x14ac:dyDescent="0.25">
      <c r="A46" s="6" t="s">
        <v>80</v>
      </c>
      <c r="B46" s="7" t="s">
        <v>366</v>
      </c>
      <c r="C46" s="6"/>
      <c r="D46" s="6" t="s">
        <v>354</v>
      </c>
      <c r="E46" s="6">
        <v>122054</v>
      </c>
      <c r="F46" s="6">
        <v>1</v>
      </c>
      <c r="G46" s="6" t="s">
        <v>10</v>
      </c>
      <c r="H46" s="6">
        <v>1</v>
      </c>
      <c r="J46" t="s">
        <v>686</v>
      </c>
      <c r="K46" t="s">
        <v>373</v>
      </c>
      <c r="O46">
        <v>6</v>
      </c>
      <c r="P46" t="s">
        <v>370</v>
      </c>
    </row>
    <row r="47" spans="1:16" x14ac:dyDescent="0.25">
      <c r="A47" s="6" t="s">
        <v>346</v>
      </c>
      <c r="B47" s="7" t="s">
        <v>347</v>
      </c>
      <c r="C47" s="6"/>
      <c r="D47" s="6"/>
      <c r="E47" s="6"/>
      <c r="F47" s="6">
        <v>4</v>
      </c>
      <c r="G47" s="6" t="s">
        <v>10</v>
      </c>
      <c r="H47" s="6">
        <v>1</v>
      </c>
      <c r="J47" t="s">
        <v>90</v>
      </c>
      <c r="K47" t="s">
        <v>383</v>
      </c>
      <c r="O47">
        <v>8</v>
      </c>
      <c r="P47" t="s">
        <v>387</v>
      </c>
    </row>
    <row r="48" spans="1:16" x14ac:dyDescent="0.25">
      <c r="A48" s="6" t="s">
        <v>365</v>
      </c>
      <c r="B48" s="7" t="s">
        <v>363</v>
      </c>
      <c r="C48" s="6"/>
      <c r="D48" s="6" t="s">
        <v>354</v>
      </c>
      <c r="E48" s="6">
        <v>57523</v>
      </c>
      <c r="F48" s="6">
        <v>1</v>
      </c>
      <c r="G48" s="6" t="s">
        <v>10</v>
      </c>
      <c r="H48" s="6">
        <v>1</v>
      </c>
      <c r="J48" t="s">
        <v>90</v>
      </c>
      <c r="K48" t="s">
        <v>384</v>
      </c>
      <c r="O48">
        <v>3</v>
      </c>
      <c r="P48" t="s">
        <v>387</v>
      </c>
    </row>
    <row r="49" spans="1:16" x14ac:dyDescent="0.25">
      <c r="A49" s="6" t="s">
        <v>258</v>
      </c>
      <c r="B49" s="7" t="s">
        <v>351</v>
      </c>
      <c r="C49" s="6"/>
      <c r="D49" s="6"/>
      <c r="E49" s="6"/>
      <c r="F49" s="6">
        <v>1</v>
      </c>
      <c r="G49" s="6" t="s">
        <v>10</v>
      </c>
      <c r="H49" s="6">
        <v>1</v>
      </c>
      <c r="J49" t="s">
        <v>90</v>
      </c>
      <c r="K49" t="s">
        <v>384</v>
      </c>
      <c r="O49">
        <v>1</v>
      </c>
      <c r="P49" t="s">
        <v>388</v>
      </c>
    </row>
    <row r="50" spans="1:16" x14ac:dyDescent="0.25">
      <c r="A50" s="6" t="s">
        <v>95</v>
      </c>
      <c r="B50" s="7" t="s">
        <v>364</v>
      </c>
      <c r="C50" s="6"/>
      <c r="D50" s="6" t="s">
        <v>354</v>
      </c>
      <c r="E50" s="6" t="s">
        <v>361</v>
      </c>
      <c r="F50" s="6">
        <v>1</v>
      </c>
      <c r="G50" s="6" t="s">
        <v>10</v>
      </c>
      <c r="H50" s="6">
        <v>1</v>
      </c>
      <c r="J50" t="s">
        <v>90</v>
      </c>
      <c r="K50" t="s">
        <v>383</v>
      </c>
      <c r="O50">
        <v>2</v>
      </c>
      <c r="P50" t="s">
        <v>388</v>
      </c>
    </row>
    <row r="51" spans="1:16" x14ac:dyDescent="0.25">
      <c r="A51" s="6" t="s">
        <v>95</v>
      </c>
      <c r="B51" s="7" t="s">
        <v>363</v>
      </c>
      <c r="C51" s="6"/>
      <c r="D51" s="6" t="s">
        <v>354</v>
      </c>
      <c r="E51" s="6">
        <v>54864</v>
      </c>
      <c r="F51" s="6">
        <v>1</v>
      </c>
      <c r="G51" s="6" t="s">
        <v>10</v>
      </c>
      <c r="H51" s="6">
        <v>1</v>
      </c>
      <c r="J51" t="s">
        <v>90</v>
      </c>
      <c r="K51" t="s">
        <v>384</v>
      </c>
      <c r="O51">
        <v>1</v>
      </c>
      <c r="P51" t="s">
        <v>389</v>
      </c>
    </row>
    <row r="52" spans="1:16" x14ac:dyDescent="0.25">
      <c r="A52" s="6" t="s">
        <v>95</v>
      </c>
      <c r="B52" s="7" t="s">
        <v>363</v>
      </c>
      <c r="C52" s="6"/>
      <c r="D52" s="6" t="s">
        <v>354</v>
      </c>
      <c r="E52" s="6">
        <v>88310</v>
      </c>
      <c r="F52" s="6">
        <v>1</v>
      </c>
      <c r="G52" s="6" t="s">
        <v>10</v>
      </c>
      <c r="H52" s="6">
        <v>1</v>
      </c>
      <c r="J52" t="s">
        <v>686</v>
      </c>
      <c r="K52" t="s">
        <v>405</v>
      </c>
      <c r="O52">
        <v>9</v>
      </c>
      <c r="P52" t="s">
        <v>404</v>
      </c>
    </row>
    <row r="53" spans="1:16" x14ac:dyDescent="0.25">
      <c r="A53" s="6" t="s">
        <v>100</v>
      </c>
      <c r="B53" s="7" t="s">
        <v>414</v>
      </c>
      <c r="C53" s="6"/>
      <c r="D53" s="6"/>
      <c r="E53" s="6"/>
      <c r="F53" s="6">
        <v>1</v>
      </c>
      <c r="G53" s="6" t="s">
        <v>10</v>
      </c>
      <c r="H53" t="s">
        <v>401</v>
      </c>
      <c r="J53" t="s">
        <v>686</v>
      </c>
      <c r="K53" t="s">
        <v>406</v>
      </c>
      <c r="O53">
        <v>4</v>
      </c>
      <c r="P53" t="s">
        <v>404</v>
      </c>
    </row>
    <row r="54" spans="1:16" ht="45" x14ac:dyDescent="0.25">
      <c r="A54" s="6" t="s">
        <v>403</v>
      </c>
      <c r="B54" s="7" t="str">
        <f>bolso("Cajon de tacos 3",Table69[] )</f>
        <v xml:space="preserve">Cajon de tacos 3 Contiene:  Tacos grandes cuadrados x9,  Cuñas grandes x4,  Cuñas chicas x5, </v>
      </c>
      <c r="C54" s="6"/>
      <c r="D54" s="6"/>
      <c r="E54" s="6"/>
      <c r="F54" s="6">
        <v>1</v>
      </c>
      <c r="G54" s="6" t="s">
        <v>10</v>
      </c>
      <c r="H54" t="s">
        <v>401</v>
      </c>
      <c r="J54" t="s">
        <v>686</v>
      </c>
      <c r="K54" t="s">
        <v>407</v>
      </c>
      <c r="O54">
        <v>5</v>
      </c>
      <c r="P54" t="s">
        <v>404</v>
      </c>
    </row>
    <row r="55" spans="1:16" x14ac:dyDescent="0.25">
      <c r="A55" s="6" t="s">
        <v>346</v>
      </c>
      <c r="B55" s="7" t="s">
        <v>408</v>
      </c>
      <c r="C55" s="6"/>
      <c r="D55" s="6"/>
      <c r="E55" s="6"/>
      <c r="F55" s="6">
        <v>5</v>
      </c>
      <c r="G55" s="6" t="s">
        <v>10</v>
      </c>
      <c r="H55" t="s">
        <v>401</v>
      </c>
      <c r="J55" t="s">
        <v>192</v>
      </c>
      <c r="K55" t="s">
        <v>431</v>
      </c>
      <c r="O55">
        <v>2</v>
      </c>
      <c r="P55" t="s">
        <v>430</v>
      </c>
    </row>
    <row r="56" spans="1:16" x14ac:dyDescent="0.25">
      <c r="A56" s="6" t="s">
        <v>226</v>
      </c>
      <c r="B56" s="7" t="s">
        <v>409</v>
      </c>
      <c r="C56" s="6"/>
      <c r="D56" s="6" t="s">
        <v>410</v>
      </c>
      <c r="E56" s="6" t="s">
        <v>411</v>
      </c>
      <c r="F56" s="6">
        <v>1</v>
      </c>
      <c r="G56" s="6" t="s">
        <v>10</v>
      </c>
      <c r="H56" t="s">
        <v>401</v>
      </c>
      <c r="J56" t="s">
        <v>687</v>
      </c>
      <c r="K56" t="s">
        <v>433</v>
      </c>
      <c r="O56">
        <v>1</v>
      </c>
      <c r="P56" t="s">
        <v>432</v>
      </c>
    </row>
    <row r="57" spans="1:16" x14ac:dyDescent="0.25">
      <c r="A57" s="6" t="s">
        <v>226</v>
      </c>
      <c r="B57" s="7" t="s">
        <v>409</v>
      </c>
      <c r="C57" s="6"/>
      <c r="D57" s="6" t="s">
        <v>412</v>
      </c>
      <c r="E57" s="6" t="s">
        <v>413</v>
      </c>
      <c r="F57" s="6">
        <v>1</v>
      </c>
      <c r="G57" s="6" t="s">
        <v>10</v>
      </c>
      <c r="H57" t="s">
        <v>401</v>
      </c>
      <c r="J57" t="s">
        <v>687</v>
      </c>
      <c r="K57" t="s">
        <v>434</v>
      </c>
      <c r="O57">
        <v>1</v>
      </c>
      <c r="P57" t="s">
        <v>432</v>
      </c>
    </row>
    <row r="58" spans="1:16" x14ac:dyDescent="0.25">
      <c r="A58" s="6" t="s">
        <v>111</v>
      </c>
      <c r="B58" s="7" t="s">
        <v>402</v>
      </c>
      <c r="C58" s="6"/>
      <c r="D58" s="6"/>
      <c r="E58" s="6"/>
      <c r="F58" s="6">
        <v>4</v>
      </c>
      <c r="G58" s="6" t="s">
        <v>10</v>
      </c>
      <c r="H58" t="s">
        <v>401</v>
      </c>
      <c r="J58" t="s">
        <v>687</v>
      </c>
      <c r="K58" t="s">
        <v>436</v>
      </c>
      <c r="O58">
        <v>2</v>
      </c>
      <c r="P58" t="s">
        <v>435</v>
      </c>
    </row>
    <row r="59" spans="1:16" ht="45" x14ac:dyDescent="0.25">
      <c r="A59" s="6" t="s">
        <v>92</v>
      </c>
      <c r="B59" s="7" t="str">
        <f>bolso("Bolso de martillo demoledor",Table69[])</f>
        <v xml:space="preserve">Bolso de martillo demoledor Contiene:  Martillo demoledor 220v grande   x1,  Mecha x2, </v>
      </c>
      <c r="C59" s="6"/>
      <c r="D59" s="6"/>
      <c r="E59" s="6"/>
      <c r="F59" s="6">
        <v>1</v>
      </c>
      <c r="G59" s="6" t="s">
        <v>257</v>
      </c>
      <c r="H59" s="6">
        <v>1</v>
      </c>
      <c r="J59" t="s">
        <v>687</v>
      </c>
      <c r="K59" t="s">
        <v>439</v>
      </c>
      <c r="O59">
        <v>1</v>
      </c>
      <c r="P59" t="s">
        <v>438</v>
      </c>
    </row>
    <row r="60" spans="1:16" ht="45" x14ac:dyDescent="0.25">
      <c r="A60" s="6" t="s">
        <v>92</v>
      </c>
      <c r="B60" s="7" t="str">
        <f>bolso("Bolso de rotomartillo",Table69[])</f>
        <v xml:space="preserve">Bolso de rotomartillo Contiene:  Rotomartillo 220v   x1,  Mecha sincel x2,  Mecha x2, </v>
      </c>
      <c r="C60" s="6"/>
      <c r="D60" s="6"/>
      <c r="E60" s="6"/>
      <c r="F60" s="6">
        <v>1</v>
      </c>
      <c r="G60" s="6" t="s">
        <v>257</v>
      </c>
      <c r="H60" s="6">
        <v>1</v>
      </c>
      <c r="J60" t="s">
        <v>611</v>
      </c>
      <c r="K60" t="s">
        <v>441</v>
      </c>
      <c r="O60">
        <v>4</v>
      </c>
      <c r="P60" t="s">
        <v>440</v>
      </c>
    </row>
    <row r="61" spans="1:16" ht="75" x14ac:dyDescent="0.25">
      <c r="A61" s="6" t="s">
        <v>92</v>
      </c>
      <c r="B61" s="7" t="str">
        <f>bolso("Bolso de amoladora",Table69[])</f>
        <v xml:space="preserve">Bolso de amoladora Contiene:  Amoladora electrica a bateria  x1,  Bateria  x2,  Cargador de bateria  x2,  Herramienta para cambio de disco de amoladora x2, </v>
      </c>
      <c r="C61" s="6"/>
      <c r="D61" s="6" t="s">
        <v>266</v>
      </c>
      <c r="E61" s="6"/>
      <c r="F61" s="6">
        <v>1</v>
      </c>
      <c r="G61" s="6" t="s">
        <v>257</v>
      </c>
      <c r="H61" s="6">
        <v>1</v>
      </c>
      <c r="J61" t="s">
        <v>221</v>
      </c>
      <c r="K61" t="s">
        <v>442</v>
      </c>
      <c r="O61">
        <v>1</v>
      </c>
      <c r="P61" t="s">
        <v>29</v>
      </c>
    </row>
    <row r="62" spans="1:16" ht="30" x14ac:dyDescent="0.25">
      <c r="A62" s="6" t="s">
        <v>92</v>
      </c>
      <c r="B62" s="7" t="str">
        <f>bolso("Bolso de sierra sable",Table69[])</f>
        <v xml:space="preserve">Bolso de sierra sable Contiene:  Sierra sable  x1,  Bateria  x1, </v>
      </c>
      <c r="C62" s="6"/>
      <c r="D62" s="6" t="s">
        <v>266</v>
      </c>
      <c r="E62" s="6"/>
      <c r="F62" s="6">
        <v>1</v>
      </c>
      <c r="G62" s="6" t="s">
        <v>257</v>
      </c>
      <c r="H62" s="6">
        <v>1</v>
      </c>
      <c r="J62" t="s">
        <v>221</v>
      </c>
      <c r="K62" t="s">
        <v>200</v>
      </c>
      <c r="O62">
        <v>1</v>
      </c>
      <c r="P62" t="s">
        <v>29</v>
      </c>
    </row>
    <row r="63" spans="1:16" ht="30" x14ac:dyDescent="0.25">
      <c r="A63" s="6" t="s">
        <v>92</v>
      </c>
      <c r="B63" s="7" t="str">
        <f>bolso("Bolso de carpintero 1",Table69[])</f>
        <v xml:space="preserve">Bolso de carpintero 1 Contiene:  Martillo x1,  Pinza x1,  Alicate x1, </v>
      </c>
      <c r="C63" s="6"/>
      <c r="D63" s="6"/>
      <c r="E63" s="6"/>
      <c r="F63" s="6">
        <v>1</v>
      </c>
      <c r="G63" s="6" t="s">
        <v>257</v>
      </c>
      <c r="H63" s="6">
        <v>1</v>
      </c>
      <c r="J63" t="s">
        <v>221</v>
      </c>
      <c r="K63" t="s">
        <v>443</v>
      </c>
      <c r="O63">
        <v>2</v>
      </c>
      <c r="P63" t="s">
        <v>29</v>
      </c>
    </row>
    <row r="64" spans="1:16" ht="30" x14ac:dyDescent="0.25">
      <c r="A64" s="6" t="s">
        <v>92</v>
      </c>
      <c r="B64" s="7" t="str">
        <f>bolso("Bolso de carpintero 2",Table69[])</f>
        <v xml:space="preserve">Bolso de carpintero 2 Contiene:  Martillo x1,  Alicate x1, </v>
      </c>
      <c r="C64" s="6"/>
      <c r="D64" s="6"/>
      <c r="E64" s="6"/>
      <c r="F64" s="6">
        <v>1</v>
      </c>
      <c r="G64" s="6" t="s">
        <v>257</v>
      </c>
      <c r="H64" s="6">
        <v>1</v>
      </c>
      <c r="J64" t="s">
        <v>221</v>
      </c>
      <c r="K64" t="s">
        <v>444</v>
      </c>
      <c r="O64">
        <v>2</v>
      </c>
      <c r="P64" t="s">
        <v>29</v>
      </c>
    </row>
    <row r="65" spans="1:16" ht="60" x14ac:dyDescent="0.25">
      <c r="A65" s="6" t="s">
        <v>92</v>
      </c>
      <c r="B65" s="7" t="str">
        <f>bolso("Caja de eslingas 1",Table69[])</f>
        <v xml:space="preserve">Caja de eslingas 1 Contiene:  Eslinga 3tn año 01/2011 x1,  Eslinga 3tn año 01/2012 x1,  Eslinga 6tn año 11/2010 x1,  Eslinga 6tn Sin año x1, </v>
      </c>
      <c r="C65" s="6"/>
      <c r="D65" s="6"/>
      <c r="E65" s="6"/>
      <c r="F65" s="6">
        <v>1</v>
      </c>
      <c r="G65" s="6" t="s">
        <v>257</v>
      </c>
      <c r="H65" s="6">
        <v>1</v>
      </c>
      <c r="J65" t="s">
        <v>221</v>
      </c>
      <c r="K65" t="s">
        <v>19</v>
      </c>
      <c r="O65">
        <v>1</v>
      </c>
      <c r="P65" t="s">
        <v>29</v>
      </c>
    </row>
    <row r="66" spans="1:16" ht="90" x14ac:dyDescent="0.25">
      <c r="A66" s="6" t="s">
        <v>92</v>
      </c>
      <c r="B66" s="7" t="str">
        <f>bolso("Caja de eslingas 2",Table69[])</f>
        <v xml:space="preserve">Caja de eslingas 2 Contiene:  Eslinga fina x1,  Eslinga will 1tn año 02/2013 x1,  Eslinga grande 6TN año 02/2015 x2,  Grillete chico x1,  Grillete mediano x5,  Grillete grande x2,  Grillete muy grande x1, </v>
      </c>
      <c r="C66" s="6"/>
      <c r="D66" s="6"/>
      <c r="E66" s="6"/>
      <c r="F66" s="6">
        <v>1</v>
      </c>
      <c r="G66" s="6" t="s">
        <v>257</v>
      </c>
      <c r="H66" s="6">
        <v>1</v>
      </c>
      <c r="J66" t="s">
        <v>221</v>
      </c>
      <c r="K66" t="s">
        <v>445</v>
      </c>
      <c r="O66">
        <v>1</v>
      </c>
      <c r="P66" t="s">
        <v>29</v>
      </c>
    </row>
    <row r="67" spans="1:16" ht="90" x14ac:dyDescent="0.25">
      <c r="A67" s="6" t="s">
        <v>92</v>
      </c>
      <c r="B67" s="7" t="str">
        <f>bolso("Bolso de comando de minicojines 1",Table69[])</f>
        <v xml:space="preserve">Bolso de comando de minicojines 1 Contiene:  Comando de minicojines x1,  Reductor de presion para minicojines x1,  Mangueras de aire comprimido para minicojines x2,  Valvula de presion con manometro x2, </v>
      </c>
      <c r="C67" s="6"/>
      <c r="D67" s="6"/>
      <c r="E67" s="6"/>
      <c r="F67" s="6">
        <v>1</v>
      </c>
      <c r="G67" s="6" t="s">
        <v>257</v>
      </c>
      <c r="H67" s="6">
        <v>1</v>
      </c>
      <c r="J67" t="s">
        <v>221</v>
      </c>
      <c r="K67" t="s">
        <v>446</v>
      </c>
      <c r="O67">
        <v>3</v>
      </c>
      <c r="P67" t="s">
        <v>29</v>
      </c>
    </row>
    <row r="68" spans="1:16" x14ac:dyDescent="0.25">
      <c r="A68" s="6" t="s">
        <v>156</v>
      </c>
      <c r="B68" s="7" t="s">
        <v>415</v>
      </c>
      <c r="C68" s="6" t="s">
        <v>158</v>
      </c>
      <c r="D68" s="6"/>
      <c r="E68" s="6"/>
      <c r="F68" s="6">
        <v>3</v>
      </c>
      <c r="G68" s="6" t="s">
        <v>257</v>
      </c>
      <c r="H68" s="6">
        <v>1</v>
      </c>
      <c r="J68" t="s">
        <v>221</v>
      </c>
      <c r="K68" t="s">
        <v>447</v>
      </c>
      <c r="O68">
        <v>1</v>
      </c>
      <c r="P68" t="s">
        <v>29</v>
      </c>
    </row>
    <row r="69" spans="1:16" x14ac:dyDescent="0.25">
      <c r="A69" s="6" t="s">
        <v>156</v>
      </c>
      <c r="B69" s="7" t="s">
        <v>416</v>
      </c>
      <c r="C69" s="6" t="s">
        <v>158</v>
      </c>
      <c r="D69" s="6"/>
      <c r="E69" s="6"/>
      <c r="F69" s="6">
        <v>1</v>
      </c>
      <c r="G69" s="6" t="s">
        <v>257</v>
      </c>
      <c r="H69" s="6">
        <v>1</v>
      </c>
      <c r="J69" t="s">
        <v>221</v>
      </c>
      <c r="K69" t="s">
        <v>448</v>
      </c>
      <c r="O69">
        <v>1</v>
      </c>
      <c r="P69" t="s">
        <v>29</v>
      </c>
    </row>
    <row r="70" spans="1:16" x14ac:dyDescent="0.25">
      <c r="A70" s="6" t="s">
        <v>12</v>
      </c>
      <c r="B70" s="7" t="s">
        <v>265</v>
      </c>
      <c r="C70" s="6"/>
      <c r="D70" s="6" t="s">
        <v>266</v>
      </c>
      <c r="E70" s="9" t="s">
        <v>267</v>
      </c>
      <c r="F70" s="6">
        <v>1</v>
      </c>
      <c r="G70" s="6" t="s">
        <v>257</v>
      </c>
      <c r="H70" s="6">
        <v>1</v>
      </c>
      <c r="J70" t="s">
        <v>221</v>
      </c>
      <c r="K70" t="s">
        <v>449</v>
      </c>
      <c r="O70">
        <v>1</v>
      </c>
      <c r="P70" t="s">
        <v>29</v>
      </c>
    </row>
    <row r="71" spans="1:16" ht="30" x14ac:dyDescent="0.25">
      <c r="A71" t="s">
        <v>258</v>
      </c>
      <c r="B71" s="7" t="s">
        <v>259</v>
      </c>
      <c r="C71" s="6"/>
      <c r="D71" s="6"/>
      <c r="E71" s="6"/>
      <c r="F71" s="6">
        <v>3</v>
      </c>
      <c r="G71" s="6" t="s">
        <v>257</v>
      </c>
      <c r="H71" s="6">
        <v>1</v>
      </c>
      <c r="J71" t="s">
        <v>221</v>
      </c>
      <c r="K71" t="s">
        <v>450</v>
      </c>
      <c r="O71">
        <v>1</v>
      </c>
      <c r="P71" t="s">
        <v>29</v>
      </c>
    </row>
    <row r="72" spans="1:16" x14ac:dyDescent="0.25">
      <c r="A72" s="6" t="s">
        <v>87</v>
      </c>
      <c r="B72" s="7" t="s">
        <v>260</v>
      </c>
      <c r="C72" s="6"/>
      <c r="D72" s="6"/>
      <c r="E72" s="6"/>
      <c r="F72" s="6">
        <v>9</v>
      </c>
      <c r="G72" s="6" t="s">
        <v>257</v>
      </c>
      <c r="H72" s="6">
        <v>1</v>
      </c>
      <c r="J72" t="s">
        <v>221</v>
      </c>
      <c r="K72" t="s">
        <v>451</v>
      </c>
      <c r="O72">
        <v>1</v>
      </c>
      <c r="P72" t="s">
        <v>29</v>
      </c>
    </row>
    <row r="73" spans="1:16" x14ac:dyDescent="0.25">
      <c r="A73" s="6" t="s">
        <v>87</v>
      </c>
      <c r="B73" s="7" t="s">
        <v>271</v>
      </c>
      <c r="C73" s="6"/>
      <c r="D73" s="6"/>
      <c r="E73" s="6"/>
      <c r="F73" s="6">
        <v>2</v>
      </c>
      <c r="G73" s="6" t="s">
        <v>257</v>
      </c>
      <c r="H73" s="6">
        <v>1</v>
      </c>
      <c r="J73" t="s">
        <v>221</v>
      </c>
      <c r="K73" t="s">
        <v>452</v>
      </c>
      <c r="O73">
        <v>1</v>
      </c>
      <c r="P73" t="s">
        <v>29</v>
      </c>
    </row>
    <row r="74" spans="1:16" x14ac:dyDescent="0.25">
      <c r="A74" s="6" t="s">
        <v>400</v>
      </c>
      <c r="B74" s="7"/>
      <c r="C74" s="6"/>
      <c r="D74" s="6"/>
      <c r="E74" s="6"/>
      <c r="F74" s="6">
        <v>4</v>
      </c>
      <c r="G74" s="6" t="s">
        <v>7</v>
      </c>
      <c r="H74" s="6">
        <v>1</v>
      </c>
      <c r="J74" t="s">
        <v>221</v>
      </c>
      <c r="K74" t="s">
        <v>453</v>
      </c>
      <c r="O74">
        <v>1</v>
      </c>
      <c r="P74" t="s">
        <v>29</v>
      </c>
    </row>
    <row r="75" spans="1:16" x14ac:dyDescent="0.25">
      <c r="A75" s="6" t="s">
        <v>395</v>
      </c>
      <c r="B75" s="7"/>
      <c r="C75" s="6" t="s">
        <v>396</v>
      </c>
      <c r="D75" s="6"/>
      <c r="E75" s="6"/>
      <c r="F75" s="6">
        <v>1</v>
      </c>
      <c r="G75" s="6" t="s">
        <v>7</v>
      </c>
      <c r="H75" s="6">
        <v>1</v>
      </c>
    </row>
    <row r="76" spans="1:16" x14ac:dyDescent="0.25">
      <c r="A76" s="6" t="s">
        <v>395</v>
      </c>
      <c r="B76" s="7"/>
      <c r="C76" s="6" t="s">
        <v>397</v>
      </c>
      <c r="D76" s="6"/>
      <c r="E76" s="6"/>
      <c r="F76" s="6">
        <v>1</v>
      </c>
      <c r="G76" s="6" t="s">
        <v>7</v>
      </c>
      <c r="H76" s="6">
        <v>1</v>
      </c>
    </row>
    <row r="77" spans="1:16" x14ac:dyDescent="0.25">
      <c r="A77" s="6" t="s">
        <v>188</v>
      </c>
      <c r="B77" s="7" t="s">
        <v>399</v>
      </c>
      <c r="C77" s="6"/>
      <c r="D77" s="6"/>
      <c r="E77" s="6"/>
      <c r="F77" s="6">
        <v>1</v>
      </c>
      <c r="G77" s="6" t="s">
        <v>7</v>
      </c>
      <c r="H77" s="6">
        <v>1</v>
      </c>
    </row>
    <row r="78" spans="1:16" x14ac:dyDescent="0.25">
      <c r="A78" s="6" t="s">
        <v>212</v>
      </c>
      <c r="B78" s="7"/>
      <c r="C78" s="6"/>
      <c r="D78" s="6"/>
      <c r="E78" s="6"/>
      <c r="F78" s="6">
        <v>1</v>
      </c>
      <c r="G78" s="6" t="s">
        <v>7</v>
      </c>
      <c r="H78" s="6">
        <v>1</v>
      </c>
    </row>
    <row r="79" spans="1:16" x14ac:dyDescent="0.25">
      <c r="A79" s="6" t="s">
        <v>258</v>
      </c>
      <c r="B79" s="7" t="s">
        <v>398</v>
      </c>
      <c r="C79" s="6"/>
      <c r="D79" s="6"/>
      <c r="E79" s="6"/>
      <c r="F79" s="6">
        <v>1</v>
      </c>
      <c r="G79" s="6" t="s">
        <v>7</v>
      </c>
      <c r="H79" s="6">
        <v>1</v>
      </c>
    </row>
    <row r="80" spans="1:16" x14ac:dyDescent="0.25">
      <c r="A80" s="6" t="s">
        <v>160</v>
      </c>
      <c r="B80" s="7" t="s">
        <v>426</v>
      </c>
      <c r="C80" s="6" t="s">
        <v>645</v>
      </c>
      <c r="D80" s="6"/>
      <c r="E80" s="6"/>
      <c r="F80" s="6">
        <v>2</v>
      </c>
      <c r="G80" s="6" t="s">
        <v>5</v>
      </c>
      <c r="H80" s="6">
        <v>1</v>
      </c>
    </row>
    <row r="81" spans="1:8" x14ac:dyDescent="0.25">
      <c r="A81" s="6" t="s">
        <v>160</v>
      </c>
      <c r="B81" s="7" t="s">
        <v>164</v>
      </c>
      <c r="C81" s="6" t="s">
        <v>645</v>
      </c>
      <c r="D81" s="6"/>
      <c r="E81" s="6"/>
      <c r="F81" s="6">
        <v>2</v>
      </c>
      <c r="G81" s="6" t="s">
        <v>5</v>
      </c>
      <c r="H81" s="6">
        <v>1</v>
      </c>
    </row>
    <row r="82" spans="1:8" x14ac:dyDescent="0.25">
      <c r="A82" s="6" t="s">
        <v>46</v>
      </c>
      <c r="B82" s="7"/>
      <c r="C82" s="6"/>
      <c r="D82" s="6"/>
      <c r="E82" s="6"/>
      <c r="F82" s="6">
        <v>3</v>
      </c>
      <c r="G82" s="6" t="s">
        <v>5</v>
      </c>
      <c r="H82" s="6">
        <v>1</v>
      </c>
    </row>
    <row r="83" spans="1:8" x14ac:dyDescent="0.25">
      <c r="A83" s="6" t="s">
        <v>427</v>
      </c>
      <c r="B83" s="7"/>
      <c r="C83" s="6"/>
      <c r="D83" s="6"/>
      <c r="E83" s="6"/>
      <c r="F83" s="6">
        <v>1</v>
      </c>
      <c r="G83" s="6" t="s">
        <v>5</v>
      </c>
      <c r="H83" s="6">
        <v>1</v>
      </c>
    </row>
    <row r="84" spans="1:8" x14ac:dyDescent="0.25">
      <c r="A84" s="6" t="s">
        <v>244</v>
      </c>
      <c r="B84" s="7" t="s">
        <v>428</v>
      </c>
      <c r="C84" s="6"/>
      <c r="D84" s="6" t="s">
        <v>429</v>
      </c>
      <c r="E84" s="6"/>
      <c r="F84" s="6">
        <v>1</v>
      </c>
      <c r="G84" s="6" t="s">
        <v>5</v>
      </c>
      <c r="H84" s="6">
        <v>1</v>
      </c>
    </row>
    <row r="85" spans="1:8" ht="30" x14ac:dyDescent="0.25">
      <c r="A85" s="6" t="s">
        <v>92</v>
      </c>
      <c r="B85" s="7" t="str">
        <f>bolso("Cajon de cuerdas trenzadas",Table69[])</f>
        <v xml:space="preserve">Cajon de cuerdas trenzadas Contiene:  Cuerda naranja de salvamento naval x2, </v>
      </c>
      <c r="C85" s="6"/>
      <c r="D85" s="6"/>
      <c r="E85" s="6"/>
      <c r="F85" s="6">
        <v>1</v>
      </c>
      <c r="G85" s="6" t="s">
        <v>5</v>
      </c>
      <c r="H85" s="6">
        <v>1</v>
      </c>
    </row>
    <row r="86" spans="1:8" ht="45" x14ac:dyDescent="0.25">
      <c r="A86" s="6" t="s">
        <v>92</v>
      </c>
      <c r="B86" s="7" t="str">
        <f>bolso("Cajon de poda",Table69[])</f>
        <v xml:space="preserve">Cajon de poda Contiene:  Mameluco de seguridad para motosierras x1,  Casco de poda x1, </v>
      </c>
      <c r="C86" s="6"/>
      <c r="D86" s="6"/>
      <c r="E86" s="6"/>
      <c r="F86" s="6">
        <v>1</v>
      </c>
      <c r="G86" s="6" t="s">
        <v>5</v>
      </c>
      <c r="H86" s="6">
        <v>1</v>
      </c>
    </row>
    <row r="87" spans="1:8" ht="30" x14ac:dyDescent="0.25">
      <c r="A87" s="6" t="s">
        <v>92</v>
      </c>
      <c r="B87" s="7" t="str">
        <f>bolso("Cajon de botas wader",Table69[])</f>
        <v xml:space="preserve">Cajon de botas wader Contiene:  Botas wader x2, </v>
      </c>
      <c r="C87" s="6"/>
      <c r="D87" s="6"/>
      <c r="E87" s="6"/>
      <c r="F87" s="6">
        <v>1</v>
      </c>
      <c r="G87" s="6" t="s">
        <v>5</v>
      </c>
      <c r="H87" s="6">
        <v>1</v>
      </c>
    </row>
    <row r="88" spans="1:8" x14ac:dyDescent="0.25">
      <c r="A88" s="6" t="s">
        <v>92</v>
      </c>
      <c r="B88" s="6" t="str">
        <f>bolso("Cajon de guantes",Table69[])</f>
        <v xml:space="preserve">Cajon de guantes Contiene:  Guantes varios x1, </v>
      </c>
      <c r="C88" s="6"/>
      <c r="D88" s="6"/>
      <c r="E88" s="6"/>
      <c r="F88" s="6">
        <v>1</v>
      </c>
      <c r="G88" s="6" t="s">
        <v>5</v>
      </c>
      <c r="H88" s="6">
        <v>1</v>
      </c>
    </row>
    <row r="89" spans="1:8" x14ac:dyDescent="0.25">
      <c r="A89" s="6" t="s">
        <v>92</v>
      </c>
      <c r="B89" s="6" t="str">
        <f>bolso("Cajon de reservorios de agua",Table69[])</f>
        <v xml:space="preserve">Cajon de reservorios de agua Contiene:  Reservorios de auga x4, </v>
      </c>
      <c r="C89" s="6"/>
      <c r="D89" s="6"/>
      <c r="E89" s="6"/>
      <c r="F89" s="6">
        <v>1</v>
      </c>
      <c r="G89" s="6" t="s">
        <v>5</v>
      </c>
      <c r="H89" s="6">
        <v>1</v>
      </c>
    </row>
    <row r="90" spans="1:8" ht="120" x14ac:dyDescent="0.25">
      <c r="A90" s="6" t="s">
        <v>92</v>
      </c>
      <c r="B90" s="7"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6"/>
      <c r="D90" s="6"/>
      <c r="E90" s="6"/>
      <c r="F90" s="6">
        <v>1</v>
      </c>
      <c r="G90" s="6" t="s">
        <v>5</v>
      </c>
      <c r="H90" s="6">
        <v>1</v>
      </c>
    </row>
    <row r="91" spans="1:8" x14ac:dyDescent="0.25">
      <c r="A91" s="6" t="s">
        <v>156</v>
      </c>
      <c r="B91" s="7" t="s">
        <v>454</v>
      </c>
      <c r="C91" s="6"/>
      <c r="D91" s="6"/>
      <c r="E91" s="6"/>
      <c r="F91" s="6">
        <v>1</v>
      </c>
      <c r="G91" s="6" t="s">
        <v>6</v>
      </c>
      <c r="H91" s="6">
        <v>1</v>
      </c>
    </row>
    <row r="92" spans="1:8" x14ac:dyDescent="0.25">
      <c r="A92" s="6" t="s">
        <v>156</v>
      </c>
      <c r="B92" s="7" t="s">
        <v>455</v>
      </c>
      <c r="C92" s="6"/>
      <c r="D92" s="6"/>
      <c r="E92" s="6"/>
      <c r="F92" s="6">
        <v>1</v>
      </c>
      <c r="G92" s="6" t="s">
        <v>6</v>
      </c>
      <c r="H92" s="6">
        <v>1</v>
      </c>
    </row>
    <row r="93" spans="1:8" x14ac:dyDescent="0.25">
      <c r="A93" s="6" t="s">
        <v>156</v>
      </c>
      <c r="B93" s="7" t="s">
        <v>456</v>
      </c>
      <c r="C93" s="6" t="s">
        <v>108</v>
      </c>
      <c r="D93" s="6"/>
      <c r="E93" s="6"/>
      <c r="F93" s="6">
        <v>1</v>
      </c>
      <c r="G93" s="6" t="s">
        <v>6</v>
      </c>
      <c r="H93" s="6">
        <v>1</v>
      </c>
    </row>
    <row r="94" spans="1:8" x14ac:dyDescent="0.25">
      <c r="A94" s="6" t="s">
        <v>244</v>
      </c>
      <c r="B94" s="7"/>
      <c r="C94" s="6"/>
      <c r="D94" s="6" t="s">
        <v>457</v>
      </c>
      <c r="E94" s="6"/>
      <c r="F94" s="6">
        <v>1</v>
      </c>
      <c r="G94" s="6" t="s">
        <v>6</v>
      </c>
      <c r="H94" s="6">
        <v>1</v>
      </c>
    </row>
    <row r="95" spans="1:8" x14ac:dyDescent="0.25">
      <c r="A95" s="6" t="s">
        <v>156</v>
      </c>
      <c r="B95" s="7" t="s">
        <v>458</v>
      </c>
      <c r="C95" s="6" t="s">
        <v>108</v>
      </c>
      <c r="D95" s="6"/>
      <c r="E95" s="6"/>
      <c r="F95" s="6">
        <v>1</v>
      </c>
      <c r="G95" s="6" t="s">
        <v>6</v>
      </c>
      <c r="H95" s="6">
        <v>2</v>
      </c>
    </row>
    <row r="96" spans="1:8" x14ac:dyDescent="0.25">
      <c r="A96" s="6" t="s">
        <v>156</v>
      </c>
      <c r="B96" s="7" t="s">
        <v>459</v>
      </c>
      <c r="C96" s="6"/>
      <c r="D96" s="6"/>
      <c r="E96" s="6"/>
      <c r="F96" s="6">
        <v>1</v>
      </c>
      <c r="G96" s="6" t="s">
        <v>6</v>
      </c>
      <c r="H96" s="6">
        <v>2</v>
      </c>
    </row>
    <row r="97" spans="1:8" x14ac:dyDescent="0.25">
      <c r="A97" s="6" t="s">
        <v>156</v>
      </c>
      <c r="B97" s="7" t="s">
        <v>460</v>
      </c>
      <c r="C97" s="6" t="s">
        <v>461</v>
      </c>
      <c r="D97" s="6"/>
      <c r="E97" s="6"/>
      <c r="F97" s="6">
        <v>3</v>
      </c>
      <c r="G97" s="6" t="s">
        <v>6</v>
      </c>
      <c r="H97" s="6">
        <v>2</v>
      </c>
    </row>
    <row r="98" spans="1:8" x14ac:dyDescent="0.25">
      <c r="A98" s="6" t="s">
        <v>156</v>
      </c>
      <c r="B98" s="7" t="s">
        <v>177</v>
      </c>
      <c r="C98" s="6"/>
      <c r="D98" s="6"/>
      <c r="E98" s="6"/>
      <c r="F98" s="6">
        <v>3</v>
      </c>
      <c r="G98" s="6" t="s">
        <v>6</v>
      </c>
      <c r="H98" s="6">
        <v>2</v>
      </c>
    </row>
    <row r="99" spans="1:8" x14ac:dyDescent="0.25">
      <c r="A99" s="6" t="s">
        <v>156</v>
      </c>
      <c r="B99" s="7" t="s">
        <v>462</v>
      </c>
      <c r="C99" s="6"/>
      <c r="D99" s="6"/>
      <c r="E99" s="6"/>
      <c r="F99" s="6">
        <v>1</v>
      </c>
      <c r="G99" s="6" t="s">
        <v>6</v>
      </c>
      <c r="H99" s="6">
        <v>2</v>
      </c>
    </row>
    <row r="100" spans="1:8" x14ac:dyDescent="0.25">
      <c r="A100" s="6" t="s">
        <v>156</v>
      </c>
      <c r="B100" s="7" t="s">
        <v>168</v>
      </c>
      <c r="C100" s="6"/>
      <c r="D100" s="6"/>
      <c r="E100" s="6"/>
      <c r="F100" s="6">
        <v>1</v>
      </c>
      <c r="G100" s="6" t="s">
        <v>6</v>
      </c>
      <c r="H100" s="6">
        <v>2</v>
      </c>
    </row>
    <row r="101" spans="1:8" x14ac:dyDescent="0.25">
      <c r="A101" s="6" t="s">
        <v>90</v>
      </c>
      <c r="B101" s="7" t="s">
        <v>463</v>
      </c>
      <c r="C101" s="6"/>
      <c r="D101" s="6"/>
      <c r="E101" s="6"/>
      <c r="F101" s="6">
        <v>1</v>
      </c>
      <c r="G101" s="6" t="s">
        <v>6</v>
      </c>
      <c r="H101" s="6">
        <v>2</v>
      </c>
    </row>
    <row r="102" spans="1:8" x14ac:dyDescent="0.25">
      <c r="A102" s="6" t="s">
        <v>156</v>
      </c>
      <c r="B102" s="7" t="s">
        <v>464</v>
      </c>
      <c r="C102" s="6"/>
      <c r="D102" s="6"/>
      <c r="E102" s="6"/>
      <c r="F102" s="6">
        <v>1</v>
      </c>
      <c r="G102" s="6" t="s">
        <v>6</v>
      </c>
      <c r="H102" s="6">
        <v>2</v>
      </c>
    </row>
    <row r="103" spans="1:8" x14ac:dyDescent="0.25">
      <c r="A103" s="6" t="s">
        <v>89</v>
      </c>
      <c r="B103" s="7"/>
      <c r="C103" s="6"/>
      <c r="D103" s="6"/>
      <c r="E103" s="6"/>
      <c r="F103" s="6">
        <v>2</v>
      </c>
      <c r="G103" s="6" t="s">
        <v>6</v>
      </c>
      <c r="H103" s="6">
        <v>2</v>
      </c>
    </row>
    <row r="104" spans="1:8" x14ac:dyDescent="0.25">
      <c r="A104" s="6" t="s">
        <v>156</v>
      </c>
      <c r="B104" s="7" t="s">
        <v>465</v>
      </c>
      <c r="C104" s="6"/>
      <c r="D104" s="6"/>
      <c r="E104" s="6"/>
      <c r="F104" s="6">
        <v>2</v>
      </c>
      <c r="G104" s="6" t="s">
        <v>6</v>
      </c>
      <c r="H104" s="6">
        <v>2</v>
      </c>
    </row>
    <row r="105" spans="1:8" x14ac:dyDescent="0.25">
      <c r="A105" s="6" t="s">
        <v>466</v>
      </c>
      <c r="B105" s="7"/>
      <c r="C105" s="6"/>
      <c r="D105" s="6"/>
      <c r="E105" s="6"/>
      <c r="F105" s="6">
        <v>1</v>
      </c>
      <c r="G105" s="6" t="s">
        <v>6</v>
      </c>
      <c r="H105" s="6">
        <v>2</v>
      </c>
    </row>
    <row r="106" spans="1:8" x14ac:dyDescent="0.25">
      <c r="A106" s="6" t="s">
        <v>105</v>
      </c>
      <c r="B106" s="7"/>
      <c r="C106" s="6" t="s">
        <v>108</v>
      </c>
      <c r="D106" s="6"/>
      <c r="E106" s="6"/>
      <c r="F106" s="6">
        <v>9</v>
      </c>
      <c r="G106" s="6" t="s">
        <v>6</v>
      </c>
      <c r="H106" s="6">
        <v>3</v>
      </c>
    </row>
    <row r="107" spans="1:8" x14ac:dyDescent="0.25">
      <c r="A107" s="6" t="s">
        <v>105</v>
      </c>
      <c r="B107" s="7"/>
      <c r="C107" s="6" t="s">
        <v>467</v>
      </c>
      <c r="D107" s="6"/>
      <c r="E107" s="6"/>
      <c r="F107" s="6">
        <v>1</v>
      </c>
      <c r="G107" s="6" t="s">
        <v>6</v>
      </c>
      <c r="H107" s="6">
        <v>3</v>
      </c>
    </row>
    <row r="108" spans="1:8" x14ac:dyDescent="0.25">
      <c r="A108" s="6" t="s">
        <v>105</v>
      </c>
      <c r="B108" s="7"/>
      <c r="C108" s="6" t="s">
        <v>107</v>
      </c>
      <c r="D108" s="6"/>
      <c r="E108" s="6"/>
      <c r="F108" s="6">
        <v>1</v>
      </c>
      <c r="G108" s="6" t="s">
        <v>6</v>
      </c>
      <c r="H108" s="6">
        <v>3</v>
      </c>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6">
    <dataValidation type="list" allowBlank="1" showInputMessage="1" showErrorMessage="1" sqref="C1 C7:C8 C11 C14:C15" xr:uid="{6488A263-FF48-4FEC-80AE-35972CA5F9FC}">
      <formula1>Medidas</formula1>
    </dataValidation>
    <dataValidation type="list" allowBlank="1" showInputMessage="1" showErrorMessage="1" sqref="A135:A136 J61:J75 A112:A117 A119:A128 A130:A133 A1 A3:A5 A7:A23 A25:A35 A37 A39:A50 A53:A55 A57:A58 A60 A63:A64 A66:A67 A104:A108 J4 J6 J9:J30 J35:J36 J43:J55 A71:A100 A101:A103"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P76:P1048576 P1:P74" xr:uid="{3501184E-8C21-4DF3-96BD-848BE0E51833}">
      <formula1>BolsosM41</formula1>
    </dataValidation>
    <dataValidation type="list" allowBlank="1" showInputMessage="1" showErrorMessage="1" sqref="L4:L74" xr:uid="{56E19680-E5D2-478A-ABB6-380FD22BFFC4}">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 C81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Y136"/>
  <sheetViews>
    <sheetView topLeftCell="M1" workbookViewId="0">
      <selection activeCell="A2" sqref="A2"/>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32</v>
      </c>
      <c r="B2" s="7"/>
      <c r="C2" t="s">
        <v>288</v>
      </c>
      <c r="D2" s="6"/>
      <c r="E2" s="6" t="s">
        <v>289</v>
      </c>
      <c r="F2" s="6">
        <v>1</v>
      </c>
      <c r="G2" s="6" t="s">
        <v>8</v>
      </c>
      <c r="H2" s="6">
        <v>1</v>
      </c>
    </row>
    <row r="3" spans="1:25" x14ac:dyDescent="0.25">
      <c r="A3" s="6" t="s">
        <v>11</v>
      </c>
      <c r="B3" s="7"/>
      <c r="C3" t="s">
        <v>290</v>
      </c>
      <c r="D3" s="6"/>
      <c r="E3" s="6"/>
      <c r="F3" s="6">
        <v>5</v>
      </c>
      <c r="G3" s="6" t="s">
        <v>8</v>
      </c>
      <c r="H3" s="6">
        <v>1</v>
      </c>
      <c r="J3" t="s">
        <v>0</v>
      </c>
      <c r="K3" t="s">
        <v>16</v>
      </c>
      <c r="L3" t="s">
        <v>2</v>
      </c>
      <c r="M3" s="4" t="s">
        <v>3</v>
      </c>
      <c r="N3" s="4" t="s">
        <v>4</v>
      </c>
      <c r="O3" t="s">
        <v>18</v>
      </c>
      <c r="P3" t="s">
        <v>14</v>
      </c>
      <c r="R3" t="s">
        <v>28</v>
      </c>
      <c r="T3" s="15" t="s">
        <v>230</v>
      </c>
      <c r="U3" s="15"/>
      <c r="V3" s="15"/>
      <c r="W3" s="15"/>
      <c r="X3" s="15"/>
      <c r="Y3" s="15"/>
    </row>
    <row r="4" spans="1:25" x14ac:dyDescent="0.25">
      <c r="A4" s="6" t="s">
        <v>173</v>
      </c>
      <c r="B4" s="7"/>
      <c r="C4" s="6" t="s">
        <v>291</v>
      </c>
      <c r="D4" s="6"/>
      <c r="E4" s="6"/>
      <c r="F4" s="6">
        <v>1</v>
      </c>
      <c r="G4" s="6" t="s">
        <v>292</v>
      </c>
      <c r="H4" s="6">
        <v>1</v>
      </c>
      <c r="T4" t="s">
        <v>8</v>
      </c>
      <c r="U4" t="s">
        <v>5</v>
      </c>
      <c r="V4" t="s">
        <v>292</v>
      </c>
      <c r="W4" t="s">
        <v>36</v>
      </c>
      <c r="X4" t="s">
        <v>7</v>
      </c>
    </row>
    <row r="5" spans="1:25" x14ac:dyDescent="0.25">
      <c r="A5" s="6" t="s">
        <v>35</v>
      </c>
      <c r="B5" s="7" t="s">
        <v>293</v>
      </c>
      <c r="C5" s="6" t="s">
        <v>294</v>
      </c>
      <c r="D5" s="6"/>
      <c r="E5" s="6"/>
      <c r="F5" s="6">
        <v>1</v>
      </c>
      <c r="G5" s="6" t="s">
        <v>36</v>
      </c>
      <c r="H5" s="6">
        <v>1</v>
      </c>
      <c r="T5">
        <v>1</v>
      </c>
      <c r="U5">
        <v>1</v>
      </c>
      <c r="V5">
        <v>1</v>
      </c>
      <c r="W5">
        <v>1</v>
      </c>
      <c r="X5">
        <v>1</v>
      </c>
    </row>
    <row r="6" spans="1:25" x14ac:dyDescent="0.25">
      <c r="A6" s="6" t="s">
        <v>40</v>
      </c>
      <c r="B6" s="7" t="s">
        <v>295</v>
      </c>
      <c r="C6" s="6" t="s">
        <v>41</v>
      </c>
      <c r="D6" s="6"/>
      <c r="E6" s="9"/>
      <c r="F6" s="6">
        <v>1</v>
      </c>
      <c r="G6" s="6" t="s">
        <v>36</v>
      </c>
      <c r="H6" s="6">
        <v>1</v>
      </c>
    </row>
    <row r="7" spans="1:25" x14ac:dyDescent="0.25">
      <c r="A7" s="6" t="s">
        <v>139</v>
      </c>
      <c r="B7" s="7"/>
      <c r="C7" s="6"/>
      <c r="D7" s="6"/>
      <c r="E7" s="6"/>
      <c r="F7" s="6">
        <v>2</v>
      </c>
      <c r="G7" s="6" t="s">
        <v>36</v>
      </c>
      <c r="H7" s="6">
        <v>1</v>
      </c>
    </row>
    <row r="8" spans="1:25" x14ac:dyDescent="0.25">
      <c r="A8" s="6" t="s">
        <v>32</v>
      </c>
      <c r="B8" s="7"/>
      <c r="C8" s="6" t="s">
        <v>52</v>
      </c>
      <c r="D8" s="6" t="s">
        <v>296</v>
      </c>
      <c r="E8" s="6"/>
      <c r="F8" s="6">
        <v>1</v>
      </c>
      <c r="G8" s="6" t="s">
        <v>5</v>
      </c>
      <c r="H8" s="6">
        <v>1</v>
      </c>
    </row>
    <row r="9" spans="1:25" x14ac:dyDescent="0.25">
      <c r="A9" s="6" t="s">
        <v>11</v>
      </c>
      <c r="B9" s="7" t="s">
        <v>297</v>
      </c>
      <c r="C9" s="6" t="s">
        <v>123</v>
      </c>
      <c r="D9" s="6"/>
      <c r="E9" s="6"/>
      <c r="F9" s="6">
        <v>2</v>
      </c>
      <c r="G9" s="6" t="s">
        <v>5</v>
      </c>
      <c r="H9" s="6">
        <v>1</v>
      </c>
    </row>
    <row r="10" spans="1:25" x14ac:dyDescent="0.25">
      <c r="A10" s="6" t="s">
        <v>32</v>
      </c>
      <c r="B10" s="7" t="s">
        <v>299</v>
      </c>
      <c r="C10" s="6" t="s">
        <v>52</v>
      </c>
      <c r="D10" s="6" t="s">
        <v>298</v>
      </c>
      <c r="E10" s="6"/>
      <c r="F10" s="6">
        <v>2</v>
      </c>
      <c r="G10" s="6" t="s">
        <v>7</v>
      </c>
      <c r="H10" s="6">
        <v>1</v>
      </c>
    </row>
    <row r="11" spans="1:25" x14ac:dyDescent="0.25">
      <c r="A11" s="6" t="s">
        <v>156</v>
      </c>
      <c r="B11" s="7" t="s">
        <v>26</v>
      </c>
      <c r="C11" s="6"/>
      <c r="D11" s="6"/>
      <c r="E11" s="6"/>
      <c r="F11" s="6">
        <v>1</v>
      </c>
      <c r="G11" s="6" t="s">
        <v>7</v>
      </c>
      <c r="H11" s="6">
        <v>1</v>
      </c>
    </row>
    <row r="12" spans="1:25" x14ac:dyDescent="0.25">
      <c r="A12" s="6" t="s">
        <v>210</v>
      </c>
      <c r="B12" s="7" t="s">
        <v>300</v>
      </c>
      <c r="C12" s="6"/>
      <c r="D12" s="6"/>
      <c r="E12" s="6"/>
      <c r="F12" s="6">
        <v>1</v>
      </c>
      <c r="G12" s="6" t="s">
        <v>7</v>
      </c>
      <c r="H12" s="6">
        <v>1</v>
      </c>
    </row>
    <row r="13" spans="1:25" x14ac:dyDescent="0.25">
      <c r="A13" s="6" t="s">
        <v>44</v>
      </c>
      <c r="B13" s="7"/>
      <c r="C13" s="6" t="s">
        <v>67</v>
      </c>
      <c r="D13" s="6"/>
      <c r="E13" s="6"/>
      <c r="F13" s="6">
        <v>1</v>
      </c>
      <c r="G13" s="6" t="s">
        <v>7</v>
      </c>
      <c r="H13" s="6">
        <v>1</v>
      </c>
    </row>
    <row r="14" spans="1:25" x14ac:dyDescent="0.25">
      <c r="A14" s="6" t="s">
        <v>43</v>
      </c>
      <c r="B14" s="7" t="s">
        <v>68</v>
      </c>
      <c r="C14" s="6" t="s">
        <v>66</v>
      </c>
      <c r="D14" s="6"/>
      <c r="E14" s="6"/>
      <c r="F14" s="6">
        <v>2</v>
      </c>
      <c r="G14" s="6" t="s">
        <v>7</v>
      </c>
      <c r="H14" s="6">
        <v>1</v>
      </c>
    </row>
    <row r="15" spans="1:25" x14ac:dyDescent="0.25">
      <c r="A15" s="6" t="s">
        <v>44</v>
      </c>
      <c r="B15" s="7" t="s">
        <v>302</v>
      </c>
      <c r="C15" s="6" t="s">
        <v>301</v>
      </c>
      <c r="D15" s="6"/>
      <c r="E15" s="6"/>
      <c r="F15" s="6">
        <v>1</v>
      </c>
      <c r="G15" s="6" t="s">
        <v>7</v>
      </c>
      <c r="H15" s="6">
        <v>1</v>
      </c>
    </row>
    <row r="16" spans="1:25" x14ac:dyDescent="0.25">
      <c r="A16" s="6" t="s">
        <v>43</v>
      </c>
      <c r="B16" s="7" t="s">
        <v>247</v>
      </c>
      <c r="C16" s="6" t="s">
        <v>66</v>
      </c>
      <c r="D16" s="6"/>
      <c r="E16" s="6"/>
      <c r="F16" s="6">
        <v>2</v>
      </c>
      <c r="G16" s="6" t="s">
        <v>7</v>
      </c>
      <c r="H16" s="6">
        <v>1</v>
      </c>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J4" xr:uid="{80729C1D-E205-468A-92C4-9CF2AA2AE09D}">
      <formula1>categorias</formula1>
    </dataValidation>
    <dataValidation type="list" allowBlank="1" showInputMessage="1" showErrorMessage="1" sqref="C1 C7" xr:uid="{7613A193-4422-4869-A221-12FF7835BA87}">
      <formula1>Medidas</formula1>
    </dataValidation>
    <dataValidation type="list" allowBlank="1" showInputMessage="1" showErrorMessage="1" sqref="L4" xr:uid="{123852AA-FB9F-4FD3-98CF-58B9A8F51EF5}">
      <formula1>INDEX(Medidas,0,MATCH(OFFSET(INDIRECT(ADDRESS(ROW(), COLUMN())),0,-2),categoriasDeMedidas,0))</formula1>
    </dataValidation>
    <dataValidation type="list" allowBlank="1" showInputMessage="1" showErrorMessage="1" sqref="P3 P4" xr:uid="{24808E8B-FF5E-4F9F-90B3-E66DF9F62497}">
      <formula1>BolsosM39</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sheetPr codeName="Sheet9"/>
  <dimension ref="A1:Y136"/>
  <sheetViews>
    <sheetView workbookViewId="0">
      <selection activeCell="A8" sqref="A8"/>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156</v>
      </c>
      <c r="B2" s="7" t="s">
        <v>568</v>
      </c>
      <c r="D2" s="6"/>
      <c r="E2" s="6"/>
      <c r="F2" s="6">
        <v>4</v>
      </c>
      <c r="G2" s="6" t="s">
        <v>8</v>
      </c>
      <c r="H2" s="6">
        <v>1</v>
      </c>
    </row>
    <row r="3" spans="1:25" x14ac:dyDescent="0.25">
      <c r="A3" s="6" t="s">
        <v>44</v>
      </c>
      <c r="B3" s="7"/>
      <c r="C3" s="6" t="s">
        <v>67</v>
      </c>
      <c r="D3" s="6"/>
      <c r="E3" s="6"/>
      <c r="F3" s="6">
        <v>2</v>
      </c>
      <c r="G3" s="6" t="s">
        <v>8</v>
      </c>
      <c r="H3" s="6">
        <v>1</v>
      </c>
      <c r="J3" t="s">
        <v>0</v>
      </c>
      <c r="K3" t="s">
        <v>16</v>
      </c>
      <c r="L3" t="s">
        <v>2</v>
      </c>
      <c r="M3" s="4" t="s">
        <v>3</v>
      </c>
      <c r="N3" s="4" t="s">
        <v>4</v>
      </c>
      <c r="O3" t="s">
        <v>18</v>
      </c>
      <c r="P3" t="s">
        <v>14</v>
      </c>
      <c r="R3" t="s">
        <v>28</v>
      </c>
      <c r="T3" s="15" t="s">
        <v>230</v>
      </c>
      <c r="U3" s="15"/>
      <c r="V3" s="15"/>
      <c r="W3" s="15"/>
      <c r="X3" s="15"/>
      <c r="Y3" s="15"/>
    </row>
    <row r="4" spans="1:25" x14ac:dyDescent="0.25">
      <c r="A4" s="6" t="s">
        <v>43</v>
      </c>
      <c r="B4" s="7"/>
      <c r="C4" s="6" t="s">
        <v>65</v>
      </c>
      <c r="D4" s="6"/>
      <c r="E4" s="6"/>
      <c r="F4" s="6">
        <v>1</v>
      </c>
      <c r="G4" s="6" t="s">
        <v>8</v>
      </c>
      <c r="H4" s="6">
        <v>1</v>
      </c>
      <c r="T4" t="s">
        <v>8</v>
      </c>
      <c r="U4" t="s">
        <v>5</v>
      </c>
      <c r="V4" t="s">
        <v>7</v>
      </c>
    </row>
    <row r="5" spans="1:25" x14ac:dyDescent="0.25">
      <c r="A5" s="6" t="s">
        <v>32</v>
      </c>
      <c r="B5" s="7" t="s">
        <v>657</v>
      </c>
      <c r="C5" s="6" t="s">
        <v>33</v>
      </c>
      <c r="D5" s="6"/>
      <c r="E5" s="6"/>
      <c r="F5" s="6">
        <v>3</v>
      </c>
      <c r="G5" s="6" t="s">
        <v>8</v>
      </c>
      <c r="H5" s="6">
        <v>1</v>
      </c>
      <c r="T5">
        <v>1</v>
      </c>
      <c r="U5">
        <v>1</v>
      </c>
      <c r="V5">
        <v>1</v>
      </c>
    </row>
    <row r="6" spans="1:25" x14ac:dyDescent="0.25">
      <c r="A6" s="6" t="s">
        <v>32</v>
      </c>
      <c r="B6" s="7" t="s">
        <v>299</v>
      </c>
      <c r="C6" s="6" t="s">
        <v>72</v>
      </c>
      <c r="D6" s="6" t="s">
        <v>298</v>
      </c>
      <c r="E6" s="9"/>
      <c r="F6" s="6">
        <v>1</v>
      </c>
      <c r="G6" s="6" t="s">
        <v>8</v>
      </c>
      <c r="H6" s="6">
        <v>1</v>
      </c>
    </row>
    <row r="7" spans="1:25" x14ac:dyDescent="0.25">
      <c r="A7" s="6" t="s">
        <v>32</v>
      </c>
      <c r="B7" s="7" t="s">
        <v>658</v>
      </c>
      <c r="C7" s="6" t="s">
        <v>33</v>
      </c>
      <c r="D7" s="6"/>
      <c r="E7" s="6"/>
      <c r="F7" s="6">
        <v>1</v>
      </c>
      <c r="G7" s="6" t="s">
        <v>8</v>
      </c>
      <c r="H7" s="6">
        <v>1</v>
      </c>
    </row>
    <row r="8" spans="1:25" x14ac:dyDescent="0.25">
      <c r="A8" s="6" t="s">
        <v>32</v>
      </c>
      <c r="B8" s="7" t="s">
        <v>659</v>
      </c>
      <c r="C8" s="6" t="s">
        <v>33</v>
      </c>
      <c r="D8" s="6"/>
      <c r="E8" s="6"/>
      <c r="F8" s="6">
        <v>1</v>
      </c>
      <c r="G8" s="6" t="s">
        <v>8</v>
      </c>
      <c r="H8" s="6">
        <v>1</v>
      </c>
    </row>
    <row r="9" spans="1:25" x14ac:dyDescent="0.25">
      <c r="A9" s="6" t="s">
        <v>11</v>
      </c>
      <c r="B9" s="7"/>
      <c r="C9" s="6" t="s">
        <v>123</v>
      </c>
      <c r="D9" s="6"/>
      <c r="E9" s="6"/>
      <c r="F9" s="6">
        <v>2</v>
      </c>
      <c r="G9" s="6" t="s">
        <v>5</v>
      </c>
      <c r="H9" s="6">
        <v>1</v>
      </c>
    </row>
    <row r="10" spans="1:25" x14ac:dyDescent="0.25">
      <c r="A10" s="6"/>
      <c r="B10" s="7"/>
      <c r="C10" s="6"/>
      <c r="D10" s="6"/>
      <c r="E10" s="6"/>
      <c r="F10" s="6"/>
      <c r="G10" s="6"/>
      <c r="H10" s="6"/>
    </row>
    <row r="11" spans="1:25" x14ac:dyDescent="0.25">
      <c r="A11" s="6"/>
      <c r="B11" s="7"/>
      <c r="C11" s="6"/>
      <c r="D11" s="6"/>
      <c r="E11" s="6"/>
      <c r="F11" s="6"/>
      <c r="G11" s="6"/>
      <c r="H11" s="6"/>
    </row>
    <row r="12" spans="1:25" x14ac:dyDescent="0.25">
      <c r="A12" s="6"/>
      <c r="B12" s="7"/>
      <c r="C12" s="6"/>
      <c r="D12" s="6"/>
      <c r="E12" s="6"/>
      <c r="F12" s="6"/>
      <c r="G12" s="6"/>
      <c r="H12" s="6"/>
    </row>
    <row r="13" spans="1:25" x14ac:dyDescent="0.25">
      <c r="A13" s="6"/>
      <c r="B13" s="7"/>
      <c r="C13" s="6"/>
      <c r="D13" s="6"/>
      <c r="E13" s="6"/>
      <c r="F13" s="6"/>
      <c r="G13" s="6"/>
      <c r="H13" s="6"/>
    </row>
    <row r="14" spans="1:25" x14ac:dyDescent="0.25">
      <c r="A14" s="6"/>
      <c r="B14" s="7"/>
      <c r="C14" s="6"/>
      <c r="D14" s="6"/>
      <c r="E14" s="6"/>
      <c r="F14" s="6"/>
      <c r="G14" s="6"/>
      <c r="H14" s="6"/>
    </row>
    <row r="15" spans="1:25" x14ac:dyDescent="0.25">
      <c r="A15" s="6"/>
      <c r="B15" s="7"/>
      <c r="C15" s="6"/>
      <c r="D15" s="6"/>
      <c r="E15" s="6"/>
      <c r="F15" s="6"/>
      <c r="G15" s="6"/>
      <c r="H15" s="6"/>
    </row>
    <row r="16" spans="1:25"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C1" xr:uid="{E8B83F6A-4326-4249-A4D1-4FA783FF736A}">
      <formula1>Medidas</formula1>
    </dataValidation>
    <dataValidation type="list" allowBlank="1" showInputMessage="1" showErrorMessage="1" sqref="A1:A1048576 J4"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P31:P1048576 P13:P14 P18:P19 P1:P2 P5:P8" xr:uid="{34BE72A1-520D-4329-B994-04A7CCABA813}">
      <formula1>BolsosM40</formula1>
    </dataValidation>
    <dataValidation type="list" allowBlank="1" showInputMessage="1" showErrorMessage="1" sqref="P3:P4" xr:uid="{1B9797EB-91CE-42D2-9760-7BE2880ECDEA}">
      <formula1>BolsosM39</formula1>
    </dataValidation>
    <dataValidation type="list" allowBlank="1" showInputMessage="1" showErrorMessage="1" sqref="L4" xr:uid="{7A96099E-E302-423D-AE47-FAD6C582C06C}">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42965377-7470-4CB5-9211-FFE7147D0852}">
          <x14:formula1>
            <xm:f>Configuracion!$I$2:$I$7</xm:f>
          </x14:formula1>
          <xm:sqref>C136</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AB21"/>
  <sheetViews>
    <sheetView topLeftCell="A7" workbookViewId="0">
      <selection activeCell="B12" sqref="B12"/>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8" x14ac:dyDescent="0.25">
      <c r="A1" s="4" t="s">
        <v>0</v>
      </c>
      <c r="B1" s="5" t="s">
        <v>1</v>
      </c>
      <c r="C1" s="4" t="s">
        <v>2</v>
      </c>
      <c r="D1" s="4" t="s">
        <v>3</v>
      </c>
      <c r="E1" s="4" t="s">
        <v>4</v>
      </c>
      <c r="F1" s="4" t="s">
        <v>240</v>
      </c>
      <c r="G1" s="4" t="s">
        <v>13</v>
      </c>
      <c r="H1" s="4" t="s">
        <v>232</v>
      </c>
    </row>
    <row r="2" spans="1:28" ht="45" x14ac:dyDescent="0.25">
      <c r="A2" t="s">
        <v>258</v>
      </c>
      <c r="B2" s="7" t="s">
        <v>305</v>
      </c>
      <c r="D2" s="6"/>
      <c r="E2" s="6"/>
      <c r="F2" s="6">
        <v>4</v>
      </c>
      <c r="G2" s="6" t="s">
        <v>8</v>
      </c>
      <c r="H2" s="6">
        <v>1</v>
      </c>
    </row>
    <row r="3" spans="1:28" x14ac:dyDescent="0.25">
      <c r="A3" s="6" t="s">
        <v>11</v>
      </c>
      <c r="B3" s="7" t="s">
        <v>306</v>
      </c>
      <c r="C3" t="s">
        <v>79</v>
      </c>
      <c r="D3" s="6"/>
      <c r="E3" s="6"/>
      <c r="F3" s="6">
        <v>1</v>
      </c>
      <c r="G3" s="6" t="s">
        <v>5</v>
      </c>
      <c r="H3" s="6">
        <v>1</v>
      </c>
      <c r="J3" t="s">
        <v>0</v>
      </c>
      <c r="K3" t="s">
        <v>16</v>
      </c>
      <c r="L3" t="s">
        <v>2</v>
      </c>
      <c r="M3" s="4" t="s">
        <v>3</v>
      </c>
      <c r="N3" s="4" t="s">
        <v>4</v>
      </c>
      <c r="O3" t="s">
        <v>18</v>
      </c>
      <c r="P3" t="s">
        <v>14</v>
      </c>
      <c r="R3" t="s">
        <v>28</v>
      </c>
      <c r="T3" s="15" t="s">
        <v>230</v>
      </c>
      <c r="U3" s="15"/>
      <c r="V3" s="15"/>
      <c r="W3" s="15"/>
      <c r="X3" s="15"/>
      <c r="Y3" s="15"/>
    </row>
    <row r="4" spans="1:28" x14ac:dyDescent="0.25">
      <c r="A4" s="6" t="s">
        <v>307</v>
      </c>
      <c r="B4" s="7" t="s">
        <v>310</v>
      </c>
      <c r="C4" s="6"/>
      <c r="D4" s="6" t="s">
        <v>311</v>
      </c>
      <c r="E4" s="6"/>
      <c r="F4" s="6">
        <v>1</v>
      </c>
      <c r="G4" s="6" t="s">
        <v>6</v>
      </c>
      <c r="H4" s="6">
        <v>1</v>
      </c>
      <c r="R4" t="s">
        <v>688</v>
      </c>
      <c r="T4" t="s">
        <v>8</v>
      </c>
      <c r="U4" t="s">
        <v>5</v>
      </c>
      <c r="V4" t="s">
        <v>6</v>
      </c>
      <c r="W4" t="s">
        <v>9</v>
      </c>
      <c r="X4" t="s">
        <v>10</v>
      </c>
      <c r="Y4" t="s">
        <v>257</v>
      </c>
      <c r="Z4" t="s">
        <v>303</v>
      </c>
      <c r="AA4" t="s">
        <v>304</v>
      </c>
      <c r="AB4" t="s">
        <v>7</v>
      </c>
    </row>
    <row r="5" spans="1:28" ht="30" x14ac:dyDescent="0.25">
      <c r="A5" s="6" t="s">
        <v>307</v>
      </c>
      <c r="B5" s="7" t="s">
        <v>308</v>
      </c>
      <c r="C5" s="6"/>
      <c r="D5" s="6" t="s">
        <v>309</v>
      </c>
      <c r="E5" s="6"/>
      <c r="F5" s="6">
        <v>1</v>
      </c>
      <c r="G5" s="6" t="s">
        <v>6</v>
      </c>
      <c r="H5" s="6">
        <v>1</v>
      </c>
      <c r="T5">
        <v>1</v>
      </c>
      <c r="U5">
        <v>1</v>
      </c>
      <c r="V5">
        <v>1</v>
      </c>
      <c r="W5">
        <v>1</v>
      </c>
      <c r="X5">
        <v>1</v>
      </c>
      <c r="Y5">
        <v>1</v>
      </c>
      <c r="Z5">
        <v>1</v>
      </c>
      <c r="AA5">
        <v>1</v>
      </c>
      <c r="AB5">
        <v>1</v>
      </c>
    </row>
    <row r="6" spans="1:28" x14ac:dyDescent="0.25">
      <c r="A6" s="6" t="s">
        <v>307</v>
      </c>
      <c r="B6" s="7" t="s">
        <v>312</v>
      </c>
      <c r="C6" s="6"/>
      <c r="D6" s="6" t="s">
        <v>313</v>
      </c>
      <c r="E6" s="9"/>
      <c r="F6" s="6">
        <v>1</v>
      </c>
      <c r="G6" s="6" t="s">
        <v>6</v>
      </c>
      <c r="H6" s="6">
        <v>1</v>
      </c>
    </row>
    <row r="7" spans="1:28" x14ac:dyDescent="0.25">
      <c r="A7" s="6" t="s">
        <v>314</v>
      </c>
      <c r="B7" s="7" t="s">
        <v>315</v>
      </c>
      <c r="C7" s="6"/>
      <c r="D7" s="6"/>
      <c r="E7" s="6"/>
      <c r="F7" s="6">
        <v>1</v>
      </c>
      <c r="G7" s="6" t="s">
        <v>6</v>
      </c>
      <c r="H7" s="6">
        <v>1</v>
      </c>
    </row>
    <row r="8" spans="1:28" x14ac:dyDescent="0.25">
      <c r="A8" s="6" t="s">
        <v>53</v>
      </c>
      <c r="B8" s="7" t="s">
        <v>238</v>
      </c>
      <c r="C8" s="6"/>
      <c r="D8" s="6"/>
      <c r="E8" s="6"/>
      <c r="F8" s="6">
        <v>4</v>
      </c>
      <c r="G8" s="6" t="s">
        <v>9</v>
      </c>
      <c r="H8" s="6">
        <v>1</v>
      </c>
    </row>
    <row r="9" spans="1:28" x14ac:dyDescent="0.25">
      <c r="A9" s="6" t="s">
        <v>11</v>
      </c>
      <c r="B9" s="7" t="s">
        <v>316</v>
      </c>
      <c r="C9" s="6" t="s">
        <v>123</v>
      </c>
      <c r="D9" s="6"/>
      <c r="E9" s="6"/>
      <c r="F9" s="6">
        <v>4</v>
      </c>
      <c r="G9" s="6" t="s">
        <v>9</v>
      </c>
      <c r="H9" s="6">
        <v>1</v>
      </c>
    </row>
    <row r="10" spans="1:28" x14ac:dyDescent="0.25">
      <c r="A10" s="6" t="s">
        <v>11</v>
      </c>
      <c r="B10" s="7" t="s">
        <v>316</v>
      </c>
      <c r="C10" s="6" t="s">
        <v>79</v>
      </c>
      <c r="D10" s="6"/>
      <c r="E10" s="6"/>
      <c r="F10" s="6">
        <v>1</v>
      </c>
      <c r="G10" s="6" t="s">
        <v>9</v>
      </c>
      <c r="H10" s="6">
        <v>1</v>
      </c>
    </row>
    <row r="11" spans="1:28" x14ac:dyDescent="0.25">
      <c r="A11" s="6" t="s">
        <v>46</v>
      </c>
      <c r="B11" s="7"/>
      <c r="C11" s="6"/>
      <c r="D11" s="6"/>
      <c r="E11" s="6"/>
      <c r="F11" s="6">
        <v>3</v>
      </c>
      <c r="G11" s="6" t="s">
        <v>10</v>
      </c>
      <c r="H11" s="6">
        <v>1</v>
      </c>
    </row>
    <row r="12" spans="1:28" x14ac:dyDescent="0.25">
      <c r="A12" s="6" t="s">
        <v>188</v>
      </c>
      <c r="B12" s="7" t="s">
        <v>317</v>
      </c>
      <c r="C12" s="6"/>
      <c r="D12" s="6"/>
      <c r="E12" s="6"/>
      <c r="F12" s="6">
        <v>2</v>
      </c>
      <c r="G12" s="6" t="s">
        <v>10</v>
      </c>
      <c r="H12" s="6">
        <v>1</v>
      </c>
    </row>
    <row r="13" spans="1:28" ht="30" x14ac:dyDescent="0.25">
      <c r="A13" s="6" t="s">
        <v>32</v>
      </c>
      <c r="B13" s="7" t="s">
        <v>318</v>
      </c>
      <c r="C13" s="6" t="s">
        <v>72</v>
      </c>
      <c r="D13" s="6"/>
      <c r="E13" s="6"/>
      <c r="F13" s="6">
        <v>1</v>
      </c>
      <c r="G13" s="6" t="s">
        <v>257</v>
      </c>
      <c r="H13" s="6">
        <v>1</v>
      </c>
    </row>
    <row r="14" spans="1:28" x14ac:dyDescent="0.25">
      <c r="A14" s="6" t="s">
        <v>11</v>
      </c>
      <c r="B14" s="7" t="s">
        <v>316</v>
      </c>
      <c r="C14" t="s">
        <v>77</v>
      </c>
      <c r="D14" s="6"/>
      <c r="E14" s="6"/>
      <c r="F14" s="6">
        <v>1</v>
      </c>
      <c r="G14" s="6" t="s">
        <v>257</v>
      </c>
      <c r="H14" s="6">
        <v>1</v>
      </c>
    </row>
    <row r="15" spans="1:28" x14ac:dyDescent="0.25">
      <c r="A15" s="6" t="s">
        <v>174</v>
      </c>
      <c r="B15" s="7"/>
      <c r="C15" s="6" t="s">
        <v>236</v>
      </c>
      <c r="D15" s="6"/>
      <c r="E15" s="6"/>
      <c r="F15" s="6">
        <v>1</v>
      </c>
      <c r="G15" s="6" t="s">
        <v>303</v>
      </c>
      <c r="H15" s="6">
        <v>1</v>
      </c>
    </row>
    <row r="16" spans="1:28" x14ac:dyDescent="0.25">
      <c r="A16" s="6" t="s">
        <v>88</v>
      </c>
      <c r="B16" s="7" t="s">
        <v>319</v>
      </c>
      <c r="C16" s="6"/>
      <c r="D16" s="6"/>
      <c r="E16" s="6"/>
      <c r="F16" s="6">
        <v>1</v>
      </c>
      <c r="G16" s="6" t="s">
        <v>303</v>
      </c>
      <c r="H16" s="6">
        <v>1</v>
      </c>
    </row>
    <row r="17" spans="1:8" ht="30" x14ac:dyDescent="0.25">
      <c r="A17" s="6" t="s">
        <v>320</v>
      </c>
      <c r="B17" s="7" t="s">
        <v>321</v>
      </c>
      <c r="C17" s="6"/>
      <c r="D17" s="6" t="s">
        <v>322</v>
      </c>
      <c r="E17" s="6"/>
      <c r="F17" s="6">
        <v>1</v>
      </c>
      <c r="G17" s="6" t="s">
        <v>303</v>
      </c>
      <c r="H17" s="6">
        <v>1</v>
      </c>
    </row>
    <row r="18" spans="1:8" x14ac:dyDescent="0.25">
      <c r="A18" s="6" t="s">
        <v>307</v>
      </c>
      <c r="B18" s="7" t="s">
        <v>312</v>
      </c>
      <c r="C18" s="6"/>
      <c r="D18" s="6" t="s">
        <v>323</v>
      </c>
      <c r="E18" s="6"/>
      <c r="F18" s="6">
        <v>1</v>
      </c>
      <c r="G18" s="6" t="s">
        <v>303</v>
      </c>
      <c r="H18" s="6">
        <v>1</v>
      </c>
    </row>
    <row r="19" spans="1:8" x14ac:dyDescent="0.25">
      <c r="A19" s="6" t="s">
        <v>160</v>
      </c>
      <c r="B19" s="7" t="s">
        <v>324</v>
      </c>
      <c r="C19" s="6" t="s">
        <v>644</v>
      </c>
      <c r="D19" s="6"/>
      <c r="E19" s="6"/>
      <c r="F19" s="6">
        <v>2</v>
      </c>
      <c r="G19" s="6" t="s">
        <v>304</v>
      </c>
      <c r="H19" s="6">
        <v>1</v>
      </c>
    </row>
    <row r="20" spans="1:8" x14ac:dyDescent="0.25">
      <c r="A20" s="6" t="s">
        <v>53</v>
      </c>
      <c r="B20" s="7" t="s">
        <v>238</v>
      </c>
      <c r="C20" s="6"/>
      <c r="D20" s="6"/>
      <c r="E20" s="6"/>
      <c r="F20" s="6">
        <v>5</v>
      </c>
      <c r="G20" s="6" t="s">
        <v>304</v>
      </c>
      <c r="H20" s="6">
        <v>1</v>
      </c>
    </row>
    <row r="21" spans="1:8" ht="30" x14ac:dyDescent="0.25">
      <c r="A21" s="6" t="s">
        <v>217</v>
      </c>
      <c r="B21" s="7" t="s">
        <v>325</v>
      </c>
      <c r="C21" s="6"/>
      <c r="D21" s="6"/>
      <c r="E21" s="6"/>
      <c r="F21" s="6">
        <v>4</v>
      </c>
      <c r="G21" s="6" t="s">
        <v>7</v>
      </c>
      <c r="H21" s="6">
        <v>1</v>
      </c>
    </row>
  </sheetData>
  <mergeCells count="1">
    <mergeCell ref="T3:Y3"/>
  </mergeCells>
  <dataValidations count="8">
    <dataValidation type="list" allowBlank="1" showInputMessage="1" showErrorMessage="1" sqref="C1 C7" xr:uid="{3C802A8D-DE2F-43CA-8DF4-CD2FF194322C}">
      <formula1>Medidas</formula1>
    </dataValidation>
    <dataValidation type="list" allowBlank="1" showInputMessage="1" showErrorMessage="1" sqref="A1:A1048576 J1:J1048576" xr:uid="{5F197B22-094E-47F8-9C5C-8948A65FBB14}">
      <formula1>categorias</formula1>
    </dataValidation>
    <dataValidation type="list" allowBlank="1" showInputMessage="1" showErrorMessage="1" sqref="O13:P14 O1:P2 O7:P8"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 type="list" allowBlank="1" showInputMessage="1" showErrorMessage="1" sqref="L4:L6" xr:uid="{C607614F-BC7C-4D8F-9448-E69C2EEC4EB4}">
      <formula1>INDEX(Medidas,0,MATCH(OFFSET(INDIRECT(ADDRESS(ROW(), COLUMN())),0,-2),categoriasDeMedidas,0))</formula1>
    </dataValidation>
    <dataValidation type="list" allowBlank="1" showInputMessage="1" showErrorMessage="1" sqref="P3" xr:uid="{7BAD0CEE-48C8-4E27-A11A-B3CAD55AB56A}">
      <formula1>BolsosM39</formula1>
    </dataValidation>
    <dataValidation type="list" allowBlank="1" showInputMessage="1" showErrorMessage="1" sqref="P4:P6" xr:uid="{EA1C9BF3-9028-4894-91E4-506A60945941}">
      <formula1>$R$3:$R$4</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AA136"/>
  <sheetViews>
    <sheetView topLeftCell="E1" workbookViewId="0">
      <pane ySplit="1" topLeftCell="A2" activePane="bottomLeft" state="frozen"/>
      <selection pane="bottomLeft" activeCell="J9" sqref="J9"/>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400</v>
      </c>
      <c r="B2" s="7"/>
      <c r="C2" s="6"/>
      <c r="D2" s="6"/>
      <c r="E2" s="6"/>
      <c r="F2" s="6">
        <v>3</v>
      </c>
      <c r="G2" s="6" t="s">
        <v>235</v>
      </c>
      <c r="H2" s="6" t="s">
        <v>474</v>
      </c>
    </row>
    <row r="3" spans="1:27" x14ac:dyDescent="0.25">
      <c r="A3" s="6" t="s">
        <v>475</v>
      </c>
      <c r="B3" s="7" t="s">
        <v>476</v>
      </c>
      <c r="C3" s="6"/>
      <c r="D3" s="6"/>
      <c r="E3" s="6"/>
      <c r="F3" s="6">
        <v>1</v>
      </c>
      <c r="G3" s="6" t="s">
        <v>235</v>
      </c>
      <c r="H3" s="6" t="s">
        <v>474</v>
      </c>
      <c r="J3" t="s">
        <v>0</v>
      </c>
      <c r="K3" t="s">
        <v>1</v>
      </c>
      <c r="L3" t="s">
        <v>2</v>
      </c>
      <c r="M3" s="4" t="s">
        <v>3</v>
      </c>
      <c r="N3" s="4" t="s">
        <v>4</v>
      </c>
      <c r="O3" s="4" t="s">
        <v>240</v>
      </c>
      <c r="P3" t="s">
        <v>14</v>
      </c>
      <c r="Q3" t="s">
        <v>689</v>
      </c>
      <c r="R3" t="s">
        <v>690</v>
      </c>
      <c r="T3" t="s">
        <v>28</v>
      </c>
      <c r="V3" s="15" t="s">
        <v>230</v>
      </c>
      <c r="W3" s="15"/>
      <c r="X3" s="15"/>
      <c r="Y3" s="15"/>
      <c r="Z3" s="15"/>
      <c r="AA3" s="15"/>
    </row>
    <row r="4" spans="1:27" x14ac:dyDescent="0.25">
      <c r="A4" s="6" t="s">
        <v>92</v>
      </c>
      <c r="B4" s="7" t="str">
        <f>bolso("Bolso de RCP",Table621[])</f>
        <v xml:space="preserve">Bolso de RCP Contiene:  BVM x1, </v>
      </c>
      <c r="C4" s="6"/>
      <c r="D4" s="6"/>
      <c r="E4" s="6"/>
      <c r="F4" s="6">
        <v>1</v>
      </c>
      <c r="G4" t="s">
        <v>488</v>
      </c>
      <c r="H4" s="6" t="s">
        <v>474</v>
      </c>
      <c r="J4" t="s">
        <v>468</v>
      </c>
      <c r="K4" t="s">
        <v>479</v>
      </c>
      <c r="O4">
        <v>1</v>
      </c>
      <c r="P4" t="s">
        <v>477</v>
      </c>
      <c r="T4" t="s">
        <v>477</v>
      </c>
      <c r="V4" t="s">
        <v>488</v>
      </c>
      <c r="W4" t="s">
        <v>235</v>
      </c>
      <c r="X4" t="s">
        <v>8</v>
      </c>
      <c r="Y4" t="s">
        <v>5</v>
      </c>
    </row>
    <row r="5" spans="1:27" x14ac:dyDescent="0.25">
      <c r="A5" s="6" t="s">
        <v>92</v>
      </c>
      <c r="B5" s="7" t="str">
        <f>bolso("Bolso via aerea",Table621[])</f>
        <v xml:space="preserve">Bolso via aerea Contiene:  BVM x1,  Kit de canulas de mayo x5,  Pinza de maguill x1,  Kit de intubacion c/ larngoscopio x1, </v>
      </c>
      <c r="C5" s="6"/>
      <c r="D5" s="6"/>
      <c r="E5" s="6"/>
      <c r="F5" s="6">
        <v>1</v>
      </c>
      <c r="G5" t="s">
        <v>488</v>
      </c>
      <c r="H5" s="6" t="s">
        <v>474</v>
      </c>
      <c r="J5" t="s">
        <v>468</v>
      </c>
      <c r="K5" t="s">
        <v>479</v>
      </c>
      <c r="O5">
        <v>1</v>
      </c>
      <c r="P5" t="s">
        <v>478</v>
      </c>
      <c r="T5" t="s">
        <v>478</v>
      </c>
      <c r="V5">
        <v>1</v>
      </c>
      <c r="W5" t="s">
        <v>474</v>
      </c>
      <c r="X5">
        <v>1</v>
      </c>
      <c r="Y5">
        <v>1</v>
      </c>
    </row>
    <row r="6" spans="1:27" x14ac:dyDescent="0.25">
      <c r="A6" s="6" t="s">
        <v>92</v>
      </c>
      <c r="B6" s="7" t="str">
        <f>bolso("Bolso trauma liviano",Table621[])</f>
        <v xml:space="preserve">Bolso trauma liviano Contiene:  Mascara oxigeno x1,  Mascara rcp x1, </v>
      </c>
      <c r="C6" s="6"/>
      <c r="D6" s="6"/>
      <c r="E6" s="6"/>
      <c r="F6" s="6">
        <v>1</v>
      </c>
      <c r="G6" t="s">
        <v>488</v>
      </c>
      <c r="H6" s="6" t="s">
        <v>474</v>
      </c>
      <c r="J6" t="s">
        <v>480</v>
      </c>
      <c r="K6" t="s">
        <v>481</v>
      </c>
      <c r="O6">
        <v>5</v>
      </c>
      <c r="P6" t="s">
        <v>478</v>
      </c>
      <c r="T6" t="s">
        <v>485</v>
      </c>
      <c r="V6">
        <v>2</v>
      </c>
    </row>
    <row r="7" spans="1:27" x14ac:dyDescent="0.25">
      <c r="A7" s="6" t="s">
        <v>400</v>
      </c>
      <c r="B7" s="7"/>
      <c r="C7" s="6"/>
      <c r="D7" s="6"/>
      <c r="E7" s="6"/>
      <c r="F7" s="6">
        <v>1</v>
      </c>
      <c r="G7" t="s">
        <v>488</v>
      </c>
      <c r="H7" s="6" t="s">
        <v>474</v>
      </c>
      <c r="J7" t="s">
        <v>482</v>
      </c>
      <c r="K7" t="s">
        <v>482</v>
      </c>
      <c r="O7">
        <v>1</v>
      </c>
      <c r="P7" t="s">
        <v>478</v>
      </c>
      <c r="T7" t="s">
        <v>507</v>
      </c>
      <c r="V7">
        <v>3</v>
      </c>
    </row>
    <row r="8" spans="1:27" x14ac:dyDescent="0.25">
      <c r="A8" s="6" t="s">
        <v>468</v>
      </c>
      <c r="B8" s="7"/>
      <c r="C8" s="6"/>
      <c r="D8" s="6"/>
      <c r="E8" s="6"/>
      <c r="F8" s="6">
        <v>2</v>
      </c>
      <c r="G8" t="s">
        <v>488</v>
      </c>
      <c r="H8" s="6">
        <v>1</v>
      </c>
      <c r="J8" t="s">
        <v>483</v>
      </c>
      <c r="K8" t="s">
        <v>484</v>
      </c>
      <c r="O8">
        <v>1</v>
      </c>
      <c r="P8" t="s">
        <v>478</v>
      </c>
      <c r="T8" t="s">
        <v>509</v>
      </c>
      <c r="V8">
        <v>4</v>
      </c>
    </row>
    <row r="9" spans="1:27" x14ac:dyDescent="0.25">
      <c r="A9" s="6" t="s">
        <v>210</v>
      </c>
      <c r="B9" s="7">
        <v>2008</v>
      </c>
      <c r="C9" s="6"/>
      <c r="D9" s="6"/>
      <c r="E9" s="6"/>
      <c r="F9" s="6">
        <v>1</v>
      </c>
      <c r="G9" t="s">
        <v>488</v>
      </c>
      <c r="H9" s="6">
        <v>1</v>
      </c>
      <c r="J9" t="s">
        <v>470</v>
      </c>
      <c r="K9" t="s">
        <v>486</v>
      </c>
      <c r="O9">
        <v>1</v>
      </c>
      <c r="P9" t="s">
        <v>485</v>
      </c>
      <c r="T9" t="s">
        <v>518</v>
      </c>
      <c r="V9">
        <v>5</v>
      </c>
    </row>
    <row r="10" spans="1:27" x14ac:dyDescent="0.25">
      <c r="A10" s="6" t="s">
        <v>469</v>
      </c>
      <c r="B10" s="7" t="s">
        <v>489</v>
      </c>
      <c r="C10" s="6"/>
      <c r="D10" s="6"/>
      <c r="E10" s="6"/>
      <c r="F10" s="6">
        <v>1</v>
      </c>
      <c r="G10" t="s">
        <v>488</v>
      </c>
      <c r="H10" s="6">
        <v>1</v>
      </c>
      <c r="J10" t="s">
        <v>487</v>
      </c>
      <c r="K10" t="s">
        <v>487</v>
      </c>
      <c r="O10">
        <v>1</v>
      </c>
      <c r="P10" t="s">
        <v>485</v>
      </c>
      <c r="T10" t="s">
        <v>93</v>
      </c>
      <c r="V10">
        <v>6</v>
      </c>
    </row>
    <row r="11" spans="1:27" x14ac:dyDescent="0.25">
      <c r="A11" s="6" t="s">
        <v>470</v>
      </c>
      <c r="B11" s="7" t="s">
        <v>490</v>
      </c>
      <c r="C11" s="6"/>
      <c r="D11" s="6"/>
      <c r="E11" s="6"/>
      <c r="F11" s="6">
        <v>1</v>
      </c>
      <c r="G11" t="s">
        <v>488</v>
      </c>
      <c r="H11" s="6">
        <v>1</v>
      </c>
      <c r="J11" t="s">
        <v>480</v>
      </c>
      <c r="K11" t="s">
        <v>510</v>
      </c>
      <c r="O11">
        <v>1</v>
      </c>
      <c r="P11" t="s">
        <v>509</v>
      </c>
      <c r="V11">
        <v>7</v>
      </c>
    </row>
    <row r="12" spans="1:27" x14ac:dyDescent="0.25">
      <c r="A12" s="6" t="s">
        <v>470</v>
      </c>
      <c r="B12" s="7" t="s">
        <v>491</v>
      </c>
      <c r="C12" s="6"/>
      <c r="D12" s="6"/>
      <c r="E12" s="6"/>
      <c r="F12" s="6">
        <v>1</v>
      </c>
      <c r="G12" s="6" t="s">
        <v>488</v>
      </c>
      <c r="H12" s="6">
        <v>1</v>
      </c>
      <c r="J12" t="s">
        <v>395</v>
      </c>
      <c r="K12" t="s">
        <v>395</v>
      </c>
      <c r="L12" t="s">
        <v>576</v>
      </c>
      <c r="O12">
        <v>3</v>
      </c>
      <c r="P12" t="s">
        <v>509</v>
      </c>
      <c r="V12" t="s">
        <v>474</v>
      </c>
    </row>
    <row r="13" spans="1:27" x14ac:dyDescent="0.25">
      <c r="A13" s="6" t="s">
        <v>492</v>
      </c>
      <c r="B13" s="7"/>
      <c r="C13" s="6"/>
      <c r="D13" s="6"/>
      <c r="E13" s="6"/>
      <c r="F13" s="6">
        <v>5</v>
      </c>
      <c r="G13" s="6" t="s">
        <v>488</v>
      </c>
      <c r="H13" s="6">
        <v>1</v>
      </c>
      <c r="J13" t="s">
        <v>468</v>
      </c>
      <c r="K13" t="s">
        <v>691</v>
      </c>
      <c r="O13">
        <v>2</v>
      </c>
      <c r="P13" t="s">
        <v>509</v>
      </c>
    </row>
    <row r="14" spans="1:27" x14ac:dyDescent="0.25">
      <c r="A14" s="6" t="s">
        <v>493</v>
      </c>
      <c r="B14" s="7"/>
      <c r="C14" s="6"/>
      <c r="D14" s="6"/>
      <c r="E14" s="6"/>
      <c r="F14" s="6">
        <v>1</v>
      </c>
      <c r="G14" s="6" t="s">
        <v>488</v>
      </c>
      <c r="H14" s="6">
        <v>2</v>
      </c>
      <c r="J14" t="s">
        <v>511</v>
      </c>
      <c r="K14" t="s">
        <v>512</v>
      </c>
      <c r="O14">
        <v>5</v>
      </c>
      <c r="P14" t="s">
        <v>509</v>
      </c>
    </row>
    <row r="15" spans="1:27" x14ac:dyDescent="0.25">
      <c r="A15" s="6" t="s">
        <v>494</v>
      </c>
      <c r="B15" s="7"/>
      <c r="C15" s="6"/>
      <c r="D15" s="6"/>
      <c r="E15" s="6"/>
      <c r="F15" s="6">
        <v>1</v>
      </c>
      <c r="G15" s="6" t="s">
        <v>488</v>
      </c>
      <c r="H15" s="6">
        <v>2</v>
      </c>
      <c r="J15" t="s">
        <v>513</v>
      </c>
      <c r="K15" t="s">
        <v>514</v>
      </c>
      <c r="O15">
        <v>1</v>
      </c>
      <c r="P15" t="s">
        <v>509</v>
      </c>
    </row>
    <row r="16" spans="1:27" x14ac:dyDescent="0.25">
      <c r="A16" s="6" t="s">
        <v>496</v>
      </c>
      <c r="B16" s="7"/>
      <c r="C16" s="6"/>
      <c r="D16" s="6" t="s">
        <v>497</v>
      </c>
      <c r="E16" s="6" t="s">
        <v>498</v>
      </c>
      <c r="F16" s="6">
        <v>1</v>
      </c>
      <c r="G16" s="6" t="s">
        <v>488</v>
      </c>
      <c r="H16" s="6">
        <v>2</v>
      </c>
      <c r="J16" t="s">
        <v>469</v>
      </c>
      <c r="K16" t="s">
        <v>515</v>
      </c>
      <c r="O16">
        <v>1</v>
      </c>
      <c r="P16" t="s">
        <v>509</v>
      </c>
    </row>
    <row r="17" spans="1:16" x14ac:dyDescent="0.25">
      <c r="A17" s="6" t="s">
        <v>211</v>
      </c>
      <c r="B17" s="7" t="s">
        <v>499</v>
      </c>
      <c r="C17" s="6"/>
      <c r="D17" s="6"/>
      <c r="E17" s="6"/>
      <c r="F17" s="6">
        <v>1</v>
      </c>
      <c r="G17" s="6" t="s">
        <v>488</v>
      </c>
      <c r="H17" s="6">
        <v>2</v>
      </c>
      <c r="J17" t="s">
        <v>147</v>
      </c>
      <c r="K17" t="s">
        <v>147</v>
      </c>
      <c r="O17">
        <v>1</v>
      </c>
      <c r="P17" t="s">
        <v>509</v>
      </c>
    </row>
    <row r="18" spans="1:16" x14ac:dyDescent="0.25">
      <c r="A18" s="6" t="s">
        <v>500</v>
      </c>
      <c r="B18" s="7"/>
      <c r="C18" s="6"/>
      <c r="D18" s="6" t="s">
        <v>501</v>
      </c>
      <c r="E18" s="6" t="s">
        <v>502</v>
      </c>
      <c r="F18" s="6">
        <v>1</v>
      </c>
      <c r="G18" s="6" t="s">
        <v>488</v>
      </c>
      <c r="H18" s="6">
        <v>2</v>
      </c>
      <c r="J18" t="s">
        <v>493</v>
      </c>
      <c r="K18" t="s">
        <v>516</v>
      </c>
      <c r="O18">
        <v>1</v>
      </c>
      <c r="P18" t="s">
        <v>509</v>
      </c>
    </row>
    <row r="19" spans="1:16" x14ac:dyDescent="0.25">
      <c r="A19" s="6" t="s">
        <v>503</v>
      </c>
      <c r="B19" s="7"/>
      <c r="C19" s="6"/>
      <c r="D19" s="6"/>
      <c r="E19" s="6"/>
      <c r="F19" s="6">
        <v>1</v>
      </c>
      <c r="G19" s="6" t="s">
        <v>488</v>
      </c>
      <c r="H19" s="6">
        <v>4</v>
      </c>
      <c r="J19" t="s">
        <v>487</v>
      </c>
      <c r="K19" t="s">
        <v>146</v>
      </c>
      <c r="O19">
        <v>1</v>
      </c>
      <c r="P19" t="s">
        <v>518</v>
      </c>
    </row>
    <row r="20" spans="1:16" x14ac:dyDescent="0.25">
      <c r="A20" s="6" t="s">
        <v>504</v>
      </c>
      <c r="B20" s="7"/>
      <c r="C20" s="6"/>
      <c r="D20" s="6"/>
      <c r="E20" s="6"/>
      <c r="F20" s="6">
        <v>1</v>
      </c>
      <c r="G20" s="6" t="s">
        <v>488</v>
      </c>
      <c r="H20" s="6">
        <v>5</v>
      </c>
      <c r="J20" t="s">
        <v>395</v>
      </c>
      <c r="K20" t="s">
        <v>395</v>
      </c>
      <c r="L20" t="s">
        <v>576</v>
      </c>
      <c r="O20">
        <v>3</v>
      </c>
      <c r="P20" t="s">
        <v>93</v>
      </c>
    </row>
    <row r="21" spans="1:16" x14ac:dyDescent="0.25">
      <c r="A21" s="6" t="s">
        <v>505</v>
      </c>
      <c r="B21" s="7"/>
      <c r="C21" s="6"/>
      <c r="D21" s="6"/>
      <c r="E21" s="6"/>
      <c r="F21" s="6">
        <v>4</v>
      </c>
      <c r="G21" s="6" t="s">
        <v>488</v>
      </c>
      <c r="H21" s="6">
        <v>5</v>
      </c>
      <c r="J21" t="s">
        <v>395</v>
      </c>
      <c r="K21" t="s">
        <v>395</v>
      </c>
      <c r="L21" t="s">
        <v>524</v>
      </c>
      <c r="O21">
        <v>2</v>
      </c>
      <c r="P21" t="s">
        <v>93</v>
      </c>
    </row>
    <row r="22" spans="1:16" x14ac:dyDescent="0.25">
      <c r="A22" s="6" t="s">
        <v>506</v>
      </c>
      <c r="B22" s="7"/>
      <c r="C22" s="6"/>
      <c r="D22" s="6"/>
      <c r="E22" s="6"/>
      <c r="F22" s="6">
        <v>12</v>
      </c>
      <c r="G22" s="6" t="s">
        <v>488</v>
      </c>
      <c r="H22" s="6">
        <v>6</v>
      </c>
      <c r="J22" t="s">
        <v>395</v>
      </c>
      <c r="K22" t="s">
        <v>525</v>
      </c>
      <c r="L22" t="s">
        <v>526</v>
      </c>
      <c r="O22">
        <v>1</v>
      </c>
      <c r="P22" t="s">
        <v>93</v>
      </c>
    </row>
    <row r="23" spans="1:16" x14ac:dyDescent="0.25">
      <c r="A23" s="6" t="s">
        <v>400</v>
      </c>
      <c r="B23" s="7"/>
      <c r="C23" s="6"/>
      <c r="D23" s="6"/>
      <c r="E23" s="6"/>
      <c r="F23" s="6">
        <v>1</v>
      </c>
      <c r="G23" s="6" t="s">
        <v>488</v>
      </c>
      <c r="H23" s="6">
        <v>7</v>
      </c>
      <c r="J23" t="s">
        <v>395</v>
      </c>
      <c r="K23" t="s">
        <v>527</v>
      </c>
      <c r="L23" t="s">
        <v>396</v>
      </c>
      <c r="O23">
        <v>1</v>
      </c>
      <c r="P23" t="s">
        <v>93</v>
      </c>
    </row>
    <row r="24" spans="1:16" x14ac:dyDescent="0.25">
      <c r="A24" s="6" t="s">
        <v>92</v>
      </c>
      <c r="B24" s="7" t="s">
        <v>508</v>
      </c>
      <c r="C24" s="6"/>
      <c r="D24" s="6"/>
      <c r="E24" s="6"/>
      <c r="F24" s="6">
        <v>1</v>
      </c>
      <c r="G24" s="6" t="s">
        <v>488</v>
      </c>
      <c r="H24" s="6">
        <v>7</v>
      </c>
      <c r="J24" t="s">
        <v>395</v>
      </c>
      <c r="K24" t="s">
        <v>528</v>
      </c>
      <c r="L24" t="s">
        <v>397</v>
      </c>
      <c r="O24">
        <v>9</v>
      </c>
      <c r="P24" t="s">
        <v>93</v>
      </c>
    </row>
    <row r="25" spans="1:16" ht="120" x14ac:dyDescent="0.25">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row>
    <row r="26" spans="1:16" x14ac:dyDescent="0.25">
      <c r="A26" s="6" t="s">
        <v>88</v>
      </c>
      <c r="B26" s="7" t="s">
        <v>517</v>
      </c>
      <c r="C26" s="6"/>
      <c r="D26" s="6"/>
      <c r="E26" s="6"/>
      <c r="F26" s="6">
        <v>2</v>
      </c>
      <c r="G26" s="6" t="s">
        <v>8</v>
      </c>
      <c r="H26" s="6">
        <v>1</v>
      </c>
    </row>
    <row r="27" spans="1:16" x14ac:dyDescent="0.25">
      <c r="A27" s="6" t="s">
        <v>143</v>
      </c>
      <c r="B27" s="7"/>
      <c r="C27" s="6"/>
      <c r="D27" s="6"/>
      <c r="E27" s="6"/>
      <c r="F27" s="6">
        <v>1</v>
      </c>
      <c r="G27" s="6" t="s">
        <v>8</v>
      </c>
      <c r="H27" s="6">
        <v>1</v>
      </c>
    </row>
    <row r="28" spans="1:16" ht="30" x14ac:dyDescent="0.25">
      <c r="A28" s="6" t="s">
        <v>92</v>
      </c>
      <c r="B28" s="7" t="str">
        <f>bolso("Bolso quemados",Table621[])</f>
        <v xml:space="preserve">Bolso quemados Contiene:  Mascara RCP x1, </v>
      </c>
      <c r="C28" s="6"/>
      <c r="D28" s="6"/>
      <c r="E28" s="6"/>
      <c r="F28" s="6">
        <v>1</v>
      </c>
      <c r="G28" s="6" t="s">
        <v>8</v>
      </c>
      <c r="H28" s="6">
        <v>1</v>
      </c>
    </row>
    <row r="29" spans="1:16" ht="60" x14ac:dyDescent="0.2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x14ac:dyDescent="0.25">
      <c r="A30" s="6" t="s">
        <v>519</v>
      </c>
      <c r="B30" s="7" t="s">
        <v>520</v>
      </c>
      <c r="C30" s="6"/>
      <c r="D30" s="6"/>
      <c r="E30" s="6"/>
      <c r="F30" s="6">
        <v>1</v>
      </c>
      <c r="G30" s="6" t="s">
        <v>5</v>
      </c>
      <c r="H30" s="6">
        <v>1</v>
      </c>
    </row>
    <row r="31" spans="1:16" x14ac:dyDescent="0.25">
      <c r="A31" s="6" t="s">
        <v>519</v>
      </c>
      <c r="B31" s="7" t="s">
        <v>521</v>
      </c>
      <c r="C31" s="6"/>
      <c r="D31" s="6"/>
      <c r="E31" s="6"/>
      <c r="F31" s="6">
        <v>1</v>
      </c>
      <c r="G31" s="6" t="s">
        <v>5</v>
      </c>
      <c r="H31" s="6">
        <v>1</v>
      </c>
    </row>
    <row r="32" spans="1:16" x14ac:dyDescent="0.25">
      <c r="A32" s="6" t="s">
        <v>519</v>
      </c>
      <c r="B32" s="7" t="s">
        <v>522</v>
      </c>
      <c r="C32" s="6"/>
      <c r="D32" s="6"/>
      <c r="E32" s="6"/>
      <c r="F32" s="6">
        <v>5</v>
      </c>
      <c r="G32" s="6" t="s">
        <v>5</v>
      </c>
      <c r="H32" s="6">
        <v>1</v>
      </c>
    </row>
    <row r="33" spans="1:8" x14ac:dyDescent="0.25">
      <c r="A33" s="6" t="s">
        <v>519</v>
      </c>
      <c r="B33" s="7" t="s">
        <v>523</v>
      </c>
      <c r="C33" s="6"/>
      <c r="D33" s="6"/>
      <c r="E33" s="6"/>
      <c r="F33" s="6">
        <v>1</v>
      </c>
      <c r="G33" s="6" t="s">
        <v>5</v>
      </c>
      <c r="H33" s="6">
        <v>1</v>
      </c>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7">
    <dataValidation type="list" allowBlank="1" showInputMessage="1" showErrorMessage="1" sqref="T14" xr:uid="{9186B44B-FBFF-4A1D-8BD2-44DAE8FD792F}">
      <formula1>INDEX(Medidas,0,MATCH(OFFSET(INDIRECT(ADDRESS(ROW(), COLUMN())),0,-1),categoriasDeMedidas,0))</formula1>
    </dataValidation>
    <dataValidation type="list" allowBlank="1" showInputMessage="1" showErrorMessage="1" sqref="L47:L1048576 H137:H1048576 L1:L3 H1:H12 H14:H33 H35:H135" xr:uid="{A511407A-EFE7-4D99-9194-23904B771402}">
      <formula1>INDEX(Compartimientos,0,MATCH(OFFSET(INDIRECT(ADDRESS(ROW(), COLUMN())),0,-1),Cajoneras,0))</formula1>
    </dataValidation>
    <dataValidation type="list" allowBlank="1" showInputMessage="1" showErrorMessage="1" sqref="H136 G1:G33 G35:G1048576" xr:uid="{7AD2AF08-251A-4AAE-95D1-A8BEA488287B}">
      <formula1>Cajoneras</formula1>
    </dataValidation>
    <dataValidation type="list" allowBlank="1" showInputMessage="1" showErrorMessage="1" sqref="P4:P24"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101 A105:A108 A112:A117 A119:A128 A130:A133 A135:A1048576 J4:J8 J10:J1048576 A1:A21 A23:A33 A35:A99" xr:uid="{6B216254-A207-423E-A421-6CE68F439DDA}">
      <formula1>categorias</formula1>
    </dataValidation>
    <dataValidation type="list" allowBlank="1" showInputMessage="1" showErrorMessage="1" sqref="L4:L24" xr:uid="{0D672329-6A5D-47D1-8C73-B2E7B5E992FB}">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0F95EB7B-0506-419E-8B8C-D7BAF9909280}">
          <x14:formula1>
            <xm:f>Configuracion!$I$2:$I$7</xm:f>
          </x14:formula1>
          <xm:sqref>C136</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FEDDE663-595F-4359-8B30-A58644CB8D4C}">
          <x14:formula1>
            <xm:f>Configuracion!$I$2:$I$5</xm:f>
          </x14:formula1>
          <xm:sqref>C3</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Configuracion!$A$2:$A$73</xm:f>
          </x14:formula1>
          <xm:sqref>J1:J3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M14" sqref="M14"/>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9ABE-68E1-4BC7-B823-558C6F657175}">
  <sheetPr codeName="Sheet10"/>
  <dimension ref="A1:AA136"/>
  <sheetViews>
    <sheetView workbookViewId="0">
      <selection activeCell="P4" sqref="P4"/>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35</v>
      </c>
      <c r="B2" s="7" t="s">
        <v>693</v>
      </c>
      <c r="C2" s="6" t="s">
        <v>38</v>
      </c>
      <c r="D2" s="6"/>
      <c r="E2" s="6"/>
      <c r="F2" s="6">
        <v>1</v>
      </c>
      <c r="G2" s="13" t="s">
        <v>694</v>
      </c>
      <c r="H2" s="13" t="s">
        <v>474</v>
      </c>
    </row>
    <row r="3" spans="1:27" x14ac:dyDescent="0.25">
      <c r="A3" s="6" t="s">
        <v>154</v>
      </c>
      <c r="B3" s="7" t="s">
        <v>155</v>
      </c>
      <c r="C3" s="6"/>
      <c r="D3" s="6"/>
      <c r="E3" s="6"/>
      <c r="F3" s="6">
        <v>1</v>
      </c>
      <c r="G3" s="13" t="s">
        <v>694</v>
      </c>
      <c r="H3" s="13" t="s">
        <v>474</v>
      </c>
      <c r="J3" t="s">
        <v>0</v>
      </c>
      <c r="K3" t="s">
        <v>1</v>
      </c>
      <c r="L3" t="s">
        <v>2</v>
      </c>
      <c r="M3" s="4" t="s">
        <v>3</v>
      </c>
      <c r="N3" s="4" t="s">
        <v>4</v>
      </c>
      <c r="O3" s="4" t="s">
        <v>240</v>
      </c>
      <c r="P3" t="s">
        <v>14</v>
      </c>
      <c r="T3" t="s">
        <v>28</v>
      </c>
      <c r="V3" s="15" t="s">
        <v>230</v>
      </c>
      <c r="W3" s="15"/>
      <c r="X3" s="15"/>
      <c r="Y3" s="15"/>
      <c r="Z3" s="15"/>
      <c r="AA3" s="15"/>
    </row>
    <row r="4" spans="1:27" x14ac:dyDescent="0.25">
      <c r="A4" s="6" t="s">
        <v>253</v>
      </c>
      <c r="B4" s="7"/>
      <c r="C4" s="6"/>
      <c r="D4" s="6"/>
      <c r="E4" s="6"/>
      <c r="F4" s="6">
        <v>3</v>
      </c>
      <c r="G4" s="13"/>
      <c r="H4" s="13"/>
      <c r="V4" t="s">
        <v>694</v>
      </c>
      <c r="W4" t="s">
        <v>235</v>
      </c>
      <c r="X4" t="s">
        <v>8</v>
      </c>
      <c r="Y4" t="s">
        <v>5</v>
      </c>
    </row>
    <row r="5" spans="1:27" x14ac:dyDescent="0.25">
      <c r="A5" s="6" t="s">
        <v>210</v>
      </c>
      <c r="B5" s="7">
        <v>2012</v>
      </c>
      <c r="C5" s="6"/>
      <c r="D5" s="6"/>
      <c r="E5" s="6"/>
      <c r="F5" s="6">
        <v>1</v>
      </c>
      <c r="G5" s="13"/>
      <c r="H5" s="13"/>
      <c r="V5" t="s">
        <v>694</v>
      </c>
    </row>
    <row r="6" spans="1:27" x14ac:dyDescent="0.25">
      <c r="A6" s="6" t="s">
        <v>212</v>
      </c>
      <c r="B6" s="7"/>
      <c r="C6" s="6" t="s">
        <v>461</v>
      </c>
      <c r="D6" s="6" t="s">
        <v>695</v>
      </c>
      <c r="E6" s="6"/>
      <c r="F6" s="6">
        <v>1</v>
      </c>
      <c r="G6" s="13"/>
      <c r="H6" s="13"/>
    </row>
    <row r="7" spans="1:27" x14ac:dyDescent="0.25">
      <c r="A7" s="6" t="s">
        <v>591</v>
      </c>
      <c r="B7" s="7"/>
      <c r="C7" s="6"/>
      <c r="D7" s="6" t="s">
        <v>696</v>
      </c>
      <c r="E7" s="6"/>
      <c r="F7" s="6">
        <v>1</v>
      </c>
      <c r="G7" s="13"/>
      <c r="H7" s="13"/>
    </row>
    <row r="8" spans="1:27" x14ac:dyDescent="0.25">
      <c r="A8" s="6" t="s">
        <v>697</v>
      </c>
      <c r="B8" s="7"/>
      <c r="C8" s="6"/>
      <c r="D8" s="6" t="s">
        <v>698</v>
      </c>
      <c r="E8" s="6" t="s">
        <v>699</v>
      </c>
      <c r="F8" s="6">
        <v>1</v>
      </c>
      <c r="G8" s="13"/>
      <c r="H8" s="13"/>
    </row>
    <row r="9" spans="1:27" x14ac:dyDescent="0.25">
      <c r="A9" s="6" t="s">
        <v>88</v>
      </c>
      <c r="B9" s="7" t="s">
        <v>522</v>
      </c>
      <c r="C9" s="6"/>
      <c r="D9" s="6"/>
      <c r="E9" s="6"/>
      <c r="F9" s="6">
        <v>3</v>
      </c>
      <c r="G9" s="13"/>
      <c r="H9" s="13"/>
    </row>
    <row r="10" spans="1:27" x14ac:dyDescent="0.25">
      <c r="A10" s="6" t="s">
        <v>139</v>
      </c>
      <c r="B10" s="7"/>
      <c r="C10" s="6"/>
      <c r="D10" s="6"/>
      <c r="E10" s="6"/>
      <c r="F10" s="6">
        <v>3</v>
      </c>
      <c r="G10" s="13"/>
      <c r="H10" s="13"/>
    </row>
    <row r="11" spans="1:27" x14ac:dyDescent="0.25">
      <c r="A11" s="6" t="s">
        <v>156</v>
      </c>
      <c r="B11" s="7" t="s">
        <v>700</v>
      </c>
      <c r="C11" s="6"/>
      <c r="D11" s="6"/>
      <c r="E11" s="6"/>
      <c r="F11" s="6">
        <v>1</v>
      </c>
      <c r="G11" s="13"/>
      <c r="H11" s="13"/>
    </row>
    <row r="12" spans="1:27" x14ac:dyDescent="0.25">
      <c r="A12" s="6" t="s">
        <v>53</v>
      </c>
      <c r="B12" s="7"/>
      <c r="C12" s="6"/>
      <c r="D12" s="6"/>
      <c r="E12" s="6"/>
      <c r="F12" s="6">
        <v>5</v>
      </c>
      <c r="G12" s="13"/>
      <c r="H12" s="13"/>
    </row>
    <row r="13" spans="1:27" x14ac:dyDescent="0.25">
      <c r="A13" s="6" t="s">
        <v>156</v>
      </c>
      <c r="B13" s="7" t="s">
        <v>701</v>
      </c>
      <c r="C13" s="6"/>
      <c r="D13" s="6"/>
      <c r="E13" s="6"/>
      <c r="F13" s="6">
        <v>1</v>
      </c>
      <c r="G13" s="13"/>
      <c r="H13" s="13"/>
    </row>
    <row r="14" spans="1:27" x14ac:dyDescent="0.25">
      <c r="A14" s="6" t="s">
        <v>156</v>
      </c>
      <c r="B14" s="7" t="s">
        <v>702</v>
      </c>
      <c r="C14" s="6"/>
      <c r="D14" s="6"/>
      <c r="E14" s="6"/>
      <c r="F14" s="6">
        <v>1</v>
      </c>
      <c r="G14" s="13"/>
      <c r="H14" s="13"/>
    </row>
    <row r="15" spans="1:27" x14ac:dyDescent="0.25">
      <c r="A15" s="6" t="s">
        <v>156</v>
      </c>
      <c r="B15" s="7" t="s">
        <v>703</v>
      </c>
      <c r="C15" s="6"/>
      <c r="D15" s="6"/>
      <c r="E15" s="6"/>
      <c r="F15" s="6">
        <v>1</v>
      </c>
      <c r="G15" s="13"/>
      <c r="H15" s="13"/>
    </row>
    <row r="16" spans="1:27" x14ac:dyDescent="0.25">
      <c r="A16" s="6" t="s">
        <v>156</v>
      </c>
      <c r="B16" s="7" t="s">
        <v>704</v>
      </c>
      <c r="C16" s="6"/>
      <c r="D16" s="6"/>
      <c r="E16" s="6"/>
      <c r="F16" s="6">
        <v>1</v>
      </c>
      <c r="G16" s="13"/>
      <c r="H16" s="13"/>
    </row>
    <row r="17" spans="1:8" x14ac:dyDescent="0.25">
      <c r="A17" s="6" t="s">
        <v>156</v>
      </c>
      <c r="B17" s="7" t="s">
        <v>705</v>
      </c>
      <c r="C17" s="6"/>
      <c r="D17" s="6"/>
      <c r="E17" s="6"/>
      <c r="F17" s="6">
        <v>1</v>
      </c>
      <c r="G17" s="13"/>
      <c r="H17" s="13"/>
    </row>
    <row r="18" spans="1:8" x14ac:dyDescent="0.25">
      <c r="A18" s="6" t="s">
        <v>156</v>
      </c>
      <c r="B18" s="7" t="s">
        <v>444</v>
      </c>
      <c r="C18" s="6"/>
      <c r="D18" s="6"/>
      <c r="E18" s="6"/>
      <c r="F18" s="6">
        <v>1</v>
      </c>
      <c r="G18" s="13"/>
      <c r="H18" s="13"/>
    </row>
    <row r="19" spans="1:8" x14ac:dyDescent="0.25">
      <c r="A19" s="6" t="s">
        <v>156</v>
      </c>
      <c r="B19" s="7" t="s">
        <v>443</v>
      </c>
      <c r="C19" s="6"/>
      <c r="D19" s="6"/>
      <c r="E19" s="6"/>
      <c r="F19" s="6">
        <v>1</v>
      </c>
      <c r="G19" s="13"/>
      <c r="H19" s="13"/>
    </row>
    <row r="20" spans="1:8" x14ac:dyDescent="0.25">
      <c r="A20" s="6" t="s">
        <v>140</v>
      </c>
      <c r="B20" s="7" t="s">
        <v>196</v>
      </c>
      <c r="C20" s="6"/>
      <c r="D20" s="6"/>
      <c r="E20" s="6"/>
      <c r="F20" s="6">
        <v>1</v>
      </c>
      <c r="G20" s="13"/>
      <c r="H20" s="13"/>
    </row>
    <row r="21" spans="1:8" x14ac:dyDescent="0.25">
      <c r="A21" s="6" t="s">
        <v>468</v>
      </c>
      <c r="B21" s="7"/>
      <c r="C21" s="6"/>
      <c r="D21" s="6"/>
      <c r="E21" s="6"/>
      <c r="F21" s="6">
        <v>1</v>
      </c>
      <c r="G21" s="13"/>
      <c r="H21" s="13"/>
    </row>
    <row r="22" spans="1:8" x14ac:dyDescent="0.25">
      <c r="A22" s="6" t="s">
        <v>146</v>
      </c>
      <c r="B22" s="7"/>
      <c r="C22" s="6"/>
      <c r="D22" s="6"/>
      <c r="E22" s="6"/>
      <c r="F22" s="6">
        <v>1</v>
      </c>
      <c r="G22" s="13"/>
      <c r="H22" s="13"/>
    </row>
    <row r="23" spans="1:8" ht="30" x14ac:dyDescent="0.25">
      <c r="A23" s="13" t="s">
        <v>706</v>
      </c>
      <c r="B23" s="12" t="s">
        <v>712</v>
      </c>
      <c r="C23" s="13"/>
      <c r="D23" s="13"/>
      <c r="E23" s="13"/>
      <c r="F23" s="13">
        <v>4</v>
      </c>
      <c r="G23" s="13"/>
      <c r="H23" s="13"/>
    </row>
    <row r="24" spans="1:8" x14ac:dyDescent="0.25">
      <c r="A24" s="6" t="s">
        <v>707</v>
      </c>
      <c r="B24" s="7"/>
      <c r="C24" s="6"/>
      <c r="D24" s="6"/>
      <c r="E24" s="6"/>
      <c r="F24" s="6">
        <v>1</v>
      </c>
      <c r="G24" s="13"/>
      <c r="H24" s="13"/>
    </row>
    <row r="25" spans="1:8" x14ac:dyDescent="0.25">
      <c r="A25" s="6" t="s">
        <v>395</v>
      </c>
      <c r="B25" s="7"/>
      <c r="C25" s="6" t="s">
        <v>694</v>
      </c>
      <c r="D25" s="6"/>
      <c r="E25" s="6"/>
      <c r="F25" s="6">
        <v>6</v>
      </c>
      <c r="G25" s="13"/>
      <c r="H25" s="13"/>
    </row>
    <row r="26" spans="1:8" x14ac:dyDescent="0.25">
      <c r="A26" s="6" t="s">
        <v>506</v>
      </c>
      <c r="B26" s="7"/>
      <c r="C26" s="6"/>
      <c r="D26" s="6"/>
      <c r="E26" s="6"/>
      <c r="F26" s="6">
        <v>2</v>
      </c>
      <c r="G26" s="13"/>
      <c r="H26" s="13"/>
    </row>
    <row r="27" spans="1:8" ht="30" x14ac:dyDescent="0.25">
      <c r="A27" s="13" t="s">
        <v>90</v>
      </c>
      <c r="B27" s="12" t="s">
        <v>711</v>
      </c>
      <c r="C27" s="13"/>
      <c r="D27" s="13"/>
      <c r="E27" s="13"/>
      <c r="F27" s="13">
        <v>6</v>
      </c>
      <c r="G27" s="13"/>
      <c r="H27" s="13"/>
    </row>
    <row r="28" spans="1:8" x14ac:dyDescent="0.25">
      <c r="A28" s="6" t="s">
        <v>472</v>
      </c>
      <c r="B28" s="7"/>
      <c r="C28" s="6"/>
      <c r="D28" s="6"/>
      <c r="E28" s="6"/>
      <c r="F28" s="6">
        <v>2</v>
      </c>
      <c r="G28" s="13"/>
      <c r="H28" s="13"/>
    </row>
    <row r="29" spans="1:8" x14ac:dyDescent="0.25">
      <c r="A29" s="11" t="s">
        <v>11</v>
      </c>
      <c r="B29" s="12" t="s">
        <v>708</v>
      </c>
      <c r="C29" s="13" t="s">
        <v>119</v>
      </c>
      <c r="D29" s="13"/>
      <c r="E29" s="13"/>
      <c r="F29" s="13">
        <v>3</v>
      </c>
      <c r="G29" s="13"/>
      <c r="H29" s="13"/>
    </row>
    <row r="30" spans="1:8" x14ac:dyDescent="0.25">
      <c r="A30" s="6" t="s">
        <v>156</v>
      </c>
      <c r="B30" s="7" t="s">
        <v>655</v>
      </c>
      <c r="C30" s="6"/>
      <c r="D30" s="6"/>
      <c r="E30" s="6"/>
      <c r="F30" s="6">
        <v>1</v>
      </c>
      <c r="G30" s="13"/>
      <c r="H30" s="13"/>
    </row>
    <row r="31" spans="1:8" x14ac:dyDescent="0.25">
      <c r="A31" s="6" t="s">
        <v>32</v>
      </c>
      <c r="B31" s="7" t="s">
        <v>709</v>
      </c>
      <c r="C31" s="6" t="s">
        <v>225</v>
      </c>
      <c r="D31" s="6"/>
      <c r="E31" s="6"/>
      <c r="F31" s="6">
        <v>1</v>
      </c>
      <c r="G31" s="13"/>
      <c r="H31" s="13"/>
    </row>
    <row r="32" spans="1:8" x14ac:dyDescent="0.25">
      <c r="A32" s="13" t="s">
        <v>131</v>
      </c>
      <c r="B32" s="12"/>
      <c r="C32" s="13"/>
      <c r="D32" s="13" t="s">
        <v>710</v>
      </c>
      <c r="E32" s="13" t="s">
        <v>710</v>
      </c>
      <c r="F32" s="13">
        <v>1</v>
      </c>
      <c r="G32" s="13"/>
      <c r="H32" s="13"/>
    </row>
    <row r="33" spans="1:8" x14ac:dyDescent="0.25">
      <c r="A33" s="6" t="s">
        <v>258</v>
      </c>
      <c r="B33" s="7" t="s">
        <v>713</v>
      </c>
      <c r="C33" s="6"/>
      <c r="D33" s="6"/>
      <c r="E33" s="6"/>
      <c r="F33" s="6">
        <v>1</v>
      </c>
      <c r="G33" s="13"/>
      <c r="H33" s="13"/>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L4" xr:uid="{42E14C00-DA14-4720-BA12-AE0DBCFC329A}">
      <formula1>INDEX(Medidas,0,MATCH(OFFSET(INDIRECT(ADDRESS(ROW(), COLUMN())),0,-2),categoriasDeMedidas,0))</formula1>
    </dataValidation>
    <dataValidation type="list" allowBlank="1" showInputMessage="1" showErrorMessage="1" sqref="A101 A105:A108 A112:A117 A119:A128 A130:A133 A135:A1048576 J4:J8 J10:J1048576 A35:A99 A1:A27 A29:A33" xr:uid="{747CD087-F4C6-48DF-85B9-15781247685C}">
      <formula1>categorias</formula1>
    </dataValidation>
    <dataValidation type="list" allowBlank="1" showInputMessage="1" showErrorMessage="1" sqref="C1 C7:C8 C11:C12 C14" xr:uid="{ED21A684-2037-4E01-9214-F510B1F03651}">
      <formula1>Medidas</formula1>
    </dataValidation>
    <dataValidation type="list" allowBlank="1" showInputMessage="1" showErrorMessage="1" sqref="P4" xr:uid="{098998B2-B732-4A12-B29E-023874D34C35}">
      <formula1>BolsosMovil54</formula1>
    </dataValidation>
    <dataValidation type="list" allowBlank="1" showInputMessage="1" showErrorMessage="1" sqref="H136 G35:G1048576 G1" xr:uid="{8ABE708B-856D-432F-A979-EEEDF19553A8}">
      <formula1>CajonerasMovil54</formula1>
    </dataValidation>
    <dataValidation type="list" allowBlank="1" showInputMessage="1" showErrorMessage="1" sqref="L47:L1048576 H137:H1048576 L1:L3 H35:H135 H14:H33 H1 H4:H12" xr:uid="{4E8CCE8A-F9BB-451A-B233-11F30274DE92}">
      <formula1>INDEX(Compartimentosmovil54,0,MATCH(OFFSET(INDIRECT(ADDRESS(ROW(), COLUMN())),0,-1),CajonerasMovil54,0))</formula1>
    </dataValidation>
    <dataValidation type="list" allowBlank="1" showInputMessage="1" showErrorMessage="1" sqref="T14" xr:uid="{73AE6965-8069-43C8-8638-A768A0F08E91}">
      <formula1>INDEX(Medidas,0,MATCH(OFFSET(INDIRECT(ADDRESS(ROW(), COLUMN())),0,-1),categoriasDeMedidas,0))</formula1>
    </dataValidation>
    <dataValidation type="list" allowBlank="1" showInputMessage="1" showErrorMessage="1" sqref="G2:G33" xr:uid="{D7915FAB-46D9-42E4-A48F-09058BCFBF13}">
      <formula1>$V$4:$Y$4</formula1>
    </dataValidation>
    <dataValidation type="list" allowBlank="1" showInputMessage="1" showErrorMessage="1" sqref="H2:H3" xr:uid="{3707573A-3DEC-48EE-91E8-BAC5AD9B9EBD}">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0097D8F5-142E-42BD-A94A-C345A28C4CDA}">
          <x14:formula1>
            <xm:f>Configuracion!$A$2:$A$73</xm:f>
          </x14:formula1>
          <xm:sqref>J1:J3</xm:sqref>
        </x14:dataValidation>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81C5BCD2-640B-4A79-84FC-D3F9033DA3AE}">
          <x14:formula1>
            <xm:f>Configuracion!$I$2:$I$7</xm:f>
          </x14:formula1>
          <xm:sqref>C136</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1AE07A2E-6804-469F-8CC2-779143C49BD4}">
          <x14:formula1>
            <xm:f>Configuracion!$A:$A</xm:f>
          </x14:formula1>
          <xm:sqref>A28</xm:sqref>
        </x14:dataValidation>
        <x14:dataValidation type="list" allowBlank="1" showInputMessage="1" showErrorMessage="1" xr:uid="{C67FD9C4-CAC3-44CA-B2EB-807556A1405B}">
          <x14:formula1>
            <xm:f>Configuracion!$F$2:$F$11</xm:f>
          </x14:formula1>
          <xm:sqref>C29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5CA6-191D-47D1-A8B7-977B6963E5F6}">
  <dimension ref="A1:AA136"/>
  <sheetViews>
    <sheetView workbookViewId="0">
      <selection sqref="A1:XFD1048576"/>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11</v>
      </c>
      <c r="B2" s="7"/>
      <c r="C2" s="6" t="s">
        <v>119</v>
      </c>
      <c r="D2" s="6"/>
      <c r="E2" s="6"/>
      <c r="F2" s="6">
        <v>1</v>
      </c>
      <c r="G2" s="13" t="s">
        <v>694</v>
      </c>
      <c r="H2" s="13" t="s">
        <v>694</v>
      </c>
    </row>
    <row r="3" spans="1:27" x14ac:dyDescent="0.25">
      <c r="A3" s="6" t="s">
        <v>714</v>
      </c>
      <c r="B3" s="7"/>
      <c r="C3" s="6"/>
      <c r="D3" s="13" t="s">
        <v>710</v>
      </c>
      <c r="E3" s="13" t="s">
        <v>710</v>
      </c>
      <c r="F3" s="6">
        <v>1</v>
      </c>
      <c r="G3" s="13" t="s">
        <v>694</v>
      </c>
      <c r="H3" s="13" t="s">
        <v>694</v>
      </c>
      <c r="J3" t="s">
        <v>0</v>
      </c>
      <c r="K3" t="s">
        <v>1</v>
      </c>
      <c r="L3" t="s">
        <v>2</v>
      </c>
      <c r="M3" s="4" t="s">
        <v>3</v>
      </c>
      <c r="N3" s="4" t="s">
        <v>4</v>
      </c>
      <c r="O3" s="4" t="s">
        <v>240</v>
      </c>
      <c r="P3" t="s">
        <v>14</v>
      </c>
      <c r="T3" t="s">
        <v>28</v>
      </c>
      <c r="V3" s="15" t="s">
        <v>230</v>
      </c>
      <c r="W3" s="15"/>
      <c r="X3" s="15"/>
      <c r="Y3" s="15"/>
      <c r="Z3" s="15"/>
      <c r="AA3" s="15"/>
    </row>
    <row r="4" spans="1:27" x14ac:dyDescent="0.25">
      <c r="A4" s="6" t="s">
        <v>258</v>
      </c>
      <c r="B4" s="7" t="s">
        <v>715</v>
      </c>
      <c r="C4" s="6"/>
      <c r="D4" s="6"/>
      <c r="E4" s="6"/>
      <c r="F4" s="6">
        <v>1</v>
      </c>
      <c r="G4" s="13" t="s">
        <v>694</v>
      </c>
      <c r="H4" s="13" t="s">
        <v>694</v>
      </c>
      <c r="J4" t="s">
        <v>468</v>
      </c>
      <c r="K4" t="s">
        <v>479</v>
      </c>
      <c r="O4">
        <v>1</v>
      </c>
      <c r="P4" t="s">
        <v>477</v>
      </c>
      <c r="V4" t="s">
        <v>694</v>
      </c>
      <c r="W4" t="s">
        <v>235</v>
      </c>
      <c r="X4" t="s">
        <v>8</v>
      </c>
      <c r="Y4" t="s">
        <v>5</v>
      </c>
    </row>
    <row r="5" spans="1:27" x14ac:dyDescent="0.25">
      <c r="A5" s="6" t="s">
        <v>139</v>
      </c>
      <c r="B5" s="7"/>
      <c r="C5" s="6"/>
      <c r="D5" s="6"/>
      <c r="E5" s="6"/>
      <c r="F5" s="6">
        <v>1</v>
      </c>
      <c r="G5" s="13" t="s">
        <v>694</v>
      </c>
      <c r="H5" s="13" t="s">
        <v>694</v>
      </c>
      <c r="V5" t="s">
        <v>694</v>
      </c>
    </row>
    <row r="6" spans="1:27" x14ac:dyDescent="0.25">
      <c r="A6" s="6" t="s">
        <v>53</v>
      </c>
      <c r="B6" s="7"/>
      <c r="C6" s="6"/>
      <c r="D6" s="6"/>
      <c r="E6" s="6"/>
      <c r="F6" s="6">
        <v>4</v>
      </c>
      <c r="G6" s="13" t="s">
        <v>694</v>
      </c>
      <c r="H6" s="13" t="s">
        <v>694</v>
      </c>
    </row>
    <row r="7" spans="1:27" x14ac:dyDescent="0.25">
      <c r="A7" s="6"/>
      <c r="B7" s="7"/>
      <c r="C7" s="6"/>
      <c r="D7" s="6"/>
      <c r="E7" s="6"/>
      <c r="F7" s="6"/>
      <c r="G7" s="13"/>
      <c r="H7" s="13"/>
    </row>
    <row r="8" spans="1:27" x14ac:dyDescent="0.25">
      <c r="A8" s="6"/>
      <c r="B8" s="7"/>
      <c r="C8" s="6"/>
      <c r="D8" s="6"/>
      <c r="E8" s="6"/>
      <c r="F8" s="6"/>
      <c r="G8" s="6"/>
      <c r="H8" s="6"/>
    </row>
    <row r="9" spans="1:27" x14ac:dyDescent="0.25">
      <c r="A9" s="6"/>
      <c r="B9" s="7"/>
      <c r="C9" s="6"/>
      <c r="D9" s="6"/>
      <c r="E9" s="6"/>
      <c r="F9" s="6"/>
      <c r="G9" s="6"/>
      <c r="H9" s="6"/>
    </row>
    <row r="10" spans="1:27" x14ac:dyDescent="0.25">
      <c r="A10" s="6"/>
      <c r="B10" s="7"/>
      <c r="C10" s="6"/>
      <c r="D10" s="6"/>
      <c r="E10" s="6"/>
      <c r="F10" s="6"/>
      <c r="G10" s="6"/>
      <c r="H10" s="6"/>
    </row>
    <row r="11" spans="1:27" x14ac:dyDescent="0.25">
      <c r="A11" s="6"/>
      <c r="B11" s="7"/>
      <c r="C11" s="6"/>
      <c r="D11" s="6"/>
      <c r="E11" s="6"/>
      <c r="F11" s="6"/>
      <c r="G11" s="6"/>
      <c r="H11" s="6"/>
    </row>
    <row r="12" spans="1:27" x14ac:dyDescent="0.25">
      <c r="A12" s="6"/>
      <c r="B12" s="7"/>
      <c r="C12" s="6"/>
      <c r="D12" s="6"/>
      <c r="E12" s="6"/>
      <c r="F12" s="6"/>
      <c r="G12" s="6"/>
      <c r="H12" s="6"/>
    </row>
    <row r="13" spans="1:27" x14ac:dyDescent="0.25">
      <c r="A13" s="6"/>
      <c r="B13" s="7"/>
      <c r="C13" s="6"/>
      <c r="D13" s="6"/>
      <c r="E13" s="6"/>
      <c r="F13" s="6"/>
      <c r="G13" s="6"/>
      <c r="H13" s="6"/>
    </row>
    <row r="14" spans="1:27" x14ac:dyDescent="0.25">
      <c r="A14" s="6"/>
      <c r="B14" s="7"/>
      <c r="C14" s="6"/>
      <c r="D14" s="6"/>
      <c r="E14" s="6"/>
      <c r="F14" s="6"/>
      <c r="G14" s="6"/>
      <c r="H14" s="6"/>
    </row>
    <row r="15" spans="1:27" x14ac:dyDescent="0.25">
      <c r="A15" s="6"/>
      <c r="B15" s="7"/>
      <c r="C15" s="6"/>
      <c r="D15" s="6"/>
      <c r="E15" s="6"/>
      <c r="F15" s="6"/>
      <c r="G15" s="6"/>
      <c r="H15" s="6"/>
    </row>
    <row r="16" spans="1:27"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14"/>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H2:H6" xr:uid="{903376F6-4FEB-4CD3-85CB-9ECC46D323A1}">
      <formula1>INDEX($V$5:$Y$12,0,MATCH(OFFSET(INDIRECT(ADDRESS(ROW(), COLUMN())),0,-1),$V$4:$Y$4,0))</formula1>
    </dataValidation>
    <dataValidation type="list" allowBlank="1" showInputMessage="1" showErrorMessage="1" sqref="G2:G6" xr:uid="{870EB1DA-BBCC-4696-8938-1C04658D352F}">
      <formula1>$V$4:$Y$4</formula1>
    </dataValidation>
    <dataValidation type="list" allowBlank="1" showInputMessage="1" showErrorMessage="1" sqref="T14" xr:uid="{8344BFA8-09DD-47BA-AA19-C1CB6C990AD6}">
      <formula1>INDEX(Medidas,0,MATCH(OFFSET(INDIRECT(ADDRESS(ROW(), COLUMN())),0,-1),categoriasDeMedidas,0))</formula1>
    </dataValidation>
    <dataValidation type="list" allowBlank="1" showInputMessage="1" showErrorMessage="1" sqref="L47:L1048576 H137:H1048576 L1:L3 H35:H135 H14:H33 H1 H7:H12" xr:uid="{B47D792C-F747-4970-ABFE-4B01622B6ECB}">
      <formula1>INDEX(Compartimentosmovil54,0,MATCH(OFFSET(INDIRECT(ADDRESS(ROW(), COLUMN())),0,-1),CajonerasMovil54,0))</formula1>
    </dataValidation>
    <dataValidation type="list" allowBlank="1" showInputMessage="1" showErrorMessage="1" sqref="H136 G35:G1048576 G1" xr:uid="{C9F27224-D69A-4BCD-B04D-937B5AD119BD}">
      <formula1>CajonerasMovil54</formula1>
    </dataValidation>
    <dataValidation type="list" allowBlank="1" showInputMessage="1" showErrorMessage="1" sqref="P4" xr:uid="{41A8EAF0-63FE-4552-BD6F-03A2C0E29093}">
      <formula1>BolsosMovil54</formula1>
    </dataValidation>
    <dataValidation type="list" allowBlank="1" showInputMessage="1" showErrorMessage="1" sqref="C1 C7:C8 C11:C12 C14" xr:uid="{24814C08-B071-44C5-9FDF-8F0E0E2FA09E}">
      <formula1>Medidas</formula1>
    </dataValidation>
    <dataValidation type="list" allowBlank="1" showInputMessage="1" showErrorMessage="1" sqref="A101 A105:A108 A112:A117 A119:A128 A130:A133 A135:A1048576 J4:J8 J10:J1048576 A35:A99 A1:A27 A29:A33" xr:uid="{82D5147A-3A62-4AD1-A406-D632213F459F}">
      <formula1>categorias</formula1>
    </dataValidation>
    <dataValidation type="list" allowBlank="1" showInputMessage="1" showErrorMessage="1" sqref="L4" xr:uid="{CEE8EEC0-CD96-4AFE-9C87-E4B4F94C8737}">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DC09AEAB-FD0B-40D5-9BFE-337484D19C5A}">
          <x14:formula1>
            <xm:f>Configuracion!$A:$A</xm:f>
          </x14:formula1>
          <xm:sqref>A28</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E4F9FBA5-8137-4638-A891-74988D167A84}">
          <x14:formula1>
            <xm:f>Configuracion!$I$2:$I$7</xm:f>
          </x14:formula1>
          <xm:sqref>C136</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Configuracion!$A$2:$A$73</xm:f>
          </x14:formula1>
          <xm:sqref>J1:J3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D9655-498E-4F8D-84CC-D57EEE701581}">
  <dimension ref="A1:AA176"/>
  <sheetViews>
    <sheetView tabSelected="1" workbookViewId="0">
      <selection activeCell="B10" sqref="B10"/>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16" t="s">
        <v>737</v>
      </c>
      <c r="B2" s="16" t="s">
        <v>735</v>
      </c>
      <c r="C2" s="4" t="s">
        <v>738</v>
      </c>
      <c r="D2" s="6"/>
      <c r="E2" s="6"/>
      <c r="F2" s="16">
        <v>1</v>
      </c>
      <c r="G2" s="6"/>
      <c r="H2" s="6"/>
    </row>
    <row r="3" spans="1:27" x14ac:dyDescent="0.25">
      <c r="A3" s="16" t="s">
        <v>737</v>
      </c>
      <c r="B3" s="16" t="s">
        <v>735</v>
      </c>
      <c r="C3" s="4" t="s">
        <v>739</v>
      </c>
      <c r="D3" s="6"/>
      <c r="E3" s="6"/>
      <c r="F3" s="16">
        <v>1</v>
      </c>
      <c r="G3" s="6"/>
      <c r="H3" s="6"/>
      <c r="J3" t="s">
        <v>0</v>
      </c>
      <c r="K3" t="s">
        <v>1</v>
      </c>
      <c r="L3" t="s">
        <v>2</v>
      </c>
      <c r="M3" s="4" t="s">
        <v>3</v>
      </c>
      <c r="N3" s="4" t="s">
        <v>4</v>
      </c>
      <c r="O3" s="4" t="s">
        <v>240</v>
      </c>
      <c r="P3" t="s">
        <v>14</v>
      </c>
      <c r="T3" t="s">
        <v>28</v>
      </c>
      <c r="V3" s="15" t="s">
        <v>230</v>
      </c>
      <c r="W3" s="15"/>
      <c r="X3" s="15"/>
      <c r="Y3" s="15"/>
      <c r="Z3" s="15"/>
      <c r="AA3" s="15"/>
    </row>
    <row r="4" spans="1:27" x14ac:dyDescent="0.25">
      <c r="A4" s="16" t="s">
        <v>737</v>
      </c>
      <c r="B4" s="16" t="s">
        <v>736</v>
      </c>
      <c r="C4" s="4" t="s">
        <v>739</v>
      </c>
      <c r="D4" s="6"/>
      <c r="E4" s="6"/>
      <c r="F4" s="16">
        <v>2</v>
      </c>
      <c r="G4" s="6"/>
      <c r="H4" s="6"/>
      <c r="V4" t="s">
        <v>694</v>
      </c>
      <c r="W4" t="s">
        <v>235</v>
      </c>
      <c r="X4" t="s">
        <v>8</v>
      </c>
      <c r="Y4" t="s">
        <v>5</v>
      </c>
    </row>
    <row r="5" spans="1:27" x14ac:dyDescent="0.25">
      <c r="A5" s="16" t="s">
        <v>737</v>
      </c>
      <c r="B5" s="16" t="s">
        <v>736</v>
      </c>
      <c r="C5" s="4" t="s">
        <v>739</v>
      </c>
      <c r="D5" s="6"/>
      <c r="E5" s="6"/>
      <c r="F5" s="16">
        <v>3</v>
      </c>
      <c r="G5" s="6"/>
      <c r="H5" s="6"/>
    </row>
    <row r="6" spans="1:27" x14ac:dyDescent="0.25">
      <c r="A6" s="16" t="s">
        <v>737</v>
      </c>
      <c r="B6" s="16" t="s">
        <v>247</v>
      </c>
      <c r="C6" t="s">
        <v>63</v>
      </c>
      <c r="D6" s="6"/>
      <c r="E6" s="6"/>
      <c r="F6" s="16">
        <v>5</v>
      </c>
      <c r="G6" s="6"/>
      <c r="H6" s="6"/>
    </row>
    <row r="7" spans="1:27" x14ac:dyDescent="0.25">
      <c r="A7" s="16" t="s">
        <v>737</v>
      </c>
      <c r="B7" s="16" t="s">
        <v>742</v>
      </c>
      <c r="C7" s="4" t="s">
        <v>741</v>
      </c>
      <c r="D7" s="6"/>
      <c r="E7" s="6"/>
      <c r="F7" s="16">
        <v>4</v>
      </c>
      <c r="G7" s="6"/>
      <c r="H7" s="6"/>
    </row>
    <row r="8" spans="1:27" x14ac:dyDescent="0.25">
      <c r="A8" s="16" t="s">
        <v>737</v>
      </c>
      <c r="B8" s="16"/>
      <c r="C8" s="4" t="s">
        <v>33</v>
      </c>
      <c r="D8" s="6"/>
      <c r="E8" s="6"/>
      <c r="F8" s="16">
        <v>9</v>
      </c>
      <c r="G8" s="6"/>
      <c r="H8" s="6"/>
    </row>
    <row r="9" spans="1:27" x14ac:dyDescent="0.25">
      <c r="A9" s="16" t="s">
        <v>737</v>
      </c>
      <c r="B9" s="16"/>
      <c r="C9" s="4" t="s">
        <v>52</v>
      </c>
      <c r="D9" s="6"/>
      <c r="E9" s="6"/>
      <c r="F9" s="16">
        <v>12</v>
      </c>
      <c r="G9" s="6"/>
      <c r="H9" s="6"/>
    </row>
    <row r="10" spans="1:27" x14ac:dyDescent="0.25">
      <c r="A10" s="16" t="s">
        <v>737</v>
      </c>
      <c r="B10" s="16" t="s">
        <v>68</v>
      </c>
      <c r="C10" s="4" t="s">
        <v>63</v>
      </c>
      <c r="D10" s="6"/>
      <c r="E10" s="6"/>
      <c r="F10" s="16">
        <v>5</v>
      </c>
      <c r="G10" s="6"/>
      <c r="H10" s="6"/>
    </row>
    <row r="11" spans="1:27" x14ac:dyDescent="0.25">
      <c r="A11" s="16" t="s">
        <v>737</v>
      </c>
      <c r="B11" s="16"/>
      <c r="C11" s="4" t="s">
        <v>72</v>
      </c>
      <c r="D11" s="6"/>
      <c r="E11" s="6"/>
      <c r="F11" s="16">
        <v>6</v>
      </c>
      <c r="G11" s="6"/>
      <c r="H11" s="6"/>
    </row>
    <row r="12" spans="1:27" x14ac:dyDescent="0.25">
      <c r="A12" s="16" t="s">
        <v>737</v>
      </c>
      <c r="B12" s="16" t="s">
        <v>68</v>
      </c>
      <c r="C12" s="4" t="s">
        <v>740</v>
      </c>
      <c r="D12" s="6"/>
      <c r="E12" s="6"/>
      <c r="F12" s="16">
        <v>2</v>
      </c>
      <c r="G12" s="6"/>
      <c r="H12" s="6"/>
    </row>
    <row r="13" spans="1:27" x14ac:dyDescent="0.25">
      <c r="A13" s="16" t="s">
        <v>737</v>
      </c>
      <c r="B13" s="16" t="s">
        <v>247</v>
      </c>
      <c r="C13" s="4" t="s">
        <v>740</v>
      </c>
      <c r="D13" s="6"/>
      <c r="E13" s="6"/>
      <c r="F13" s="16">
        <v>1</v>
      </c>
      <c r="G13" s="6"/>
      <c r="H13" s="6"/>
    </row>
    <row r="14" spans="1:27" x14ac:dyDescent="0.25">
      <c r="A14" s="16" t="s">
        <v>737</v>
      </c>
      <c r="B14" s="16" t="s">
        <v>247</v>
      </c>
      <c r="C14" s="4" t="s">
        <v>741</v>
      </c>
      <c r="D14" s="6"/>
      <c r="E14" s="6"/>
      <c r="F14" s="16">
        <v>2</v>
      </c>
      <c r="G14" s="6"/>
      <c r="H14" s="6"/>
    </row>
    <row r="15" spans="1:27" x14ac:dyDescent="0.25">
      <c r="A15" s="16" t="s">
        <v>11</v>
      </c>
      <c r="B15" s="16" t="s">
        <v>744</v>
      </c>
      <c r="C15" s="4" t="s">
        <v>743</v>
      </c>
      <c r="D15" s="6"/>
      <c r="E15" s="6"/>
      <c r="F15" s="16">
        <v>1</v>
      </c>
      <c r="G15" s="6"/>
      <c r="H15" s="6"/>
    </row>
    <row r="16" spans="1:27" x14ac:dyDescent="0.25">
      <c r="A16" s="16" t="s">
        <v>53</v>
      </c>
      <c r="B16" s="16" t="s">
        <v>249</v>
      </c>
      <c r="D16" s="6"/>
      <c r="E16" s="6"/>
      <c r="F16" s="16">
        <v>2</v>
      </c>
      <c r="G16" s="6"/>
      <c r="H16" s="6"/>
    </row>
    <row r="17" spans="1:8" x14ac:dyDescent="0.25">
      <c r="A17" s="16" t="s">
        <v>156</v>
      </c>
      <c r="B17" s="16" t="s">
        <v>716</v>
      </c>
      <c r="D17" s="6"/>
      <c r="E17" s="6"/>
      <c r="F17" s="16">
        <v>2</v>
      </c>
      <c r="G17" s="6"/>
      <c r="H17" s="6"/>
    </row>
    <row r="18" spans="1:8" x14ac:dyDescent="0.25">
      <c r="A18" s="18" t="s">
        <v>92</v>
      </c>
      <c r="B18" s="18" t="s">
        <v>717</v>
      </c>
      <c r="C18" s="19"/>
      <c r="D18" s="13"/>
      <c r="E18" s="13"/>
      <c r="F18" s="18">
        <v>1</v>
      </c>
      <c r="G18" s="6"/>
      <c r="H18" s="6"/>
    </row>
    <row r="19" spans="1:8" x14ac:dyDescent="0.25">
      <c r="A19" t="s">
        <v>718</v>
      </c>
      <c r="B19" s="17"/>
      <c r="D19" s="6"/>
      <c r="E19" s="6"/>
      <c r="F19" s="16">
        <v>1</v>
      </c>
      <c r="G19" s="6"/>
      <c r="H19" s="6"/>
    </row>
    <row r="20" spans="1:8" x14ac:dyDescent="0.25">
      <c r="A20" t="s">
        <v>681</v>
      </c>
      <c r="B20" s="16" t="s">
        <v>719</v>
      </c>
      <c r="D20" s="13" t="s">
        <v>745</v>
      </c>
      <c r="E20" s="13" t="s">
        <v>745</v>
      </c>
      <c r="F20" s="16">
        <v>15</v>
      </c>
      <c r="G20" s="6"/>
      <c r="H20" s="6"/>
    </row>
    <row r="21" spans="1:8" x14ac:dyDescent="0.25">
      <c r="A21" s="20" t="s">
        <v>746</v>
      </c>
      <c r="B21" s="16" t="s">
        <v>720</v>
      </c>
      <c r="D21" s="6"/>
      <c r="E21" s="6"/>
      <c r="F21" s="16">
        <v>5</v>
      </c>
      <c r="G21" s="6"/>
      <c r="H21" s="6"/>
    </row>
    <row r="22" spans="1:8" x14ac:dyDescent="0.25">
      <c r="A22" s="20" t="s">
        <v>746</v>
      </c>
      <c r="B22" s="16" t="s">
        <v>721</v>
      </c>
      <c r="D22" s="6"/>
      <c r="E22" s="6"/>
      <c r="F22" s="16">
        <v>2</v>
      </c>
      <c r="G22" s="6"/>
      <c r="H22" s="6"/>
    </row>
    <row r="23" spans="1:8" x14ac:dyDescent="0.25">
      <c r="A23" t="s">
        <v>146</v>
      </c>
      <c r="B23" s="16" t="s">
        <v>722</v>
      </c>
      <c r="D23" s="6"/>
      <c r="E23" s="6"/>
      <c r="F23" s="16">
        <v>5</v>
      </c>
      <c r="G23" s="6"/>
      <c r="H23" s="6"/>
    </row>
    <row r="24" spans="1:8" x14ac:dyDescent="0.25">
      <c r="A24" t="s">
        <v>492</v>
      </c>
      <c r="B24" s="17"/>
      <c r="D24" s="6"/>
      <c r="E24" s="6"/>
      <c r="F24" s="16">
        <v>7</v>
      </c>
      <c r="G24" s="6"/>
      <c r="H24" s="6"/>
    </row>
    <row r="25" spans="1:8" x14ac:dyDescent="0.25">
      <c r="A25" s="16" t="s">
        <v>111</v>
      </c>
      <c r="B25" s="17" t="s">
        <v>747</v>
      </c>
      <c r="D25" s="6"/>
      <c r="E25" s="6"/>
      <c r="F25" s="16">
        <v>2</v>
      </c>
      <c r="G25" s="6"/>
      <c r="H25" s="6"/>
    </row>
    <row r="26" spans="1:8" x14ac:dyDescent="0.25">
      <c r="A26" s="16" t="s">
        <v>748</v>
      </c>
      <c r="B26" s="16" t="s">
        <v>723</v>
      </c>
      <c r="D26" s="6"/>
      <c r="E26" s="6"/>
      <c r="F26" s="16">
        <v>1</v>
      </c>
      <c r="G26" s="6"/>
      <c r="H26" s="6"/>
    </row>
    <row r="27" spans="1:8" x14ac:dyDescent="0.25">
      <c r="A27" s="16" t="s">
        <v>749</v>
      </c>
      <c r="B27" s="16" t="s">
        <v>724</v>
      </c>
      <c r="D27" s="6"/>
      <c r="E27" s="6"/>
      <c r="F27" s="16">
        <v>2</v>
      </c>
      <c r="G27" s="6"/>
      <c r="H27" s="6"/>
    </row>
    <row r="28" spans="1:8" x14ac:dyDescent="0.25">
      <c r="A28" s="16" t="s">
        <v>156</v>
      </c>
      <c r="B28" s="16" t="s">
        <v>725</v>
      </c>
      <c r="D28" s="6"/>
      <c r="E28" s="6"/>
      <c r="F28" s="16">
        <v>1</v>
      </c>
      <c r="G28" s="6"/>
      <c r="H28" s="6"/>
    </row>
    <row r="29" spans="1:8" x14ac:dyDescent="0.25">
      <c r="A29" s="16" t="s">
        <v>156</v>
      </c>
      <c r="B29" s="16" t="s">
        <v>750</v>
      </c>
      <c r="D29" s="6"/>
      <c r="E29" s="6"/>
      <c r="F29" s="16">
        <v>1</v>
      </c>
      <c r="G29" s="6"/>
      <c r="H29" s="6"/>
    </row>
    <row r="30" spans="1:8" x14ac:dyDescent="0.25">
      <c r="A30" s="16" t="s">
        <v>506</v>
      </c>
      <c r="B30" s="17"/>
      <c r="D30" s="6"/>
      <c r="E30" s="6"/>
      <c r="F30" s="16">
        <v>2</v>
      </c>
      <c r="G30" s="6"/>
      <c r="H30" s="6"/>
    </row>
    <row r="31" spans="1:8" x14ac:dyDescent="0.25">
      <c r="A31" t="s">
        <v>751</v>
      </c>
      <c r="B31" s="17" t="s">
        <v>752</v>
      </c>
      <c r="D31" s="6"/>
      <c r="E31" s="6"/>
      <c r="F31" s="16">
        <v>1</v>
      </c>
      <c r="G31" s="6"/>
      <c r="H31" s="6"/>
    </row>
    <row r="32" spans="1:8" x14ac:dyDescent="0.25">
      <c r="A32" s="16" t="s">
        <v>753</v>
      </c>
      <c r="B32" s="16" t="s">
        <v>726</v>
      </c>
      <c r="C32" s="4" t="s">
        <v>754</v>
      </c>
      <c r="D32" s="6"/>
      <c r="E32" s="6"/>
      <c r="F32" s="16">
        <v>1</v>
      </c>
      <c r="G32" s="6"/>
      <c r="H32" s="6"/>
    </row>
    <row r="33" spans="1:8" x14ac:dyDescent="0.25">
      <c r="A33" s="16" t="s">
        <v>314</v>
      </c>
      <c r="B33" s="16" t="s">
        <v>727</v>
      </c>
      <c r="D33" s="6"/>
      <c r="E33" s="6"/>
      <c r="F33" s="16">
        <v>1</v>
      </c>
      <c r="G33" s="6"/>
      <c r="H33" s="6"/>
    </row>
    <row r="34" spans="1:8" x14ac:dyDescent="0.25">
      <c r="A34" s="16" t="s">
        <v>131</v>
      </c>
      <c r="B34" s="17"/>
      <c r="D34" s="6"/>
      <c r="E34" s="6"/>
      <c r="F34" s="16">
        <v>1</v>
      </c>
      <c r="G34" s="6"/>
      <c r="H34" s="6"/>
    </row>
    <row r="35" spans="1:8" x14ac:dyDescent="0.25">
      <c r="A35" s="16" t="s">
        <v>755</v>
      </c>
      <c r="B35" s="16" t="s">
        <v>728</v>
      </c>
      <c r="D35" s="6"/>
      <c r="E35" s="6"/>
      <c r="F35" s="16">
        <v>2</v>
      </c>
      <c r="G35" s="6"/>
      <c r="H35" s="6"/>
    </row>
    <row r="36" spans="1:8" x14ac:dyDescent="0.25">
      <c r="A36" s="16" t="s">
        <v>116</v>
      </c>
      <c r="B36" s="16" t="s">
        <v>729</v>
      </c>
      <c r="D36" s="6"/>
      <c r="E36" s="6"/>
      <c r="F36" s="16">
        <v>1</v>
      </c>
      <c r="G36" s="6"/>
      <c r="H36" s="6"/>
    </row>
    <row r="37" spans="1:8" x14ac:dyDescent="0.25">
      <c r="A37" s="16" t="s">
        <v>258</v>
      </c>
      <c r="B37" s="16" t="s">
        <v>730</v>
      </c>
      <c r="D37" s="6"/>
      <c r="E37" s="6"/>
      <c r="F37" s="16">
        <v>2</v>
      </c>
      <c r="G37" s="6"/>
      <c r="H37" s="6"/>
    </row>
    <row r="38" spans="1:8" x14ac:dyDescent="0.25">
      <c r="A38" s="16" t="s">
        <v>755</v>
      </c>
      <c r="B38" s="16" t="s">
        <v>731</v>
      </c>
      <c r="D38" s="6"/>
      <c r="E38" s="6"/>
      <c r="F38" s="16">
        <v>2</v>
      </c>
      <c r="G38" s="6"/>
      <c r="H38" s="6"/>
    </row>
    <row r="39" spans="1:8" x14ac:dyDescent="0.25">
      <c r="A39" s="16" t="s">
        <v>755</v>
      </c>
      <c r="B39" s="16" t="s">
        <v>732</v>
      </c>
      <c r="D39" s="6"/>
      <c r="E39" s="6"/>
      <c r="F39" s="16">
        <v>1</v>
      </c>
      <c r="G39" s="6"/>
      <c r="H39" s="6"/>
    </row>
    <row r="40" spans="1:8" x14ac:dyDescent="0.25">
      <c r="A40" s="16" t="s">
        <v>755</v>
      </c>
      <c r="B40" s="16" t="s">
        <v>756</v>
      </c>
      <c r="D40" s="6"/>
      <c r="E40" s="6"/>
      <c r="F40" s="16">
        <v>6</v>
      </c>
      <c r="G40" s="6"/>
      <c r="H40" s="6"/>
    </row>
    <row r="41" spans="1:8" x14ac:dyDescent="0.25">
      <c r="A41" s="16" t="s">
        <v>755</v>
      </c>
      <c r="B41" s="16" t="s">
        <v>757</v>
      </c>
      <c r="D41" s="6"/>
      <c r="E41" s="6"/>
      <c r="F41" s="16">
        <v>3</v>
      </c>
      <c r="G41" s="6"/>
      <c r="H41" s="6"/>
    </row>
    <row r="42" spans="1:8" x14ac:dyDescent="0.25">
      <c r="A42" s="16" t="s">
        <v>755</v>
      </c>
      <c r="B42" s="16" t="s">
        <v>758</v>
      </c>
      <c r="D42" s="6"/>
      <c r="E42" s="6"/>
      <c r="F42" s="16">
        <v>1</v>
      </c>
      <c r="G42" s="6"/>
      <c r="H42" s="6"/>
    </row>
    <row r="43" spans="1:8" x14ac:dyDescent="0.25">
      <c r="A43" s="16" t="s">
        <v>755</v>
      </c>
      <c r="B43" s="16" t="s">
        <v>759</v>
      </c>
      <c r="D43" s="6"/>
      <c r="E43" s="6"/>
      <c r="F43" s="16">
        <v>1</v>
      </c>
      <c r="G43" s="6"/>
      <c r="H43" s="6"/>
    </row>
    <row r="44" spans="1:8" x14ac:dyDescent="0.25">
      <c r="A44" s="16" t="s">
        <v>505</v>
      </c>
      <c r="B44" s="17"/>
      <c r="D44" s="6"/>
      <c r="E44" s="6"/>
      <c r="F44" s="21">
        <v>45</v>
      </c>
      <c r="G44" s="6"/>
      <c r="H44" s="6"/>
    </row>
    <row r="45" spans="1:8" x14ac:dyDescent="0.25">
      <c r="A45" s="16" t="s">
        <v>40</v>
      </c>
      <c r="B45" s="16"/>
      <c r="C45" s="4" t="s">
        <v>256</v>
      </c>
      <c r="D45" s="6"/>
      <c r="E45" s="6"/>
      <c r="F45" s="21">
        <v>14</v>
      </c>
      <c r="G45" s="6"/>
      <c r="H45" s="6"/>
    </row>
    <row r="46" spans="1:8" x14ac:dyDescent="0.25">
      <c r="A46" s="16" t="s">
        <v>151</v>
      </c>
      <c r="B46" s="16" t="s">
        <v>760</v>
      </c>
      <c r="D46" s="6"/>
      <c r="E46" s="6"/>
      <c r="F46" s="21">
        <v>1</v>
      </c>
      <c r="G46" s="6"/>
      <c r="H46" s="6"/>
    </row>
    <row r="47" spans="1:8" x14ac:dyDescent="0.25">
      <c r="A47" s="16" t="s">
        <v>755</v>
      </c>
      <c r="B47" s="16" t="s">
        <v>761</v>
      </c>
      <c r="D47" s="6"/>
      <c r="E47" s="6"/>
      <c r="F47" s="21">
        <v>1</v>
      </c>
      <c r="G47" s="6"/>
      <c r="H47" s="6"/>
    </row>
    <row r="48" spans="1:8" x14ac:dyDescent="0.25">
      <c r="A48" s="16" t="s">
        <v>771</v>
      </c>
      <c r="B48" s="16" t="s">
        <v>776</v>
      </c>
      <c r="C48" s="4" t="s">
        <v>773</v>
      </c>
      <c r="D48" s="6"/>
      <c r="E48" s="6"/>
      <c r="F48" s="21">
        <v>8</v>
      </c>
      <c r="G48" s="6"/>
      <c r="H48" s="6"/>
    </row>
    <row r="49" spans="1:8" x14ac:dyDescent="0.25">
      <c r="A49" s="16" t="s">
        <v>88</v>
      </c>
      <c r="B49" s="17" t="s">
        <v>777</v>
      </c>
      <c r="D49" s="6"/>
      <c r="E49" s="6"/>
      <c r="F49" s="21">
        <v>3</v>
      </c>
      <c r="G49" s="6"/>
      <c r="H49" s="6"/>
    </row>
    <row r="50" spans="1:8" x14ac:dyDescent="0.25">
      <c r="A50" s="16" t="s">
        <v>88</v>
      </c>
      <c r="B50" s="17" t="s">
        <v>778</v>
      </c>
      <c r="D50" s="6"/>
      <c r="E50" s="6"/>
      <c r="F50" s="21">
        <v>18</v>
      </c>
      <c r="G50" s="6"/>
      <c r="H50" s="6"/>
    </row>
    <row r="51" spans="1:8" x14ac:dyDescent="0.25">
      <c r="A51" s="16" t="s">
        <v>88</v>
      </c>
      <c r="B51" s="17" t="s">
        <v>319</v>
      </c>
      <c r="D51" s="6"/>
      <c r="E51" s="6"/>
      <c r="F51" s="21">
        <v>13</v>
      </c>
      <c r="G51" s="6"/>
      <c r="H51" s="6"/>
    </row>
    <row r="52" spans="1:8" x14ac:dyDescent="0.25">
      <c r="A52" s="16" t="s">
        <v>88</v>
      </c>
      <c r="B52" s="16" t="s">
        <v>779</v>
      </c>
      <c r="D52" s="6"/>
      <c r="E52" s="6"/>
      <c r="F52" s="21">
        <v>3</v>
      </c>
      <c r="G52" s="6"/>
      <c r="H52" s="6"/>
    </row>
    <row r="53" spans="1:8" x14ac:dyDescent="0.25">
      <c r="A53" s="16" t="s">
        <v>771</v>
      </c>
      <c r="B53" s="16"/>
      <c r="C53" s="4" t="s">
        <v>773</v>
      </c>
      <c r="D53" s="6"/>
      <c r="E53" s="6"/>
      <c r="F53" s="21">
        <v>1</v>
      </c>
      <c r="G53" s="6"/>
      <c r="H53" s="6"/>
    </row>
    <row r="54" spans="1:8" x14ac:dyDescent="0.25">
      <c r="A54" s="16" t="s">
        <v>771</v>
      </c>
      <c r="B54" s="16"/>
      <c r="C54" s="4" t="s">
        <v>772</v>
      </c>
      <c r="D54" s="6"/>
      <c r="E54" s="6"/>
      <c r="F54" s="21">
        <v>2</v>
      </c>
      <c r="G54" s="6"/>
      <c r="H54" s="6"/>
    </row>
    <row r="55" spans="1:8" x14ac:dyDescent="0.25">
      <c r="A55" t="s">
        <v>762</v>
      </c>
      <c r="B55" s="17"/>
      <c r="D55" s="6"/>
      <c r="E55" s="6"/>
      <c r="F55" s="21">
        <v>1</v>
      </c>
      <c r="G55" s="6"/>
      <c r="H55" s="6"/>
    </row>
    <row r="56" spans="1:8" x14ac:dyDescent="0.25">
      <c r="A56" s="16" t="s">
        <v>475</v>
      </c>
      <c r="B56" s="17" t="s">
        <v>780</v>
      </c>
      <c r="D56" s="6"/>
      <c r="E56" s="6"/>
      <c r="F56" s="21">
        <v>1</v>
      </c>
      <c r="G56" s="6"/>
      <c r="H56" s="6"/>
    </row>
    <row r="57" spans="1:8" x14ac:dyDescent="0.25">
      <c r="A57" s="16" t="s">
        <v>755</v>
      </c>
      <c r="B57" s="16" t="s">
        <v>763</v>
      </c>
      <c r="D57" s="6"/>
      <c r="E57" s="6"/>
      <c r="F57" s="21">
        <v>1</v>
      </c>
      <c r="G57" s="6"/>
      <c r="H57" s="6"/>
    </row>
    <row r="58" spans="1:8" x14ac:dyDescent="0.25">
      <c r="A58" s="16" t="s">
        <v>755</v>
      </c>
      <c r="B58" s="16" t="s">
        <v>764</v>
      </c>
      <c r="D58" s="6"/>
      <c r="E58" s="6"/>
      <c r="F58" s="21">
        <v>1</v>
      </c>
      <c r="G58" s="6"/>
      <c r="H58" s="6"/>
    </row>
    <row r="59" spans="1:8" x14ac:dyDescent="0.25">
      <c r="A59" s="16" t="s">
        <v>89</v>
      </c>
      <c r="B59" s="16"/>
      <c r="D59" s="6"/>
      <c r="E59" s="6"/>
      <c r="F59" s="21">
        <v>2</v>
      </c>
      <c r="G59" s="6"/>
      <c r="H59" s="6"/>
    </row>
    <row r="60" spans="1:8" x14ac:dyDescent="0.25">
      <c r="A60" t="s">
        <v>320</v>
      </c>
      <c r="B60" s="16" t="s">
        <v>765</v>
      </c>
      <c r="D60" s="6"/>
      <c r="E60" s="6"/>
      <c r="F60" s="21">
        <v>1</v>
      </c>
      <c r="G60" s="6"/>
      <c r="H60" s="6"/>
    </row>
    <row r="61" spans="1:8" x14ac:dyDescent="0.25">
      <c r="A61" s="16" t="s">
        <v>173</v>
      </c>
      <c r="B61" s="17"/>
      <c r="D61" s="6"/>
      <c r="E61" s="6"/>
      <c r="F61" s="21">
        <v>3</v>
      </c>
      <c r="G61" s="6"/>
      <c r="H61" s="6"/>
    </row>
    <row r="62" spans="1:8" x14ac:dyDescent="0.25">
      <c r="A62" s="16" t="s">
        <v>156</v>
      </c>
      <c r="B62" s="16" t="s">
        <v>766</v>
      </c>
      <c r="D62" s="6"/>
      <c r="E62" s="6"/>
      <c r="F62" s="21">
        <v>1</v>
      </c>
      <c r="G62" s="6"/>
      <c r="H62" s="6"/>
    </row>
    <row r="63" spans="1:8" x14ac:dyDescent="0.25">
      <c r="A63" s="16" t="s">
        <v>755</v>
      </c>
      <c r="B63" s="16" t="s">
        <v>767</v>
      </c>
      <c r="D63" s="6"/>
      <c r="E63" s="6"/>
      <c r="F63" s="21">
        <v>11</v>
      </c>
      <c r="G63" s="6"/>
      <c r="H63" s="6"/>
    </row>
    <row r="64" spans="1:8" x14ac:dyDescent="0.25">
      <c r="A64" s="16" t="s">
        <v>755</v>
      </c>
      <c r="B64" s="16" t="s">
        <v>782</v>
      </c>
      <c r="D64" s="6"/>
      <c r="E64" s="6"/>
      <c r="F64" s="21">
        <v>1</v>
      </c>
      <c r="G64" s="6"/>
      <c r="H64" s="6"/>
    </row>
    <row r="65" spans="1:8" x14ac:dyDescent="0.25">
      <c r="A65" s="16" t="s">
        <v>32</v>
      </c>
      <c r="B65" s="17" t="s">
        <v>781</v>
      </c>
      <c r="C65" s="13" t="s">
        <v>694</v>
      </c>
      <c r="D65" s="6"/>
      <c r="E65" s="6"/>
      <c r="F65" s="21">
        <v>1</v>
      </c>
      <c r="G65" s="6"/>
      <c r="H65" s="6"/>
    </row>
    <row r="66" spans="1:8" x14ac:dyDescent="0.25">
      <c r="A66" s="16" t="s">
        <v>59</v>
      </c>
      <c r="B66" s="17" t="s">
        <v>124</v>
      </c>
      <c r="C66" s="13" t="s">
        <v>694</v>
      </c>
      <c r="D66" s="6"/>
      <c r="E66" s="6"/>
      <c r="F66" s="21">
        <v>1</v>
      </c>
      <c r="G66" s="6"/>
      <c r="H66" s="6"/>
    </row>
    <row r="67" spans="1:8" x14ac:dyDescent="0.25">
      <c r="A67" s="16" t="s">
        <v>32</v>
      </c>
      <c r="B67" s="17" t="s">
        <v>783</v>
      </c>
      <c r="C67" s="13" t="s">
        <v>694</v>
      </c>
      <c r="D67" s="6"/>
      <c r="E67" s="6"/>
      <c r="F67" s="21">
        <v>1</v>
      </c>
      <c r="G67" s="6"/>
      <c r="H67" s="6"/>
    </row>
    <row r="68" spans="1:8" x14ac:dyDescent="0.25">
      <c r="A68" s="16" t="s">
        <v>32</v>
      </c>
      <c r="B68" s="17" t="s">
        <v>784</v>
      </c>
      <c r="C68" s="13" t="s">
        <v>694</v>
      </c>
      <c r="D68" s="6"/>
      <c r="E68" s="6"/>
      <c r="F68" s="21">
        <v>2</v>
      </c>
      <c r="G68" s="6"/>
      <c r="H68" s="6"/>
    </row>
    <row r="69" spans="1:8" x14ac:dyDescent="0.25">
      <c r="A69" s="16" t="s">
        <v>771</v>
      </c>
      <c r="B69" s="16" t="s">
        <v>785</v>
      </c>
      <c r="C69" s="4" t="s">
        <v>774</v>
      </c>
      <c r="D69" s="6"/>
      <c r="E69" s="6"/>
      <c r="F69" s="21">
        <v>405</v>
      </c>
      <c r="G69" s="6"/>
      <c r="H69" s="6"/>
    </row>
    <row r="70" spans="1:8" x14ac:dyDescent="0.25">
      <c r="A70" s="16" t="s">
        <v>771</v>
      </c>
      <c r="B70" s="16" t="s">
        <v>785</v>
      </c>
      <c r="C70" s="4" t="s">
        <v>772</v>
      </c>
      <c r="D70" s="6"/>
      <c r="E70" s="6"/>
      <c r="F70" s="21">
        <v>151</v>
      </c>
      <c r="G70" s="6"/>
      <c r="H70" s="6"/>
    </row>
    <row r="71" spans="1:8" x14ac:dyDescent="0.25">
      <c r="A71" s="16" t="s">
        <v>771</v>
      </c>
      <c r="B71" s="16" t="s">
        <v>786</v>
      </c>
      <c r="C71" s="4" t="s">
        <v>774</v>
      </c>
      <c r="D71" s="6"/>
      <c r="E71" s="6"/>
      <c r="F71" s="21">
        <v>4</v>
      </c>
      <c r="G71" s="6"/>
      <c r="H71" s="6"/>
    </row>
    <row r="72" spans="1:8" x14ac:dyDescent="0.25">
      <c r="A72" s="16" t="s">
        <v>771</v>
      </c>
      <c r="B72" s="16" t="s">
        <v>786</v>
      </c>
      <c r="C72" s="4" t="s">
        <v>772</v>
      </c>
      <c r="D72" s="6"/>
      <c r="E72" s="6"/>
      <c r="F72" s="21">
        <v>3</v>
      </c>
      <c r="G72" s="6"/>
      <c r="H72" s="6"/>
    </row>
    <row r="73" spans="1:8" x14ac:dyDescent="0.25">
      <c r="A73" s="16" t="s">
        <v>787</v>
      </c>
      <c r="B73" s="17"/>
      <c r="D73" s="6"/>
      <c r="E73" s="6"/>
      <c r="F73" s="21">
        <v>2</v>
      </c>
      <c r="G73" s="6"/>
      <c r="H73" s="6"/>
    </row>
    <row r="74" spans="1:8" x14ac:dyDescent="0.25">
      <c r="A74" s="16" t="s">
        <v>86</v>
      </c>
      <c r="B74" s="17"/>
      <c r="D74" s="6"/>
      <c r="E74" s="6"/>
      <c r="F74" s="21">
        <v>2</v>
      </c>
      <c r="G74" s="6"/>
      <c r="H74" s="6"/>
    </row>
    <row r="75" spans="1:8" ht="30" x14ac:dyDescent="0.25">
      <c r="A75" s="16" t="s">
        <v>611</v>
      </c>
      <c r="B75" s="16" t="s">
        <v>788</v>
      </c>
      <c r="D75" s="6"/>
      <c r="E75" s="6"/>
      <c r="F75" s="21">
        <v>1</v>
      </c>
      <c r="G75" s="6"/>
      <c r="H75" s="6"/>
    </row>
    <row r="76" spans="1:8" x14ac:dyDescent="0.25">
      <c r="A76" s="16" t="s">
        <v>11</v>
      </c>
      <c r="B76" s="16" t="s">
        <v>390</v>
      </c>
      <c r="C76" t="s">
        <v>789</v>
      </c>
      <c r="D76" s="6"/>
      <c r="E76" s="6"/>
      <c r="F76" s="21">
        <v>3</v>
      </c>
      <c r="G76" s="6"/>
      <c r="H76" s="6"/>
    </row>
    <row r="77" spans="1:8" x14ac:dyDescent="0.25">
      <c r="A77" s="16" t="s">
        <v>11</v>
      </c>
      <c r="B77" s="16"/>
      <c r="C77" s="4" t="s">
        <v>123</v>
      </c>
      <c r="D77" s="6"/>
      <c r="E77" s="6"/>
      <c r="F77" s="21">
        <v>5</v>
      </c>
      <c r="G77" s="6"/>
      <c r="H77" s="6"/>
    </row>
    <row r="78" spans="1:8" x14ac:dyDescent="0.25">
      <c r="A78" s="16" t="s">
        <v>11</v>
      </c>
      <c r="B78" s="16"/>
      <c r="C78" s="4" t="s">
        <v>41</v>
      </c>
      <c r="D78" s="6"/>
      <c r="E78" s="6"/>
      <c r="F78" s="21">
        <v>2</v>
      </c>
      <c r="G78" s="6"/>
      <c r="H78" s="6"/>
    </row>
    <row r="79" spans="1:8" x14ac:dyDescent="0.25">
      <c r="A79" s="16" t="s">
        <v>11</v>
      </c>
      <c r="B79" s="16"/>
      <c r="C79" s="4" t="s">
        <v>790</v>
      </c>
      <c r="D79" s="6"/>
      <c r="E79" s="6"/>
      <c r="F79" s="21">
        <v>4</v>
      </c>
      <c r="G79" s="6"/>
      <c r="H79" s="6"/>
    </row>
    <row r="80" spans="1:8" x14ac:dyDescent="0.25">
      <c r="A80" t="s">
        <v>768</v>
      </c>
      <c r="B80" s="17"/>
      <c r="D80" s="6"/>
      <c r="E80" s="6"/>
      <c r="F80" s="21">
        <v>5</v>
      </c>
      <c r="G80" s="6"/>
      <c r="H80" s="6"/>
    </row>
    <row r="81" spans="1:8" x14ac:dyDescent="0.25">
      <c r="A81" s="16" t="s">
        <v>762</v>
      </c>
      <c r="B81" s="17"/>
      <c r="D81" s="6"/>
      <c r="E81" s="6"/>
      <c r="F81" s="21">
        <v>1</v>
      </c>
      <c r="G81" s="6"/>
      <c r="H81" s="6"/>
    </row>
    <row r="82" spans="1:8" x14ac:dyDescent="0.25">
      <c r="A82" s="16" t="s">
        <v>505</v>
      </c>
      <c r="B82" s="17"/>
      <c r="D82" s="6"/>
      <c r="E82" s="6"/>
      <c r="F82" s="21">
        <v>45</v>
      </c>
      <c r="G82" s="6"/>
      <c r="H82" s="6"/>
    </row>
    <row r="83" spans="1:8" x14ac:dyDescent="0.25">
      <c r="A83" s="16" t="s">
        <v>681</v>
      </c>
      <c r="B83" s="16" t="s">
        <v>769</v>
      </c>
      <c r="D83" s="6"/>
      <c r="E83" s="6"/>
      <c r="F83" s="21">
        <v>5</v>
      </c>
      <c r="G83" s="6"/>
      <c r="H83" s="6"/>
    </row>
    <row r="84" spans="1:8" x14ac:dyDescent="0.25">
      <c r="A84" s="16" t="s">
        <v>681</v>
      </c>
      <c r="B84" s="16" t="s">
        <v>770</v>
      </c>
      <c r="D84" s="6"/>
      <c r="E84" s="6"/>
      <c r="F84" s="21">
        <v>5</v>
      </c>
      <c r="G84" s="6"/>
      <c r="H84" s="6"/>
    </row>
    <row r="85" spans="1:8" x14ac:dyDescent="0.25">
      <c r="A85" s="16"/>
      <c r="B85" s="17"/>
      <c r="D85" s="6"/>
      <c r="E85" s="6"/>
      <c r="F85" s="21"/>
      <c r="G85" s="6"/>
      <c r="H85" s="6"/>
    </row>
    <row r="86" spans="1:8" x14ac:dyDescent="0.25">
      <c r="A86" s="20"/>
      <c r="B86" s="22"/>
      <c r="D86" s="6"/>
      <c r="E86" s="6"/>
      <c r="F86" s="23"/>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B107" s="7"/>
      <c r="C107" s="6"/>
      <c r="D107" s="6"/>
      <c r="E107" s="6"/>
      <c r="F107" s="6"/>
      <c r="G107" s="6"/>
      <c r="H107" s="6"/>
    </row>
    <row r="108" spans="1:8" x14ac:dyDescent="0.25">
      <c r="A108" s="6"/>
      <c r="B108" s="7"/>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row r="140" spans="1:8" x14ac:dyDescent="0.25">
      <c r="A140" s="6"/>
      <c r="B140" s="7"/>
      <c r="C140" s="6"/>
      <c r="D140" s="6"/>
      <c r="E140" s="6"/>
      <c r="F140" s="6"/>
      <c r="G140" s="6"/>
      <c r="H140" s="6"/>
    </row>
    <row r="141" spans="1:8" x14ac:dyDescent="0.25">
      <c r="A141" s="6"/>
      <c r="B141" s="7"/>
      <c r="C141" s="6"/>
      <c r="D141" s="6"/>
      <c r="E141" s="6"/>
      <c r="F141" s="6"/>
      <c r="G141" s="6"/>
      <c r="H141" s="6"/>
    </row>
    <row r="142" spans="1:8" x14ac:dyDescent="0.25">
      <c r="A142" s="6"/>
      <c r="B142" s="7"/>
      <c r="C142" s="6"/>
      <c r="D142" s="6"/>
      <c r="E142" s="6"/>
      <c r="F142" s="6"/>
      <c r="G142" s="6"/>
      <c r="H142" s="6"/>
    </row>
    <row r="143" spans="1:8" x14ac:dyDescent="0.25">
      <c r="A143" s="6"/>
      <c r="B143" s="7"/>
      <c r="C143" s="6"/>
      <c r="D143" s="6"/>
      <c r="E143" s="6"/>
      <c r="F143" s="6"/>
      <c r="G143" s="6"/>
      <c r="H143" s="6"/>
    </row>
    <row r="144" spans="1:8" x14ac:dyDescent="0.25">
      <c r="A144" s="6"/>
      <c r="B144" s="7"/>
      <c r="C144" s="6"/>
      <c r="D144" s="6"/>
      <c r="E144" s="6"/>
      <c r="F144" s="6"/>
      <c r="G144" s="6"/>
      <c r="H144" s="6"/>
    </row>
    <row r="145" spans="1:8" x14ac:dyDescent="0.25">
      <c r="A145" s="6"/>
      <c r="B145" s="7"/>
      <c r="C145" s="6"/>
      <c r="D145" s="6"/>
      <c r="E145" s="6"/>
      <c r="F145" s="6"/>
      <c r="G145" s="6"/>
      <c r="H145" s="6"/>
    </row>
    <row r="146" spans="1:8" x14ac:dyDescent="0.25">
      <c r="A146" s="6"/>
      <c r="B146" s="7"/>
      <c r="C146" s="6"/>
      <c r="D146" s="6"/>
      <c r="E146" s="6"/>
      <c r="F146" s="6"/>
      <c r="G146" s="6"/>
      <c r="H146" s="6"/>
    </row>
    <row r="147" spans="1:8" x14ac:dyDescent="0.25">
      <c r="A147" s="6"/>
      <c r="B147" s="7"/>
      <c r="C147" s="6"/>
      <c r="D147" s="6"/>
      <c r="E147" s="6"/>
      <c r="F147" s="6"/>
      <c r="G147" s="6"/>
      <c r="H147" s="6"/>
    </row>
    <row r="148" spans="1:8" x14ac:dyDescent="0.25">
      <c r="A148" s="6"/>
      <c r="B148" s="7"/>
      <c r="C148" s="6"/>
      <c r="D148" s="6"/>
      <c r="E148" s="6"/>
      <c r="F148" s="6"/>
      <c r="G148" s="6"/>
      <c r="H148" s="6"/>
    </row>
    <row r="149" spans="1:8" x14ac:dyDescent="0.25">
      <c r="A149" s="6"/>
      <c r="B149" s="7"/>
      <c r="C149" s="6"/>
      <c r="D149" s="6"/>
      <c r="E149" s="6"/>
      <c r="F149" s="6"/>
      <c r="G149" s="6"/>
      <c r="H149" s="6"/>
    </row>
    <row r="150" spans="1:8" x14ac:dyDescent="0.25">
      <c r="A150" s="6"/>
      <c r="B150" s="7"/>
      <c r="C150" s="6"/>
      <c r="D150" s="6"/>
      <c r="E150" s="6"/>
      <c r="F150" s="6"/>
      <c r="G150" s="6"/>
      <c r="H150" s="6"/>
    </row>
    <row r="151" spans="1:8" x14ac:dyDescent="0.25">
      <c r="A151" s="6"/>
      <c r="B151" s="7"/>
      <c r="C151" s="6"/>
      <c r="D151" s="6"/>
      <c r="E151" s="6"/>
      <c r="F151" s="6"/>
      <c r="G151" s="6"/>
      <c r="H151" s="6"/>
    </row>
    <row r="152" spans="1:8" x14ac:dyDescent="0.25">
      <c r="A152" s="6"/>
      <c r="B152" s="7"/>
      <c r="C152" s="6"/>
      <c r="D152" s="6"/>
      <c r="E152" s="6"/>
      <c r="F152" s="6"/>
      <c r="G152" s="6"/>
      <c r="H152" s="6"/>
    </row>
    <row r="153" spans="1:8" x14ac:dyDescent="0.25">
      <c r="A153" s="6"/>
      <c r="B153" s="7"/>
      <c r="C153" s="6"/>
      <c r="D153" s="6"/>
      <c r="E153" s="6"/>
      <c r="F153" s="6"/>
      <c r="G153" s="6"/>
      <c r="H153" s="6"/>
    </row>
    <row r="154" spans="1:8" x14ac:dyDescent="0.25">
      <c r="A154" s="6"/>
      <c r="B154" s="7"/>
      <c r="C154" s="6"/>
      <c r="D154" s="6"/>
      <c r="E154" s="6"/>
      <c r="F154" s="6"/>
      <c r="G154" s="6"/>
      <c r="H154" s="6"/>
    </row>
    <row r="155" spans="1:8" x14ac:dyDescent="0.25">
      <c r="A155" s="6"/>
      <c r="B155" s="7"/>
      <c r="C155" s="6"/>
      <c r="D155" s="6"/>
      <c r="E155" s="6"/>
      <c r="F155" s="6"/>
      <c r="G155" s="6"/>
      <c r="H155" s="6"/>
    </row>
    <row r="156" spans="1:8" x14ac:dyDescent="0.25">
      <c r="A156" s="6"/>
      <c r="B156" s="7"/>
      <c r="C156" s="6"/>
      <c r="D156" s="6"/>
      <c r="E156" s="6"/>
      <c r="F156" s="6"/>
      <c r="G156" s="6"/>
      <c r="H156" s="6"/>
    </row>
    <row r="157" spans="1:8" x14ac:dyDescent="0.25">
      <c r="A157" s="6"/>
      <c r="B157" s="7"/>
      <c r="C157" s="6"/>
      <c r="D157" s="6"/>
      <c r="E157" s="6"/>
      <c r="F157" s="6"/>
      <c r="G157" s="6"/>
      <c r="H157" s="6"/>
    </row>
    <row r="158" spans="1:8" x14ac:dyDescent="0.25">
      <c r="A158" s="6"/>
      <c r="B158" s="7"/>
      <c r="C158" s="6"/>
      <c r="D158" s="6"/>
      <c r="E158" s="6"/>
      <c r="F158" s="6"/>
      <c r="G158" s="6"/>
      <c r="H158" s="6"/>
    </row>
    <row r="159" spans="1:8" x14ac:dyDescent="0.25">
      <c r="A159" s="6"/>
      <c r="B159" s="7"/>
      <c r="C159" s="6"/>
      <c r="D159" s="6"/>
      <c r="E159" s="6"/>
      <c r="F159" s="6"/>
      <c r="G159" s="6"/>
      <c r="H159" s="6"/>
    </row>
    <row r="160" spans="1:8" x14ac:dyDescent="0.25">
      <c r="A160" s="6"/>
      <c r="B160" s="7"/>
      <c r="C160" s="6"/>
      <c r="D160" s="6"/>
      <c r="E160" s="6"/>
      <c r="F160" s="6"/>
      <c r="G160" s="6"/>
      <c r="H160" s="6"/>
    </row>
    <row r="161" spans="1:8" x14ac:dyDescent="0.25">
      <c r="A161" s="6"/>
      <c r="B161" s="7"/>
      <c r="C161" s="6"/>
      <c r="D161" s="6"/>
      <c r="E161" s="6"/>
      <c r="F161" s="6"/>
      <c r="G161" s="6"/>
      <c r="H161" s="6"/>
    </row>
    <row r="162" spans="1:8" x14ac:dyDescent="0.25">
      <c r="A162" s="6"/>
      <c r="B162" s="7"/>
      <c r="C162" s="6"/>
      <c r="D162" s="6"/>
      <c r="E162" s="6"/>
      <c r="F162" s="6"/>
      <c r="G162" s="6"/>
      <c r="H162" s="6"/>
    </row>
    <row r="163" spans="1:8" x14ac:dyDescent="0.25">
      <c r="A163" s="6"/>
      <c r="B163" s="7"/>
      <c r="C163" s="6"/>
      <c r="D163" s="7"/>
      <c r="E163" s="6"/>
      <c r="F163" s="6"/>
      <c r="G163" s="6"/>
      <c r="H163" s="6"/>
    </row>
    <row r="164" spans="1:8" x14ac:dyDescent="0.25">
      <c r="A164" s="6"/>
      <c r="B164" s="7"/>
      <c r="C164" s="6"/>
      <c r="D164" s="6"/>
      <c r="E164" s="6"/>
      <c r="F164" s="6"/>
      <c r="G164" s="6"/>
      <c r="H164" s="6"/>
    </row>
    <row r="165" spans="1:8" x14ac:dyDescent="0.25">
      <c r="A165" s="6"/>
      <c r="B165" s="7"/>
      <c r="C165" s="6"/>
      <c r="D165" s="6"/>
      <c r="E165" s="6"/>
      <c r="F165" s="6"/>
      <c r="G165" s="6"/>
      <c r="H165" s="6"/>
    </row>
    <row r="166" spans="1:8" x14ac:dyDescent="0.25">
      <c r="A166" s="6"/>
      <c r="B166" s="7"/>
      <c r="C166" s="6"/>
      <c r="D166" s="6"/>
      <c r="E166" s="6"/>
      <c r="F166" s="6"/>
      <c r="G166" s="6"/>
      <c r="H166" s="6"/>
    </row>
    <row r="167" spans="1:8" x14ac:dyDescent="0.25">
      <c r="A167" s="6"/>
      <c r="B167" s="7"/>
      <c r="C167" s="6"/>
      <c r="D167" s="6"/>
      <c r="E167" s="6"/>
      <c r="F167" s="6"/>
      <c r="G167" s="6"/>
      <c r="H167" s="6"/>
    </row>
    <row r="168" spans="1:8" x14ac:dyDescent="0.25">
      <c r="A168" s="6"/>
      <c r="B168" s="7"/>
      <c r="C168" s="6"/>
      <c r="D168" s="6"/>
      <c r="E168" s="6"/>
      <c r="F168" s="6"/>
      <c r="G168" s="6"/>
      <c r="H168" s="6"/>
    </row>
    <row r="169" spans="1:8" x14ac:dyDescent="0.25">
      <c r="A169" s="6"/>
      <c r="B169" s="7"/>
      <c r="C169" s="7"/>
      <c r="D169" s="6"/>
      <c r="E169" s="6"/>
      <c r="F169" s="6"/>
      <c r="G169" s="6"/>
      <c r="H169" s="6"/>
    </row>
    <row r="170" spans="1:8" x14ac:dyDescent="0.25">
      <c r="A170" s="6"/>
      <c r="B170" s="7"/>
      <c r="C170" s="6"/>
      <c r="D170" s="6"/>
      <c r="E170" s="6"/>
      <c r="F170" s="6"/>
      <c r="G170" s="6"/>
      <c r="H170" s="6"/>
    </row>
    <row r="171" spans="1:8" x14ac:dyDescent="0.25">
      <c r="A171" s="6"/>
      <c r="B171" s="7"/>
      <c r="C171" s="6"/>
      <c r="D171" s="6"/>
      <c r="E171" s="6"/>
      <c r="F171" s="6"/>
      <c r="G171" s="6"/>
      <c r="H171" s="6"/>
    </row>
    <row r="172" spans="1:8" x14ac:dyDescent="0.25">
      <c r="A172" s="6"/>
      <c r="B172" s="7"/>
      <c r="C172" s="6"/>
      <c r="D172" s="6"/>
      <c r="E172" s="6"/>
      <c r="F172" s="6"/>
      <c r="G172" s="6"/>
      <c r="H172" s="6"/>
    </row>
    <row r="173" spans="1:8" x14ac:dyDescent="0.25">
      <c r="A173" s="6"/>
      <c r="B173" s="7"/>
      <c r="C173" s="6"/>
      <c r="D173" s="6"/>
      <c r="E173" s="6"/>
      <c r="F173" s="6"/>
      <c r="G173" s="6"/>
      <c r="H173" s="6"/>
    </row>
    <row r="174" spans="1:8" x14ac:dyDescent="0.25">
      <c r="A174" s="6"/>
      <c r="B174" s="7"/>
      <c r="C174" s="6"/>
      <c r="D174" s="6"/>
      <c r="E174" s="6"/>
      <c r="F174" s="6"/>
      <c r="G174" s="6"/>
      <c r="H174" s="6"/>
    </row>
    <row r="175" spans="1:8" x14ac:dyDescent="0.25">
      <c r="A175" s="6"/>
      <c r="B175" s="7"/>
      <c r="C175" s="6"/>
      <c r="D175" s="6"/>
      <c r="E175" s="6"/>
      <c r="F175" s="6"/>
      <c r="G175" s="6"/>
      <c r="H175" s="6"/>
    </row>
    <row r="176" spans="1:8" x14ac:dyDescent="0.25">
      <c r="A176" s="6"/>
      <c r="B176" s="7"/>
      <c r="C176" s="6"/>
      <c r="D176" s="6"/>
      <c r="E176" s="6"/>
      <c r="F176" s="6"/>
      <c r="G176" s="6"/>
      <c r="H176" s="6"/>
    </row>
  </sheetData>
  <mergeCells count="1">
    <mergeCell ref="V3:AA3"/>
  </mergeCells>
  <dataValidations count="9">
    <dataValidation type="list" allowBlank="1" showInputMessage="1" showErrorMessage="1" sqref="L4" xr:uid="{E55FD305-4B93-4090-A2A6-9009B757041A}">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xr:uid="{AB349910-7226-497B-886E-13204EB97A0C}">
      <formula1>categorias</formula1>
    </dataValidation>
    <dataValidation type="list" allowBlank="1" showInputMessage="1" showErrorMessage="1" sqref="C1" xr:uid="{B3A91866-A439-468A-81F6-B2CF3072EFC8}">
      <formula1>Medidas</formula1>
    </dataValidation>
    <dataValidation type="list" allowBlank="1" showInputMessage="1" showErrorMessage="1" sqref="P4" xr:uid="{BEF774FD-6F19-4D36-96CA-DE607D6BEFB8}">
      <formula1>BolsosMovil54</formula1>
    </dataValidation>
    <dataValidation type="list" allowBlank="1" showInputMessage="1" showErrorMessage="1" sqref="H176 G75:G1048576 G1" xr:uid="{C67AB684-475C-490B-98E6-475A9F53083E}">
      <formula1>CajonerasMovil54</formula1>
    </dataValidation>
    <dataValidation type="list" allowBlank="1" showInputMessage="1" showErrorMessage="1" sqref="H177:H1048576 L1:L3 H75:H175 H54:H73 H1 H47:H52 L46:L1048576" xr:uid="{178EEC18-4DE1-4EE0-AB73-CC94785F8E7C}">
      <formula1>INDEX(Compartimentosmovil54,0,MATCH(OFFSET(INDIRECT(ADDRESS(ROW(), COLUMN())),0,-1),CajonerasMovil54,0))</formula1>
    </dataValidation>
    <dataValidation type="list" allowBlank="1" showInputMessage="1" showErrorMessage="1" sqref="T14" xr:uid="{01B88FB6-F09C-4AD7-B04B-755764BF6620}">
      <formula1>INDEX(Medidas,0,MATCH(OFFSET(INDIRECT(ADDRESS(ROW(), COLUMN())),0,-1),categoriasDeMedidas,0))</formula1>
    </dataValidation>
    <dataValidation type="list" allowBlank="1" showInputMessage="1" showErrorMessage="1" sqref="G2:G43" xr:uid="{EC1CDCF5-376F-4655-91E9-68DA72A3FC6F}">
      <formula1>$V$4:$Y$4</formula1>
    </dataValidation>
    <dataValidation type="list" allowBlank="1" showInputMessage="1" showErrorMessage="1" sqref="H2:H43" xr:uid="{61AC8CBE-8BE3-4F89-B9B3-3A10069965D7}">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1">
        <x14:dataValidation type="list" allowBlank="1" showInputMessage="1" showErrorMessage="1" xr:uid="{17EA0A5E-8960-4309-A0B2-8F9FC94700BC}">
          <x14:formula1>
            <xm:f>Configuracion!$A$2:$A$73</xm:f>
          </x14:formula1>
          <xm:sqref>J1:J3</xm:sqref>
        </x14:dataValidation>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8B4A17D-52EB-4D3B-AC00-F9AAC4CB66C4}">
          <x14:formula1>
            <xm:f>Configuracion!$I$2:$I$7</xm:f>
          </x14:formula1>
          <xm:sqref>C176 C45</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X117"/>
  <sheetViews>
    <sheetView topLeftCell="A101" workbookViewId="0">
      <selection activeCell="A117" sqref="A117"/>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4" x14ac:dyDescent="0.25">
      <c r="A1" s="2" t="s">
        <v>34</v>
      </c>
      <c r="F1" t="s">
        <v>11</v>
      </c>
      <c r="G1" t="s">
        <v>32</v>
      </c>
      <c r="H1" t="s">
        <v>35</v>
      </c>
      <c r="I1" t="s">
        <v>40</v>
      </c>
      <c r="J1" t="s">
        <v>43</v>
      </c>
      <c r="K1" t="s">
        <v>44</v>
      </c>
      <c r="L1" t="s">
        <v>54</v>
      </c>
      <c r="M1" t="s">
        <v>61</v>
      </c>
      <c r="N1" t="s">
        <v>59</v>
      </c>
      <c r="O1" t="s">
        <v>86</v>
      </c>
      <c r="P1" t="s">
        <v>105</v>
      </c>
      <c r="Q1" t="s">
        <v>109</v>
      </c>
      <c r="R1" t="s">
        <v>174</v>
      </c>
      <c r="S1" t="s">
        <v>175</v>
      </c>
      <c r="T1" s="6" t="s">
        <v>395</v>
      </c>
      <c r="U1" t="s">
        <v>212</v>
      </c>
      <c r="V1" t="s">
        <v>160</v>
      </c>
      <c r="W1" t="s">
        <v>737</v>
      </c>
      <c r="X1" t="s">
        <v>771</v>
      </c>
    </row>
    <row r="2" spans="1:24" x14ac:dyDescent="0.25">
      <c r="A2" t="s">
        <v>100</v>
      </c>
      <c r="F2" t="s">
        <v>119</v>
      </c>
      <c r="G2" t="s">
        <v>225</v>
      </c>
      <c r="H2" t="s">
        <v>37</v>
      </c>
      <c r="I2" t="s">
        <v>256</v>
      </c>
      <c r="J2" t="s">
        <v>66</v>
      </c>
      <c r="K2" t="s">
        <v>70</v>
      </c>
      <c r="L2" t="s">
        <v>225</v>
      </c>
      <c r="M2" t="s">
        <v>597</v>
      </c>
      <c r="N2" t="s">
        <v>52</v>
      </c>
      <c r="P2" t="s">
        <v>107</v>
      </c>
      <c r="Q2" t="s">
        <v>127</v>
      </c>
      <c r="R2" t="s">
        <v>236</v>
      </c>
      <c r="S2" t="s">
        <v>237</v>
      </c>
      <c r="T2" t="s">
        <v>526</v>
      </c>
      <c r="U2" t="s">
        <v>461</v>
      </c>
      <c r="V2" t="s">
        <v>644</v>
      </c>
      <c r="W2" t="s">
        <v>738</v>
      </c>
      <c r="X2" t="s">
        <v>772</v>
      </c>
    </row>
    <row r="3" spans="1:24" x14ac:dyDescent="0.25">
      <c r="A3" t="s">
        <v>664</v>
      </c>
      <c r="F3" s="3" t="s">
        <v>50</v>
      </c>
      <c r="G3" t="s">
        <v>72</v>
      </c>
      <c r="H3" t="s">
        <v>38</v>
      </c>
      <c r="J3" t="s">
        <v>65</v>
      </c>
      <c r="K3" t="s">
        <v>69</v>
      </c>
      <c r="P3" t="s">
        <v>108</v>
      </c>
      <c r="Q3" t="s">
        <v>128</v>
      </c>
      <c r="S3" t="s">
        <v>538</v>
      </c>
      <c r="T3" t="s">
        <v>635</v>
      </c>
      <c r="U3" t="s">
        <v>108</v>
      </c>
      <c r="V3" t="s">
        <v>645</v>
      </c>
      <c r="W3" t="s">
        <v>739</v>
      </c>
      <c r="X3" t="s">
        <v>773</v>
      </c>
    </row>
    <row r="4" spans="1:24" x14ac:dyDescent="0.25">
      <c r="A4" t="s">
        <v>320</v>
      </c>
      <c r="F4" t="s">
        <v>79</v>
      </c>
      <c r="G4" t="s">
        <v>288</v>
      </c>
      <c r="H4" t="s">
        <v>103</v>
      </c>
      <c r="J4" t="s">
        <v>733</v>
      </c>
      <c r="K4" t="s">
        <v>67</v>
      </c>
      <c r="P4" t="s">
        <v>106</v>
      </c>
      <c r="Q4" t="s">
        <v>129</v>
      </c>
      <c r="T4" t="s">
        <v>636</v>
      </c>
      <c r="V4" t="s">
        <v>692</v>
      </c>
      <c r="W4" t="s">
        <v>63</v>
      </c>
      <c r="X4" t="s">
        <v>774</v>
      </c>
    </row>
    <row r="5" spans="1:24" x14ac:dyDescent="0.25">
      <c r="A5" t="s">
        <v>680</v>
      </c>
      <c r="F5" t="s">
        <v>30</v>
      </c>
      <c r="G5" t="s">
        <v>33</v>
      </c>
      <c r="J5" t="s">
        <v>734</v>
      </c>
      <c r="K5" t="s">
        <v>45</v>
      </c>
      <c r="P5" t="s">
        <v>467</v>
      </c>
      <c r="Q5" t="s">
        <v>130</v>
      </c>
      <c r="T5" t="s">
        <v>637</v>
      </c>
      <c r="W5" t="s">
        <v>740</v>
      </c>
      <c r="X5" t="s">
        <v>775</v>
      </c>
    </row>
    <row r="6" spans="1:24" x14ac:dyDescent="0.25">
      <c r="A6" t="s">
        <v>43</v>
      </c>
      <c r="F6" t="s">
        <v>77</v>
      </c>
      <c r="G6" t="s">
        <v>52</v>
      </c>
      <c r="K6" t="s">
        <v>64</v>
      </c>
      <c r="Q6" t="s">
        <v>125</v>
      </c>
      <c r="T6" t="s">
        <v>576</v>
      </c>
      <c r="W6" t="s">
        <v>741</v>
      </c>
    </row>
    <row r="7" spans="1:24" x14ac:dyDescent="0.25">
      <c r="A7" t="s">
        <v>307</v>
      </c>
      <c r="F7" t="s">
        <v>58</v>
      </c>
      <c r="I7" t="s">
        <v>41</v>
      </c>
      <c r="K7" t="s">
        <v>301</v>
      </c>
      <c r="Q7" t="s">
        <v>126</v>
      </c>
      <c r="T7" t="s">
        <v>694</v>
      </c>
      <c r="W7" t="s">
        <v>33</v>
      </c>
    </row>
    <row r="8" spans="1:24" x14ac:dyDescent="0.25">
      <c r="A8" t="s">
        <v>671</v>
      </c>
      <c r="F8" t="s">
        <v>121</v>
      </c>
      <c r="W8" t="s">
        <v>52</v>
      </c>
    </row>
    <row r="9" spans="1:24" x14ac:dyDescent="0.25">
      <c r="A9" t="s">
        <v>139</v>
      </c>
      <c r="F9" t="s">
        <v>31</v>
      </c>
      <c r="L9" t="s">
        <v>55</v>
      </c>
      <c r="M9" t="s">
        <v>63</v>
      </c>
      <c r="N9" t="s">
        <v>33</v>
      </c>
      <c r="O9" t="s">
        <v>52</v>
      </c>
      <c r="W9" t="s">
        <v>72</v>
      </c>
    </row>
    <row r="10" spans="1:24" x14ac:dyDescent="0.25">
      <c r="A10" t="s">
        <v>109</v>
      </c>
      <c r="F10" t="s">
        <v>123</v>
      </c>
    </row>
    <row r="11" spans="1:24" x14ac:dyDescent="0.25">
      <c r="A11" t="s">
        <v>468</v>
      </c>
      <c r="F11" t="s">
        <v>290</v>
      </c>
    </row>
    <row r="12" spans="1:24" x14ac:dyDescent="0.25">
      <c r="A12" t="s">
        <v>468</v>
      </c>
      <c r="F12" t="s">
        <v>743</v>
      </c>
    </row>
    <row r="13" spans="1:24" x14ac:dyDescent="0.25">
      <c r="A13" t="s">
        <v>466</v>
      </c>
      <c r="F13" t="s">
        <v>789</v>
      </c>
    </row>
    <row r="14" spans="1:24" x14ac:dyDescent="0.25">
      <c r="A14" t="s">
        <v>116</v>
      </c>
      <c r="F14" t="s">
        <v>41</v>
      </c>
    </row>
    <row r="15" spans="1:24" x14ac:dyDescent="0.25">
      <c r="A15" s="1" t="s">
        <v>92</v>
      </c>
      <c r="F15" t="s">
        <v>790</v>
      </c>
    </row>
    <row r="16" spans="1:24" x14ac:dyDescent="0.25">
      <c r="A16" t="s">
        <v>215</v>
      </c>
    </row>
    <row r="17" spans="1:1" x14ac:dyDescent="0.25">
      <c r="A17" t="s">
        <v>480</v>
      </c>
    </row>
    <row r="18" spans="1:1" x14ac:dyDescent="0.25">
      <c r="A18" t="s">
        <v>672</v>
      </c>
    </row>
    <row r="19" spans="1:1" x14ac:dyDescent="0.25">
      <c r="A19" t="s">
        <v>374</v>
      </c>
    </row>
    <row r="20" spans="1:1" x14ac:dyDescent="0.25">
      <c r="A20" t="s">
        <v>143</v>
      </c>
    </row>
    <row r="21" spans="1:1" x14ac:dyDescent="0.25">
      <c r="A21" t="s">
        <v>400</v>
      </c>
    </row>
    <row r="22" spans="1:1" x14ac:dyDescent="0.25">
      <c r="A22" t="s">
        <v>89</v>
      </c>
    </row>
    <row r="23" spans="1:1" x14ac:dyDescent="0.25">
      <c r="A23" t="s">
        <v>253</v>
      </c>
    </row>
    <row r="24" spans="1:1" x14ac:dyDescent="0.25">
      <c r="A24" t="s">
        <v>46</v>
      </c>
    </row>
    <row r="25" spans="1:1" x14ac:dyDescent="0.25">
      <c r="A25" t="s">
        <v>362</v>
      </c>
    </row>
    <row r="26" spans="1:1" x14ac:dyDescent="0.25">
      <c r="A26" t="s">
        <v>427</v>
      </c>
    </row>
    <row r="27" spans="1:1" x14ac:dyDescent="0.25">
      <c r="A27" t="s">
        <v>395</v>
      </c>
    </row>
    <row r="28" spans="1:1" x14ac:dyDescent="0.25">
      <c r="A28" t="s">
        <v>173</v>
      </c>
    </row>
    <row r="29" spans="1:1" x14ac:dyDescent="0.25">
      <c r="A29" t="s">
        <v>53</v>
      </c>
    </row>
    <row r="30" spans="1:1" x14ac:dyDescent="0.25">
      <c r="A30" t="s">
        <v>503</v>
      </c>
    </row>
    <row r="31" spans="1:1" x14ac:dyDescent="0.25">
      <c r="A31" t="s">
        <v>83</v>
      </c>
    </row>
    <row r="32" spans="1:1" x14ac:dyDescent="0.25">
      <c r="A32" t="s">
        <v>242</v>
      </c>
    </row>
    <row r="33" spans="1:1" x14ac:dyDescent="0.25">
      <c r="A33" t="s">
        <v>191</v>
      </c>
    </row>
    <row r="34" spans="1:1" x14ac:dyDescent="0.25">
      <c r="A34" t="s">
        <v>495</v>
      </c>
    </row>
    <row r="35" spans="1:1" x14ac:dyDescent="0.25">
      <c r="A35" t="s">
        <v>174</v>
      </c>
    </row>
    <row r="36" spans="1:1" x14ac:dyDescent="0.25">
      <c r="A36" t="s">
        <v>418</v>
      </c>
    </row>
    <row r="37" spans="1:1" x14ac:dyDescent="0.25">
      <c r="A37" t="s">
        <v>687</v>
      </c>
    </row>
    <row r="38" spans="1:1" x14ac:dyDescent="0.25">
      <c r="A38" t="s">
        <v>188</v>
      </c>
    </row>
    <row r="39" spans="1:1" x14ac:dyDescent="0.25">
      <c r="A39" t="s">
        <v>80</v>
      </c>
    </row>
    <row r="40" spans="1:1" x14ac:dyDescent="0.25">
      <c r="A40" t="s">
        <v>697</v>
      </c>
    </row>
    <row r="41" spans="1:1" x14ac:dyDescent="0.25">
      <c r="A41" t="s">
        <v>35</v>
      </c>
    </row>
    <row r="42" spans="1:1" x14ac:dyDescent="0.25">
      <c r="A42" t="s">
        <v>623</v>
      </c>
    </row>
    <row r="43" spans="1:1" x14ac:dyDescent="0.25">
      <c r="A43" t="s">
        <v>346</v>
      </c>
    </row>
    <row r="44" spans="1:1" x14ac:dyDescent="0.25">
      <c r="A44" t="s">
        <v>378</v>
      </c>
    </row>
    <row r="45" spans="1:1" x14ac:dyDescent="0.25">
      <c r="A45" t="s">
        <v>494</v>
      </c>
    </row>
    <row r="46" spans="1:1" x14ac:dyDescent="0.25">
      <c r="A46" t="s">
        <v>365</v>
      </c>
    </row>
    <row r="47" spans="1:1" x14ac:dyDescent="0.25">
      <c r="A47" t="s">
        <v>160</v>
      </c>
    </row>
    <row r="48" spans="1:1" x14ac:dyDescent="0.25">
      <c r="A48" t="s">
        <v>511</v>
      </c>
    </row>
    <row r="49" spans="1:1" x14ac:dyDescent="0.25">
      <c r="A49" t="s">
        <v>61</v>
      </c>
    </row>
    <row r="50" spans="1:1" x14ac:dyDescent="0.25">
      <c r="A50" t="s">
        <v>135</v>
      </c>
    </row>
    <row r="51" spans="1:1" x14ac:dyDescent="0.25">
      <c r="A51" t="s">
        <v>226</v>
      </c>
    </row>
    <row r="52" spans="1:1" x14ac:dyDescent="0.25">
      <c r="A52" t="s">
        <v>496</v>
      </c>
    </row>
    <row r="53" spans="1:1" x14ac:dyDescent="0.25">
      <c r="A53" t="s">
        <v>105</v>
      </c>
    </row>
    <row r="54" spans="1:1" x14ac:dyDescent="0.25">
      <c r="A54" t="s">
        <v>472</v>
      </c>
    </row>
    <row r="55" spans="1:1" x14ac:dyDescent="0.25">
      <c r="A55" t="s">
        <v>210</v>
      </c>
    </row>
    <row r="56" spans="1:1" x14ac:dyDescent="0.25">
      <c r="A56" t="s">
        <v>97</v>
      </c>
    </row>
    <row r="57" spans="1:1" x14ac:dyDescent="0.25">
      <c r="A57" t="s">
        <v>154</v>
      </c>
    </row>
    <row r="58" spans="1:1" x14ac:dyDescent="0.25">
      <c r="A58" t="s">
        <v>156</v>
      </c>
    </row>
    <row r="59" spans="1:1" x14ac:dyDescent="0.25">
      <c r="A59" t="s">
        <v>12</v>
      </c>
    </row>
    <row r="60" spans="1:1" x14ac:dyDescent="0.25">
      <c r="A60" t="s">
        <v>506</v>
      </c>
    </row>
    <row r="61" spans="1:1" x14ac:dyDescent="0.25">
      <c r="A61" t="s">
        <v>32</v>
      </c>
    </row>
    <row r="62" spans="1:1" x14ac:dyDescent="0.25">
      <c r="A62" t="s">
        <v>59</v>
      </c>
    </row>
    <row r="63" spans="1:1" x14ac:dyDescent="0.25">
      <c r="A63" t="s">
        <v>483</v>
      </c>
    </row>
    <row r="64" spans="1:1" x14ac:dyDescent="0.25">
      <c r="A64" t="s">
        <v>473</v>
      </c>
    </row>
    <row r="65" spans="1:1" x14ac:dyDescent="0.25">
      <c r="A65" t="s">
        <v>211</v>
      </c>
    </row>
    <row r="66" spans="1:1" x14ac:dyDescent="0.25">
      <c r="A66" t="s">
        <v>111</v>
      </c>
    </row>
    <row r="67" spans="1:1" x14ac:dyDescent="0.25">
      <c r="A67" t="s">
        <v>241</v>
      </c>
    </row>
    <row r="68" spans="1:1" x14ac:dyDescent="0.25">
      <c r="A68" t="s">
        <v>40</v>
      </c>
    </row>
    <row r="69" spans="1:1" x14ac:dyDescent="0.25">
      <c r="A69" t="s">
        <v>195</v>
      </c>
    </row>
    <row r="70" spans="1:1" x14ac:dyDescent="0.25">
      <c r="A70" t="s">
        <v>513</v>
      </c>
    </row>
    <row r="71" spans="1:1" x14ac:dyDescent="0.25">
      <c r="A71" t="s">
        <v>492</v>
      </c>
    </row>
    <row r="72" spans="1:1" x14ac:dyDescent="0.25">
      <c r="A72" t="s">
        <v>470</v>
      </c>
    </row>
    <row r="73" spans="1:1" x14ac:dyDescent="0.25">
      <c r="A73" t="s">
        <v>146</v>
      </c>
    </row>
    <row r="74" spans="1:1" x14ac:dyDescent="0.25">
      <c r="A74" t="s">
        <v>314</v>
      </c>
    </row>
    <row r="75" spans="1:1" x14ac:dyDescent="0.25">
      <c r="A75" t="s">
        <v>140</v>
      </c>
    </row>
    <row r="76" spans="1:1" x14ac:dyDescent="0.25">
      <c r="A76" t="s">
        <v>151</v>
      </c>
    </row>
    <row r="77" spans="1:1" x14ac:dyDescent="0.25">
      <c r="A77" t="s">
        <v>144</v>
      </c>
    </row>
    <row r="78" spans="1:1" x14ac:dyDescent="0.25">
      <c r="A78" t="s">
        <v>611</v>
      </c>
    </row>
    <row r="79" spans="1:1" x14ac:dyDescent="0.25">
      <c r="A79" t="s">
        <v>679</v>
      </c>
    </row>
    <row r="80" spans="1:1" x14ac:dyDescent="0.25">
      <c r="A80" t="s">
        <v>380</v>
      </c>
    </row>
    <row r="81" spans="1:1" x14ac:dyDescent="0.25">
      <c r="A81" t="s">
        <v>258</v>
      </c>
    </row>
    <row r="82" spans="1:1" x14ac:dyDescent="0.25">
      <c r="A82" t="s">
        <v>86</v>
      </c>
    </row>
    <row r="83" spans="1:1" x14ac:dyDescent="0.25">
      <c r="A83" t="s">
        <v>131</v>
      </c>
    </row>
    <row r="84" spans="1:1" x14ac:dyDescent="0.25">
      <c r="A84" t="s">
        <v>243</v>
      </c>
    </row>
    <row r="85" spans="1:1" x14ac:dyDescent="0.25">
      <c r="A85" t="s">
        <v>244</v>
      </c>
    </row>
    <row r="86" spans="1:1" x14ac:dyDescent="0.25">
      <c r="A86" t="s">
        <v>500</v>
      </c>
    </row>
    <row r="87" spans="1:1" x14ac:dyDescent="0.25">
      <c r="A87" t="s">
        <v>482</v>
      </c>
    </row>
    <row r="88" spans="1:1" x14ac:dyDescent="0.25">
      <c r="A88" t="s">
        <v>391</v>
      </c>
    </row>
    <row r="89" spans="1:1" x14ac:dyDescent="0.25">
      <c r="A89" t="s">
        <v>386</v>
      </c>
    </row>
    <row r="90" spans="1:1" x14ac:dyDescent="0.25">
      <c r="A90" t="s">
        <v>217</v>
      </c>
    </row>
    <row r="91" spans="1:1" x14ac:dyDescent="0.25">
      <c r="A91" t="s">
        <v>95</v>
      </c>
    </row>
    <row r="92" spans="1:1" x14ac:dyDescent="0.25">
      <c r="A92" t="s">
        <v>44</v>
      </c>
    </row>
    <row r="93" spans="1:1" x14ac:dyDescent="0.25">
      <c r="A93" t="s">
        <v>554</v>
      </c>
    </row>
    <row r="94" spans="1:1" x14ac:dyDescent="0.25">
      <c r="A94" t="s">
        <v>193</v>
      </c>
    </row>
    <row r="95" spans="1:1" x14ac:dyDescent="0.25">
      <c r="A95" t="s">
        <v>681</v>
      </c>
    </row>
    <row r="96" spans="1:1" x14ac:dyDescent="0.25">
      <c r="A96" t="s">
        <v>475</v>
      </c>
    </row>
    <row r="97" spans="1:1" x14ac:dyDescent="0.25">
      <c r="A97" t="s">
        <v>504</v>
      </c>
    </row>
    <row r="98" spans="1:1" x14ac:dyDescent="0.25">
      <c r="A98" t="s">
        <v>505</v>
      </c>
    </row>
    <row r="99" spans="1:1" x14ac:dyDescent="0.25">
      <c r="A99" t="s">
        <v>469</v>
      </c>
    </row>
    <row r="100" spans="1:1" x14ac:dyDescent="0.25">
      <c r="A100" t="s">
        <v>88</v>
      </c>
    </row>
    <row r="101" spans="1:1" x14ac:dyDescent="0.25">
      <c r="A101" t="s">
        <v>471</v>
      </c>
    </row>
    <row r="102" spans="1:1" x14ac:dyDescent="0.25">
      <c r="A102" t="s">
        <v>87</v>
      </c>
    </row>
    <row r="103" spans="1:1" x14ac:dyDescent="0.25">
      <c r="A103" t="s">
        <v>394</v>
      </c>
    </row>
    <row r="104" spans="1:1" x14ac:dyDescent="0.25">
      <c r="A104" t="s">
        <v>493</v>
      </c>
    </row>
    <row r="105" spans="1:1" x14ac:dyDescent="0.25">
      <c r="A105" t="s">
        <v>147</v>
      </c>
    </row>
    <row r="106" spans="1:1" x14ac:dyDescent="0.25">
      <c r="A106" t="s">
        <v>90</v>
      </c>
    </row>
    <row r="107" spans="1:1" x14ac:dyDescent="0.25">
      <c r="A107" t="s">
        <v>11</v>
      </c>
    </row>
    <row r="108" spans="1:1" x14ac:dyDescent="0.25">
      <c r="A108" t="s">
        <v>54</v>
      </c>
    </row>
    <row r="109" spans="1:1" x14ac:dyDescent="0.25">
      <c r="A109" t="s">
        <v>175</v>
      </c>
    </row>
    <row r="110" spans="1:1" x14ac:dyDescent="0.25">
      <c r="A110" t="s">
        <v>737</v>
      </c>
    </row>
    <row r="111" spans="1:1" x14ac:dyDescent="0.25">
      <c r="A111" t="s">
        <v>718</v>
      </c>
    </row>
    <row r="112" spans="1:1" x14ac:dyDescent="0.25">
      <c r="A112" s="20" t="s">
        <v>746</v>
      </c>
    </row>
    <row r="113" spans="1:1" x14ac:dyDescent="0.25">
      <c r="A113" t="s">
        <v>751</v>
      </c>
    </row>
    <row r="114" spans="1:1" x14ac:dyDescent="0.25">
      <c r="A114" t="s">
        <v>755</v>
      </c>
    </row>
    <row r="115" spans="1:1" x14ac:dyDescent="0.25">
      <c r="A115" t="s">
        <v>771</v>
      </c>
    </row>
    <row r="116" spans="1:1" x14ac:dyDescent="0.25">
      <c r="A116" t="s">
        <v>762</v>
      </c>
    </row>
    <row r="117" spans="1:1" x14ac:dyDescent="0.25">
      <c r="A117" t="s">
        <v>768</v>
      </c>
    </row>
  </sheetData>
  <dataValidations count="1">
    <dataValidation type="list" allowBlank="1" showInputMessage="1" showErrorMessage="1" sqref="A5 T1 A112" xr:uid="{CA02A1E7-7F8B-4366-B3D8-3CEE4A6D4640}">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48</vt:i4>
      </vt:variant>
    </vt:vector>
  </HeadingPairs>
  <TitlesOfParts>
    <vt:vector size="60"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Configuracion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2019-03-18T23:56:55Z</dcterms:modified>
</cp:coreProperties>
</file>