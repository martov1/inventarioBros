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9D40BBB3-D63C-40FD-956A-7695A769B1EF}" xr6:coauthVersionLast="34" xr6:coauthVersionMax="34"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67" i="4"/>
  <c r="B55" i="4"/>
  <c r="B54" i="4"/>
  <c r="B53" i="4"/>
  <c r="B44" i="4"/>
  <c r="B42" i="4"/>
  <c r="B28" i="4"/>
  <c r="B26" i="4"/>
  <c r="B12" i="4"/>
  <c r="B7" i="4"/>
  <c r="B43" i="4"/>
  <c r="B32" i="4"/>
  <c r="B14" i="4"/>
  <c r="B13" i="4"/>
  <c r="B11" i="4"/>
  <c r="B8" i="4"/>
  <c r="B5" i="4"/>
  <c r="B10" i="4"/>
  <c r="B4" i="4"/>
</calcChain>
</file>

<file path=xl/sharedStrings.xml><?xml version="1.0" encoding="utf-8"?>
<sst xmlns="http://schemas.openxmlformats.org/spreadsheetml/2006/main" count="1322" uniqueCount="451">
  <si>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</si>
  <si>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</si>
  <si>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</si>
  <si>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</si>
  <si>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</si>
  <si>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</si>
  <si>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</si>
  <si>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</si>
  <si>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</si>
  <si>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</si>
  <si>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</si>
  <si>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</si>
  <si>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</si>
  <si>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</si>
  <si>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</si>
  <si>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</si>
  <si>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</si>
  <si>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</si>
  <si>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</si>
  <si>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</si>
  <si>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</si>
  <si>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</si>
  <si>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</si>
  <si>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</si>
  <si>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</si>
  <si>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</si>
  <si>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</si>
  <si>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</si>
  <si>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</si>
  <si>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</si>
  <si>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</si>
  <si>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</si>
  <si>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</si>
  <si>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</si>
  <si>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</si>
  <si>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</si>
  <si>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</si>
  <si>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</si>
  <si>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</si>
  <si>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</si>
  <si>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</si>
  <si>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</si>
  <si>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</si>
  <si>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</si>
  <si>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</si>
  <si>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</si>
  <si>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</si>
  <si>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</si>
  <si>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</si>
  <si>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</si>
  <si>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</si>
  <si>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</si>
  <si>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</si>
  <si>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</si>
  <si>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</si>
  <si>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</si>
  <si>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</si>
  <si>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</si>
  <si>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</si>
  <si>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</si>
  <si>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</si>
  <si>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</si>
  <si>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</si>
  <si>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</si>
  <si>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</si>
  <si>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</si>
  <si>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</si>
  <si>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</si>
  <si>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</si>
  <si>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</si>
  <si>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</si>
  <si>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</si>
  <si>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</si>
  <si>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</si>
  <si>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</si>
  <si>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</si>
  <si>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</si>
  <si>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</si>
  <si>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</si>
  <si>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</si>
  <si>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</si>
  <si>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</si>
  <si>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</si>
  <si>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</si>
  <si>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</si>
  <si>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</si>
  <si>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</si>
  <si>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</si>
  <si>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</si>
  <si>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</si>
  <si>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</si>
  <si>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</si>
  <si>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</si>
  <si>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</si>
  <si>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</si>
  <si>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</si>
  <si>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</si>
  <si>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</si>
  <si>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</si>
  <si>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</si>
  <si>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</si>
  <si>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</si>
  <si>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</si>
  <si>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</si>
  <si>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</si>
  <si>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</si>
  <si>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</si>
  <si>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</si>
  <si>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</si>
  <si>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</si>
  <si>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</si>
  <si>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</si>
  <si>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</si>
  <si>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</si>
  <si>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</si>
  <si>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</si>
  <si>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</si>
  <si>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</si>
  <si>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</si>
  <si>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</si>
  <si>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</si>
  <si>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</si>
  <si>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</si>
  <si>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</si>
  <si>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</si>
  <si>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</si>
  <si>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</si>
  <si>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</si>
  <si>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</si>
  <si>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</si>
  <si>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</si>
  <si>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</si>
  <si>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</si>
  <si>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</si>
  <si>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</si>
  <si>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</si>
  <si>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</si>
  <si>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</si>
  <si>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</si>
  <si>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</si>
  <si>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</si>
  <si>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</si>
  <si>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</si>
  <si>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</si>
  <si>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</si>
  <si>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</si>
  <si>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</si>
  <si>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</si>
  <si>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</si>
  <si>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</si>
  <si>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</si>
  <si>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</si>
  <si>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</si>
  <si>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</si>
  <si>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</si>
  <si>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</si>
  <si>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</si>
  <si>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</si>
  <si>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</si>
  <si>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</si>
  <si>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</si>
  <si>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</si>
  <si>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</si>
  <si>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</si>
  <si>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</si>
  <si>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</si>
  <si>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</si>
  <si>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</si>
  <si>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</si>
  <si>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</si>
  <si>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</si>
  <si>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</si>
  <si>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</si>
  <si>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</si>
  <si>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</si>
  <si>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</si>
  <si>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</si>
  <si>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</si>
  <si>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</si>
  <si>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</si>
  <si>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</si>
  <si>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</si>
  <si>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</si>
  <si>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</si>
  <si>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</si>
  <si>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</si>
  <si>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</si>
  <si>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</si>
  <si>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</si>
  <si>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</si>
  <si>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</si>
  <si>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</si>
  <si>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</si>
  <si>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</si>
  <si>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</si>
  <si>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</si>
  <si>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</si>
  <si>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</si>
  <si>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</si>
  <si>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</si>
  <si>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</si>
  <si>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</si>
  <si>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</si>
  <si>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</si>
  <si>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</si>
  <si>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</si>
  <si>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</si>
  <si>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</si>
  <si>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</si>
  <si>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</si>
  <si>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</si>
  <si>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</si>
  <si>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</si>
  <si>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</si>
  <si>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</si>
  <si>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</si>
  <si>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</si>
  <si>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</si>
  <si>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</si>
  <si>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</si>
  <si>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</si>
  <si>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</si>
  <si>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</si>
  <si>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</si>
  <si>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</si>
  <si>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</si>
  <si>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</si>
  <si>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</si>
  <si>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</si>
  <si>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</si>
  <si>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</si>
  <si>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</si>
  <si>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</si>
  <si>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</si>
  <si>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</si>
  <si>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</si>
  <si>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</si>
  <si>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</si>
  <si>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</si>
  <si>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</si>
  <si>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</si>
  <si>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</si>
  <si>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</si>
  <si>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</si>
  <si>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</si>
  <si>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</si>
  <si>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</si>
  <si>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</si>
  <si>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</si>
  <si>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</si>
  <si>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</si>
  <si>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</si>
  <si>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</si>
  <si>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</si>
  <si>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</si>
  <si>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</si>
  <si>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</si>
  <si>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</si>
  <si>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</si>
  <si>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</si>
  <si>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</si>
  <si>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</si>
  <si>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</si>
  <si>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</si>
  <si>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</si>
  <si>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</si>
  <si>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</si>
  <si>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</si>
  <si>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</si>
  <si>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</si>
  <si>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</si>
  <si>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</si>
  <si>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</si>
  <si>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</si>
  <si>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</si>
  <si>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</si>
  <si>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</si>
  <si>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</si>
  <si>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</si>
  <si>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</si>
  <si>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</si>
  <si>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</si>
  <si>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</si>
  <si>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</si>
  <si>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</si>
  <si>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</si>
  <si>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</si>
  <si>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</si>
  <si>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</si>
  <si>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</si>
  <si>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</si>
  <si>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</si>
  <si>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</si>
  <si>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</si>
  <si>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</si>
  <si>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</si>
  <si>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</si>
  <si>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</si>
  <si>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</si>
  <si>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</si>
  <si>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</si>
  <si>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</si>
  <si>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</si>
  <si>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</si>
  <si>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</si>
  <si>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</si>
  <si>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</si>
  <si>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</si>
  <si>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</si>
  <si>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</si>
  <si>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</si>
  <si>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</si>
  <si>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</si>
  <si>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</si>
  <si>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</si>
  <si>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</si>
  <si>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</si>
  <si>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</si>
  <si>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</si>
  <si>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</si>
  <si>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</si>
  <si>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</si>
  <si>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</si>
  <si>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</si>
  <si>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</si>
  <si>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</si>
  <si>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</si>
  <si>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</si>
  <si>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</si>
  <si>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</si>
  <si>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</si>
  <si>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</si>
  <si>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</si>
  <si>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</si>
  <si>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</si>
  <si>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</si>
  <si>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</si>
  <si>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</si>
  <si>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</si>
  <si>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</si>
  <si>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</si>
  <si>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</si>
  <si>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</si>
  <si>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</si>
  <si>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</si>
  <si>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</si>
  <si>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</si>
  <si>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</si>
  <si>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</si>
  <si>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</si>
  <si>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</si>
  <si>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</si>
  <si>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</si>
  <si>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</si>
  <si>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</si>
  <si>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</si>
  <si>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</si>
  <si>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</si>
  <si>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</si>
  <si>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</si>
  <si>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</si>
  <si>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</si>
  <si>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</si>
  <si>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</si>
  <si>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</si>
  <si>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</si>
  <si>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</si>
  <si>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</si>
  <si>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</si>
  <si>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</si>
  <si>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</si>
  <si>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</si>
  <si>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</si>
  <si>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</si>
  <si>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</si>
  <si>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</si>
  <si>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</si>
  <si>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</si>
  <si>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</si>
  <si>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</si>
  <si>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Sierra sable deWalt a bateria</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</si>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</sst>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71" totalsRowShown="0" headerRowDxfId="9" dataDxfId="8">
  <autoFilter ref="A1:H71" xr:uid="{00254174-483B-40DF-A806-D062C22867F7}"/>
  <sortState ref="A2:H135">
    <sortCondition ref="G2:G135"/>
    <sortCondition ref="H2:H135"/>
    <sortCondition ref="A2:A135"/>
  </sortState>
  <tableColumns count="8">
    <tableColumn id="1" xr3:uid="{5C129E02-49ED-404D-8803-23BEEE082B13}" name="Categoria" dataDxfId="7"/>
    <tableColumn id="2" xr3:uid="{08752A4C-B745-47BD-916C-8371AA823B30}" name="Descripcion" dataDxfId="6"/>
    <tableColumn id="3" xr3:uid="{D9947D9F-91DC-48F8-80F0-740777B930CC}" name="Medidas" dataDxfId="5"/>
    <tableColumn id="4" xr3:uid="{83541DD3-29AB-4FE0-9DE9-7D8BE5E78196}" name="marca" dataDxfId="4"/>
    <tableColumn id="5" xr3:uid="{9713A367-BEFE-4DF4-8B3D-E3AF8E87D8E7}" name="N/ de serie" dataDxfId="3"/>
    <tableColumn id="7" xr3:uid="{9D266E2D-E8B4-43A5-8816-E295D94D2A54}" name="cant" dataDxfId="2"/>
    <tableColumn id="6" xr3:uid="{4AF3B0F9-84DE-4653-A23E-C2CFBC721A37}" name="Cajonera" dataDxfId="1"/>
    <tableColumn id="8" xr3:uid="{255D225F-46DC-4AF1-9C5F-A6DC06571BC6}"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55" totalsRowShown="0">
  <autoFilter ref="J3:L5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2" totalsRowShown="0">
  <autoFilter ref="N3:N22"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31" dataDxfId="30">
  <autoFilter ref="A1:H16" xr:uid="{00254174-483B-40DF-A806-D062C22867F7}"/>
  <sortState ref="A2:H135">
    <sortCondition ref="G2:G135"/>
    <sortCondition ref="H2:H135"/>
    <sortCondition ref="A2:A135"/>
  </sortState>
  <tableColumns count="8">
    <tableColumn id="1" xr3:uid="{7762CF18-0359-4492-B4ED-710C2ACA3AD8}" name="Categoria" dataDxfId="29"/>
    <tableColumn id="2" xr3:uid="{982DCC3C-D12D-4640-A32E-79F71F293297}" name="Descripcion" dataDxfId="28"/>
    <tableColumn id="3" xr3:uid="{C74DD3A9-C890-46F2-B066-1E8734A70F10}" name="Medidas" dataDxfId="27"/>
    <tableColumn id="4" xr3:uid="{99E6F613-CBD2-473A-BDCE-1F04B38ED8A1}" name="marca" dataDxfId="26"/>
    <tableColumn id="5" xr3:uid="{D00DBFC2-B0D3-40E1-AACD-2CEA831C5A4A}" name="N/ de serie" dataDxfId="25"/>
    <tableColumn id="7" xr3:uid="{B766F210-A0F3-4E00-BCA4-192046AAC52E}" name="cant" dataDxfId="24"/>
    <tableColumn id="6" xr3:uid="{8D465A67-0F78-40E6-9E8A-323E2CC14EBF}" name="Cajonera" dataDxfId="23"/>
    <tableColumn id="8" xr3:uid="{3E183286-0CB5-4BAA-96D9-64884EE8C037}" name="Compartimiento"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4B761E2F-E7D0-4786-8CEF-F1092DBA932F}"/>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70" totalsRowShown="0" headerRowDxfId="11" tableBorderDxfId="10">
  <autoFilter ref="A1:A70" xr:uid="{174CB354-0B9D-4924-BB13-8A0DA131CB54}"/>
  <sortState ref="A2:A56">
    <sortCondition ref="A1:A56"/>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abSelected="1" topLeftCell="A56" workbookViewId="0">
      <selection activeCell="H71" sqref="H71"/>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t="s">
        <v>284</v>
      </c>
      <c r="B2" s="9" t="s">
        <v>285</v>
      </c>
      <c r="C2" s="8"/>
      <c r="D2" s="8"/>
      <c r="E2" s="8"/>
      <c r="F2" s="8">
        <v>3</v>
      </c>
      <c r="G2" s="8" t="s">
        <v>283</v>
      </c>
      <c r="H2" s="8">
        <v>1</v>
      </c>
    </row>
    <row r="3" spans="1:22"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2"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c r="V4" t="s">
        <v>7</v>
      </c>
    </row>
    <row r="5" spans="1:22"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c r="V5">
        <v>1</v>
      </c>
    </row>
    <row r="6" spans="1:22" x14ac:dyDescent="0.25">
      <c r="A6" s="8" t="s">
        <v>12</v>
      </c>
      <c r="B6" s="9" t="s">
        <v>293</v>
      </c>
      <c r="C6" s="8"/>
      <c r="D6" s="8" t="s">
        <v>294</v>
      </c>
      <c r="E6" s="11" t="s">
        <v>295</v>
      </c>
      <c r="F6" s="8">
        <v>1</v>
      </c>
      <c r="G6" s="8" t="s">
        <v>283</v>
      </c>
      <c r="H6" s="8">
        <v>1</v>
      </c>
      <c r="J6" t="s">
        <v>291</v>
      </c>
      <c r="K6">
        <v>1</v>
      </c>
      <c r="L6" t="s">
        <v>290</v>
      </c>
      <c r="N6" t="s">
        <v>296</v>
      </c>
      <c r="P6">
        <v>2</v>
      </c>
      <c r="Q6">
        <v>2</v>
      </c>
      <c r="T6" t="s">
        <v>437</v>
      </c>
    </row>
    <row r="7" spans="1:22"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row>
    <row r="8" spans="1:22"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row>
    <row r="9" spans="1:22" x14ac:dyDescent="0.25">
      <c r="A9" s="8" t="s">
        <v>88</v>
      </c>
      <c r="B9" s="9" t="s">
        <v>303</v>
      </c>
      <c r="C9" s="8"/>
      <c r="D9" s="8"/>
      <c r="E9" s="8"/>
      <c r="F9" s="8">
        <v>2</v>
      </c>
      <c r="G9" s="8" t="s">
        <v>283</v>
      </c>
      <c r="H9" s="8">
        <v>1</v>
      </c>
      <c r="J9" t="s">
        <v>297</v>
      </c>
      <c r="K9">
        <v>1</v>
      </c>
      <c r="L9" t="s">
        <v>296</v>
      </c>
      <c r="N9" t="s">
        <v>306</v>
      </c>
    </row>
    <row r="10" spans="1:22" ht="30"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2"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2"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c r="N12" t="s">
        <v>385</v>
      </c>
    </row>
    <row r="13" spans="1:22"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c r="N13" t="s">
        <v>381</v>
      </c>
    </row>
    <row r="14" spans="1:22" ht="90" x14ac:dyDescent="0.25">
      <c r="A14" s="8" t="s">
        <v>95</v>
      </c>
      <c r="B14" s="9" t="str">
        <f>bolso("Bolso de comando de minicojines 1",Table69[])</f>
        <v xml:space="preserve">Bolso de comando de minicojines 1 Contiene:  Comando de minicojines x1,  Reductor de presion para minicojines x1,  Mangueras de aire comprimido para minicojines x2,  Valvula de presion con manometro x2, </v>
      </c>
      <c r="C14" s="8"/>
      <c r="D14" s="8"/>
      <c r="E14" s="8"/>
      <c r="F14" s="8">
        <v>1</v>
      </c>
      <c r="G14" s="8" t="s">
        <v>9</v>
      </c>
      <c r="H14" s="8">
        <v>1</v>
      </c>
      <c r="J14" t="s">
        <v>298</v>
      </c>
      <c r="K14">
        <v>1</v>
      </c>
      <c r="L14" t="s">
        <v>301</v>
      </c>
      <c r="N14" t="s">
        <v>386</v>
      </c>
    </row>
    <row r="15" spans="1:22" ht="30" x14ac:dyDescent="0.25">
      <c r="A15" s="8" t="s">
        <v>165</v>
      </c>
      <c r="B15" s="9" t="s">
        <v>362</v>
      </c>
      <c r="C15" s="8" t="s">
        <v>364</v>
      </c>
      <c r="D15" s="8"/>
      <c r="E15" s="8"/>
      <c r="F15" s="8">
        <v>1</v>
      </c>
      <c r="G15" s="8" t="s">
        <v>9</v>
      </c>
      <c r="H15" s="8">
        <v>1</v>
      </c>
      <c r="J15" t="s">
        <v>19</v>
      </c>
      <c r="K15">
        <v>1</v>
      </c>
      <c r="L15" t="s">
        <v>304</v>
      </c>
      <c r="N15" t="s">
        <v>390</v>
      </c>
    </row>
    <row r="16" spans="1:22" ht="30" x14ac:dyDescent="0.25">
      <c r="A16" s="8" t="s">
        <v>165</v>
      </c>
      <c r="B16" s="9" t="s">
        <v>363</v>
      </c>
      <c r="C16" s="8" t="s">
        <v>365</v>
      </c>
      <c r="D16" s="8"/>
      <c r="E16" s="8"/>
      <c r="F16" s="8">
        <v>1</v>
      </c>
      <c r="G16" s="8" t="s">
        <v>9</v>
      </c>
      <c r="H16" s="8">
        <v>1</v>
      </c>
      <c r="J16" t="s">
        <v>305</v>
      </c>
      <c r="K16">
        <v>1</v>
      </c>
      <c r="L16" t="s">
        <v>304</v>
      </c>
      <c r="N16" t="s">
        <v>400</v>
      </c>
    </row>
    <row r="17" spans="1:14" ht="45" x14ac:dyDescent="0.25">
      <c r="A17" s="8" t="s">
        <v>165</v>
      </c>
      <c r="B17" s="9" t="s">
        <v>366</v>
      </c>
      <c r="C17" s="8" t="s">
        <v>367</v>
      </c>
      <c r="D17" s="8"/>
      <c r="E17" s="8"/>
      <c r="F17" s="8">
        <v>1</v>
      </c>
      <c r="G17" s="8" t="s">
        <v>9</v>
      </c>
      <c r="H17" s="8">
        <v>1</v>
      </c>
      <c r="J17" t="s">
        <v>20</v>
      </c>
      <c r="K17">
        <v>1</v>
      </c>
      <c r="L17" t="s">
        <v>304</v>
      </c>
      <c r="N17" t="s">
        <v>403</v>
      </c>
    </row>
    <row r="18" spans="1:14" ht="30" x14ac:dyDescent="0.25">
      <c r="A18" s="8" t="s">
        <v>165</v>
      </c>
      <c r="B18" s="9" t="s">
        <v>368</v>
      </c>
      <c r="C18" s="8" t="s">
        <v>369</v>
      </c>
      <c r="D18" s="8"/>
      <c r="E18" s="8"/>
      <c r="F18" s="8">
        <v>1</v>
      </c>
      <c r="G18" s="8" t="s">
        <v>9</v>
      </c>
      <c r="H18" s="8">
        <v>1</v>
      </c>
      <c r="J18" t="s">
        <v>19</v>
      </c>
      <c r="K18">
        <v>1</v>
      </c>
      <c r="L18" t="s">
        <v>306</v>
      </c>
      <c r="N18" t="s">
        <v>405</v>
      </c>
    </row>
    <row r="19" spans="1:14" ht="30" x14ac:dyDescent="0.25">
      <c r="A19" s="8" t="s">
        <v>165</v>
      </c>
      <c r="B19" s="9" t="s">
        <v>370</v>
      </c>
      <c r="C19" s="8" t="s">
        <v>371</v>
      </c>
      <c r="D19" s="8"/>
      <c r="E19" s="8"/>
      <c r="F19" s="8">
        <v>1</v>
      </c>
      <c r="G19" s="8" t="s">
        <v>9</v>
      </c>
      <c r="H19" s="8">
        <v>1</v>
      </c>
      <c r="J19" t="s">
        <v>20</v>
      </c>
      <c r="K19">
        <v>1</v>
      </c>
      <c r="L19" t="s">
        <v>306</v>
      </c>
      <c r="N19" t="s">
        <v>422</v>
      </c>
    </row>
    <row r="20" spans="1:14" ht="45" x14ac:dyDescent="0.25">
      <c r="A20" s="8" t="s">
        <v>165</v>
      </c>
      <c r="B20" s="9" t="s">
        <v>372</v>
      </c>
      <c r="C20" s="8" t="s">
        <v>373</v>
      </c>
      <c r="D20" s="8"/>
      <c r="E20" s="8"/>
      <c r="F20" s="8">
        <v>1</v>
      </c>
      <c r="G20" s="8" t="s">
        <v>9</v>
      </c>
      <c r="H20" s="8">
        <v>1</v>
      </c>
      <c r="J20" t="s">
        <v>308</v>
      </c>
      <c r="K20">
        <v>1</v>
      </c>
      <c r="L20" t="s">
        <v>307</v>
      </c>
      <c r="N20" t="s">
        <v>423</v>
      </c>
    </row>
    <row r="21" spans="1:14" ht="30" x14ac:dyDescent="0.25">
      <c r="A21" s="8" t="s">
        <v>165</v>
      </c>
      <c r="B21" s="9" t="s">
        <v>374</v>
      </c>
      <c r="C21" s="8"/>
      <c r="D21" s="8"/>
      <c r="E21" s="8"/>
      <c r="F21" s="8">
        <v>1</v>
      </c>
      <c r="G21" s="8" t="s">
        <v>9</v>
      </c>
      <c r="H21" s="8">
        <v>2</v>
      </c>
      <c r="J21" t="s">
        <v>309</v>
      </c>
      <c r="K21">
        <v>1</v>
      </c>
      <c r="L21" t="s">
        <v>307</v>
      </c>
      <c r="N21" t="s">
        <v>425</v>
      </c>
    </row>
    <row r="22" spans="1:14" ht="30" x14ac:dyDescent="0.25">
      <c r="A22" s="8" t="s">
        <v>165</v>
      </c>
      <c r="B22" s="9" t="s">
        <v>375</v>
      </c>
      <c r="C22" s="8"/>
      <c r="D22" s="8"/>
      <c r="E22" s="8"/>
      <c r="F22" s="8">
        <v>1</v>
      </c>
      <c r="G22" s="8" t="s">
        <v>9</v>
      </c>
      <c r="H22" s="8">
        <v>2</v>
      </c>
      <c r="J22" t="s">
        <v>310</v>
      </c>
      <c r="K22">
        <v>1</v>
      </c>
      <c r="L22" t="s">
        <v>307</v>
      </c>
      <c r="N22" t="s">
        <v>440</v>
      </c>
    </row>
    <row r="23" spans="1:14" x14ac:dyDescent="0.25">
      <c r="A23" s="8" t="s">
        <v>165</v>
      </c>
      <c r="B23" s="9" t="s">
        <v>376</v>
      </c>
      <c r="C23" s="8" t="s">
        <v>377</v>
      </c>
      <c r="D23" s="8"/>
      <c r="E23" s="8"/>
      <c r="F23" s="8">
        <v>1</v>
      </c>
      <c r="G23" s="8" t="s">
        <v>9</v>
      </c>
      <c r="H23" s="8">
        <v>1</v>
      </c>
      <c r="J23" t="s">
        <v>311</v>
      </c>
      <c r="K23">
        <v>1</v>
      </c>
      <c r="L23" t="s">
        <v>307</v>
      </c>
    </row>
    <row r="24" spans="1:14" x14ac:dyDescent="0.25">
      <c r="A24" s="8" t="s">
        <v>378</v>
      </c>
      <c r="B24" s="9" t="s">
        <v>379</v>
      </c>
      <c r="C24" s="8"/>
      <c r="D24" s="8"/>
      <c r="E24" s="8"/>
      <c r="F24" s="8">
        <v>4</v>
      </c>
      <c r="G24" s="8" t="s">
        <v>10</v>
      </c>
      <c r="H24" s="8">
        <v>1</v>
      </c>
      <c r="J24" t="s">
        <v>313</v>
      </c>
      <c r="K24">
        <v>1</v>
      </c>
      <c r="L24" t="s">
        <v>312</v>
      </c>
    </row>
    <row r="25" spans="1:14" x14ac:dyDescent="0.25">
      <c r="A25" s="8" t="s">
        <v>12</v>
      </c>
      <c r="B25" s="9" t="s">
        <v>380</v>
      </c>
      <c r="C25" s="8"/>
      <c r="D25" s="8"/>
      <c r="E25" s="8"/>
      <c r="F25" s="8">
        <v>1</v>
      </c>
      <c r="G25" s="8" t="s">
        <v>10</v>
      </c>
      <c r="H25" s="8">
        <v>1</v>
      </c>
      <c r="J25" t="s">
        <v>314</v>
      </c>
      <c r="K25">
        <v>1</v>
      </c>
      <c r="L25" t="s">
        <v>312</v>
      </c>
    </row>
    <row r="26" spans="1:14" ht="45" x14ac:dyDescent="0.25">
      <c r="A26" s="8" t="s">
        <v>95</v>
      </c>
      <c r="B26" s="9" t="str">
        <f>bolso("Bolso de corta vidrios",Table69[])</f>
        <v xml:space="preserve">Bolso de corta vidrios Contiene:  Corta vidrios holmatro x1,  Corta cinturones x2, </v>
      </c>
      <c r="C26" s="8"/>
      <c r="D26" s="8"/>
      <c r="E26" s="8"/>
      <c r="F26" s="8">
        <v>1</v>
      </c>
      <c r="G26" s="8" t="s">
        <v>10</v>
      </c>
      <c r="H26" s="8">
        <v>1</v>
      </c>
      <c r="J26" t="s">
        <v>315</v>
      </c>
      <c r="K26">
        <v>2</v>
      </c>
      <c r="L26" t="s">
        <v>312</v>
      </c>
    </row>
    <row r="27" spans="1:14" x14ac:dyDescent="0.25">
      <c r="A27" s="8" t="s">
        <v>284</v>
      </c>
      <c r="B27" s="9" t="s">
        <v>384</v>
      </c>
      <c r="C27" s="8"/>
      <c r="D27" s="8"/>
      <c r="E27" s="8"/>
      <c r="F27" s="8">
        <v>1</v>
      </c>
      <c r="G27" s="8" t="s">
        <v>10</v>
      </c>
      <c r="H27" s="8">
        <v>1</v>
      </c>
      <c r="J27" t="s">
        <v>316</v>
      </c>
      <c r="K27">
        <v>1</v>
      </c>
      <c r="L27" t="s">
        <v>312</v>
      </c>
    </row>
    <row r="28" spans="1:14" ht="60" x14ac:dyDescent="0.25">
      <c r="A28" s="8" t="s">
        <v>95</v>
      </c>
      <c r="B28" s="9" t="str">
        <f>bolso("Bolso de comando de minicojines 2",Table69[])</f>
        <v xml:space="preserve">Bolso de comando de minicojines 2 Contiene:  Comando de minicojines x1,  Reductor de presion para minicojines x1, </v>
      </c>
      <c r="C28" s="8"/>
      <c r="D28" s="8"/>
      <c r="E28" s="8"/>
      <c r="F28" s="8">
        <v>1</v>
      </c>
      <c r="G28" s="8" t="s">
        <v>10</v>
      </c>
      <c r="H28" s="8">
        <v>1</v>
      </c>
      <c r="J28" t="s">
        <v>317</v>
      </c>
      <c r="K28">
        <v>5</v>
      </c>
      <c r="L28" t="s">
        <v>312</v>
      </c>
    </row>
    <row r="29" spans="1:14" x14ac:dyDescent="0.25">
      <c r="A29" s="8" t="s">
        <v>267</v>
      </c>
      <c r="B29" s="9"/>
      <c r="C29" s="8"/>
      <c r="D29" s="8" t="s">
        <v>387</v>
      </c>
      <c r="E29" s="8"/>
      <c r="F29" s="8">
        <v>2</v>
      </c>
      <c r="G29" s="8" t="s">
        <v>10</v>
      </c>
      <c r="H29" s="8">
        <v>1</v>
      </c>
      <c r="J29" t="s">
        <v>318</v>
      </c>
      <c r="K29">
        <v>2</v>
      </c>
      <c r="L29" t="s">
        <v>312</v>
      </c>
    </row>
    <row r="30" spans="1:14" ht="30" x14ac:dyDescent="0.25">
      <c r="A30" s="8" t="s">
        <v>95</v>
      </c>
      <c r="B30" s="9" t="s">
        <v>388</v>
      </c>
      <c r="C30" s="8"/>
      <c r="D30" s="8"/>
      <c r="E30" s="8"/>
      <c r="F30" s="8">
        <v>1</v>
      </c>
      <c r="G30" s="8" t="s">
        <v>10</v>
      </c>
      <c r="H30" s="8">
        <v>1</v>
      </c>
      <c r="J30" t="s">
        <v>319</v>
      </c>
      <c r="K30">
        <v>1</v>
      </c>
      <c r="L30" t="s">
        <v>312</v>
      </c>
    </row>
    <row r="31" spans="1:14" x14ac:dyDescent="0.25">
      <c r="A31" s="8" t="s">
        <v>267</v>
      </c>
      <c r="B31" s="9"/>
      <c r="C31" s="8"/>
      <c r="D31" s="8" t="s">
        <v>389</v>
      </c>
      <c r="E31" s="8"/>
      <c r="F31" s="8">
        <v>2</v>
      </c>
      <c r="G31" s="8" t="s">
        <v>10</v>
      </c>
      <c r="H31" s="8">
        <v>1</v>
      </c>
      <c r="J31" t="s">
        <v>358</v>
      </c>
      <c r="K31">
        <v>1</v>
      </c>
      <c r="L31" t="s">
        <v>385</v>
      </c>
    </row>
    <row r="32" spans="1:14" ht="60" x14ac:dyDescent="0.25">
      <c r="A32" s="8" t="s">
        <v>95</v>
      </c>
      <c r="B32" s="9" t="str">
        <f>bolso("Caja de cubre parantes",Table69[])</f>
        <v xml:space="preserve">Caja de cubre parantes Contiene:  Cubre parantes chico x6,  Cubre parantes grande x6, </v>
      </c>
      <c r="C32" s="8"/>
      <c r="D32" s="8" t="s">
        <v>387</v>
      </c>
      <c r="E32" s="8"/>
      <c r="F32" s="8">
        <v>1</v>
      </c>
      <c r="G32" s="8" t="s">
        <v>10</v>
      </c>
      <c r="H32" s="8">
        <v>1</v>
      </c>
      <c r="J32" t="s">
        <v>359</v>
      </c>
      <c r="K32">
        <v>1</v>
      </c>
      <c r="L32" t="s">
        <v>385</v>
      </c>
    </row>
    <row r="33" spans="1:12" x14ac:dyDescent="0.25">
      <c r="A33" s="8" t="s">
        <v>107</v>
      </c>
      <c r="B33" s="9" t="s">
        <v>393</v>
      </c>
      <c r="C33" s="8"/>
      <c r="D33" s="8" t="s">
        <v>387</v>
      </c>
      <c r="E33" s="8"/>
      <c r="F33" s="8">
        <v>3</v>
      </c>
      <c r="G33" s="8" t="s">
        <v>10</v>
      </c>
      <c r="H33" s="8">
        <v>1</v>
      </c>
      <c r="J33" t="s">
        <v>360</v>
      </c>
      <c r="K33">
        <v>2</v>
      </c>
      <c r="L33" t="s">
        <v>385</v>
      </c>
    </row>
    <row r="34" spans="1:12" x14ac:dyDescent="0.25">
      <c r="A34" s="8" t="s">
        <v>267</v>
      </c>
      <c r="B34" s="9"/>
      <c r="C34" s="8"/>
      <c r="D34" s="8"/>
      <c r="E34" s="8"/>
      <c r="F34" s="8">
        <v>1</v>
      </c>
      <c r="G34" s="8" t="s">
        <v>10</v>
      </c>
      <c r="H34" s="8">
        <v>1</v>
      </c>
      <c r="J34" t="s">
        <v>361</v>
      </c>
      <c r="K34">
        <v>2</v>
      </c>
      <c r="L34" t="s">
        <v>385</v>
      </c>
    </row>
    <row r="35" spans="1:12" x14ac:dyDescent="0.25">
      <c r="A35" s="8" t="s">
        <v>102</v>
      </c>
      <c r="B35" s="9" t="s">
        <v>397</v>
      </c>
      <c r="C35" s="8"/>
      <c r="D35" s="8" t="s">
        <v>387</v>
      </c>
      <c r="E35" s="8" t="s">
        <v>394</v>
      </c>
      <c r="F35" s="8">
        <v>1</v>
      </c>
      <c r="G35" s="8" t="s">
        <v>10</v>
      </c>
      <c r="H35" s="8">
        <v>1</v>
      </c>
      <c r="J35" t="s">
        <v>382</v>
      </c>
      <c r="K35">
        <v>1</v>
      </c>
      <c r="L35" t="s">
        <v>381</v>
      </c>
    </row>
    <row r="36" spans="1:12" x14ac:dyDescent="0.25">
      <c r="A36" s="8" t="s">
        <v>395</v>
      </c>
      <c r="B36" s="9" t="s">
        <v>396</v>
      </c>
      <c r="C36" s="8"/>
      <c r="D36" s="8" t="s">
        <v>387</v>
      </c>
      <c r="E36" s="8">
        <v>58115</v>
      </c>
      <c r="F36" s="8">
        <v>1</v>
      </c>
      <c r="G36" s="8" t="s">
        <v>10</v>
      </c>
      <c r="H36" s="8">
        <v>1</v>
      </c>
      <c r="J36" t="s">
        <v>383</v>
      </c>
      <c r="K36">
        <v>2</v>
      </c>
      <c r="L36" t="s">
        <v>381</v>
      </c>
    </row>
    <row r="37" spans="1:12" x14ac:dyDescent="0.25">
      <c r="A37" s="8" t="s">
        <v>398</v>
      </c>
      <c r="B37" s="9" t="s">
        <v>396</v>
      </c>
      <c r="C37" s="8"/>
      <c r="D37" s="8" t="s">
        <v>387</v>
      </c>
      <c r="E37" s="8">
        <v>57523</v>
      </c>
      <c r="F37" s="8">
        <v>1</v>
      </c>
      <c r="G37" s="8" t="s">
        <v>10</v>
      </c>
      <c r="H37" s="8">
        <v>1</v>
      </c>
      <c r="J37" t="s">
        <v>358</v>
      </c>
      <c r="K37">
        <v>1</v>
      </c>
      <c r="L37" t="s">
        <v>386</v>
      </c>
    </row>
    <row r="38" spans="1:12" x14ac:dyDescent="0.25">
      <c r="A38" s="8" t="s">
        <v>84</v>
      </c>
      <c r="B38" s="9" t="s">
        <v>396</v>
      </c>
      <c r="C38" s="8"/>
      <c r="D38" s="8" t="s">
        <v>387</v>
      </c>
      <c r="E38" s="8">
        <v>114947</v>
      </c>
      <c r="F38" s="8">
        <v>1</v>
      </c>
      <c r="G38" s="8" t="s">
        <v>10</v>
      </c>
      <c r="H38" s="8">
        <v>1</v>
      </c>
      <c r="J38" t="s">
        <v>359</v>
      </c>
      <c r="K38">
        <v>1</v>
      </c>
      <c r="L38" t="s">
        <v>386</v>
      </c>
    </row>
    <row r="39" spans="1:12" ht="30" x14ac:dyDescent="0.25">
      <c r="A39" s="8" t="s">
        <v>81</v>
      </c>
      <c r="B39" s="9" t="s">
        <v>399</v>
      </c>
      <c r="C39" s="8"/>
      <c r="D39" s="8" t="s">
        <v>387</v>
      </c>
      <c r="E39" s="8">
        <v>122054</v>
      </c>
      <c r="F39" s="8">
        <v>1</v>
      </c>
      <c r="G39" s="8" t="s">
        <v>10</v>
      </c>
      <c r="H39" s="8">
        <v>1</v>
      </c>
      <c r="J39" t="s">
        <v>391</v>
      </c>
      <c r="K39">
        <v>6</v>
      </c>
      <c r="L39" t="s">
        <v>390</v>
      </c>
    </row>
    <row r="40" spans="1:12" x14ac:dyDescent="0.25">
      <c r="A40" s="8" t="s">
        <v>102</v>
      </c>
      <c r="B40" s="9" t="s">
        <v>396</v>
      </c>
      <c r="C40" s="8"/>
      <c r="D40" s="8" t="s">
        <v>387</v>
      </c>
      <c r="E40" s="8">
        <v>54864</v>
      </c>
      <c r="F40" s="8">
        <v>1</v>
      </c>
      <c r="G40" s="8" t="s">
        <v>10</v>
      </c>
      <c r="H40" s="8">
        <v>1</v>
      </c>
      <c r="J40" t="s">
        <v>392</v>
      </c>
      <c r="K40">
        <v>6</v>
      </c>
      <c r="L40" t="s">
        <v>390</v>
      </c>
    </row>
    <row r="41" spans="1:12" x14ac:dyDescent="0.25">
      <c r="A41" s="8" t="s">
        <v>102</v>
      </c>
      <c r="B41" s="9" t="s">
        <v>396</v>
      </c>
      <c r="C41" s="8"/>
      <c r="D41" s="8" t="s">
        <v>387</v>
      </c>
      <c r="E41" s="8">
        <v>88310</v>
      </c>
      <c r="F41" s="8">
        <v>1</v>
      </c>
      <c r="G41" s="8" t="s">
        <v>10</v>
      </c>
      <c r="H41" s="8">
        <v>1</v>
      </c>
      <c r="J41" t="s">
        <v>401</v>
      </c>
      <c r="K41">
        <v>4</v>
      </c>
      <c r="L41" t="s">
        <v>400</v>
      </c>
    </row>
    <row r="42" spans="1:12" ht="45" x14ac:dyDescent="0.25">
      <c r="A42" s="8" t="s">
        <v>95</v>
      </c>
      <c r="B42" s="9" t="str">
        <f>bolso("Caja de seguridad en la escena",Table69[])</f>
        <v xml:space="preserve">Caja de seguridad en la escena Contiene:  lampara vial marca signalite x4,  Lampara vial marca tildawn x1, </v>
      </c>
      <c r="C42" s="8"/>
      <c r="D42" s="8"/>
      <c r="E42" s="8"/>
      <c r="F42" s="8">
        <v>1</v>
      </c>
      <c r="G42" s="8" t="s">
        <v>10</v>
      </c>
      <c r="H42" s="8">
        <v>1</v>
      </c>
      <c r="J42" t="s">
        <v>402</v>
      </c>
      <c r="K42">
        <v>1</v>
      </c>
      <c r="L42" t="s">
        <v>400</v>
      </c>
    </row>
    <row r="43" spans="1:12" ht="30" x14ac:dyDescent="0.25">
      <c r="A43" s="8" t="s">
        <v>95</v>
      </c>
      <c r="B43" s="9" t="str">
        <f>bolso("Cajon de tacos 1",Table69[])</f>
        <v xml:space="preserve">Cajon de tacos 1 Contiene:  Tacos varios de madera x12, </v>
      </c>
      <c r="C43" s="8"/>
      <c r="D43" s="8"/>
      <c r="E43" s="8"/>
      <c r="F43" s="8">
        <v>1</v>
      </c>
      <c r="G43" s="8" t="s">
        <v>10</v>
      </c>
      <c r="H43" s="8">
        <v>1</v>
      </c>
      <c r="J43" t="s">
        <v>404</v>
      </c>
      <c r="K43">
        <v>12</v>
      </c>
      <c r="L43" t="s">
        <v>403</v>
      </c>
    </row>
    <row r="44" spans="1:12" ht="45" x14ac:dyDescent="0.25">
      <c r="A44" s="8" t="s">
        <v>95</v>
      </c>
      <c r="B44" s="9" t="str">
        <f>bolso("Cajon de tacos 2",Table69[])</f>
        <v xml:space="preserve">Cajon de tacos 2 Contiene:  Cuña plastica x11,  Taco plastico fino x5,  Taco plastico ancho x6, </v>
      </c>
      <c r="C44" s="8"/>
      <c r="D44" s="8"/>
      <c r="E44" s="8"/>
      <c r="F44" s="8">
        <v>1</v>
      </c>
      <c r="G44" s="8" t="s">
        <v>10</v>
      </c>
      <c r="H44" s="8">
        <v>1</v>
      </c>
      <c r="J44" t="s">
        <v>406</v>
      </c>
      <c r="K44">
        <v>11</v>
      </c>
      <c r="L44" t="s">
        <v>405</v>
      </c>
    </row>
    <row r="45" spans="1:12" x14ac:dyDescent="0.25">
      <c r="A45" s="8" t="s">
        <v>410</v>
      </c>
      <c r="B45" s="9" t="s">
        <v>411</v>
      </c>
      <c r="C45" s="8"/>
      <c r="D45" s="8"/>
      <c r="E45" s="8"/>
      <c r="F45" s="8">
        <v>4</v>
      </c>
      <c r="G45" s="8" t="s">
        <v>8</v>
      </c>
      <c r="H45" s="8">
        <v>1</v>
      </c>
      <c r="J45" t="s">
        <v>407</v>
      </c>
      <c r="K45">
        <v>5</v>
      </c>
      <c r="L45" t="s">
        <v>405</v>
      </c>
    </row>
    <row r="46" spans="1:12" x14ac:dyDescent="0.25">
      <c r="A46" s="8" t="s">
        <v>410</v>
      </c>
      <c r="B46" s="9" t="s">
        <v>412</v>
      </c>
      <c r="C46" s="8"/>
      <c r="D46" s="8"/>
      <c r="E46" s="8"/>
      <c r="F46" s="8">
        <v>1</v>
      </c>
      <c r="G46" s="8" t="s">
        <v>8</v>
      </c>
      <c r="H46" s="8">
        <v>1</v>
      </c>
      <c r="J46" t="s">
        <v>408</v>
      </c>
      <c r="K46">
        <v>6</v>
      </c>
      <c r="L46" t="s">
        <v>405</v>
      </c>
    </row>
    <row r="47" spans="1:12" x14ac:dyDescent="0.25">
      <c r="A47" s="8" t="s">
        <v>413</v>
      </c>
      <c r="B47" s="9" t="s">
        <v>414</v>
      </c>
      <c r="C47" s="8"/>
      <c r="D47" s="8"/>
      <c r="E47" s="8"/>
      <c r="F47" s="8">
        <v>7</v>
      </c>
      <c r="G47" s="8" t="s">
        <v>8</v>
      </c>
      <c r="H47" s="8">
        <v>1</v>
      </c>
      <c r="J47" t="s">
        <v>418</v>
      </c>
      <c r="K47">
        <v>8</v>
      </c>
      <c r="L47" t="s">
        <v>422</v>
      </c>
    </row>
    <row r="48" spans="1:12" x14ac:dyDescent="0.25">
      <c r="A48" s="8" t="s">
        <v>53</v>
      </c>
      <c r="B48" s="9" t="s">
        <v>262</v>
      </c>
      <c r="C48" s="8"/>
      <c r="D48" s="8"/>
      <c r="E48" s="8"/>
      <c r="F48" s="8">
        <v>8</v>
      </c>
      <c r="G48" s="8" t="s">
        <v>8</v>
      </c>
      <c r="H48" s="8">
        <v>2</v>
      </c>
      <c r="J48" t="s">
        <v>419</v>
      </c>
      <c r="K48">
        <v>3</v>
      </c>
      <c r="L48" t="s">
        <v>422</v>
      </c>
    </row>
    <row r="49" spans="1:12" x14ac:dyDescent="0.25">
      <c r="A49" s="8" t="s">
        <v>168</v>
      </c>
      <c r="B49" s="9" t="s">
        <v>169</v>
      </c>
      <c r="C49" s="8"/>
      <c r="D49" s="8"/>
      <c r="E49" s="8"/>
      <c r="F49" s="8">
        <v>1</v>
      </c>
      <c r="G49" s="8" t="s">
        <v>8</v>
      </c>
      <c r="H49" s="8">
        <v>1</v>
      </c>
      <c r="J49" t="s">
        <v>419</v>
      </c>
      <c r="K49">
        <v>1</v>
      </c>
      <c r="L49" t="s">
        <v>423</v>
      </c>
    </row>
    <row r="50" spans="1:12" x14ac:dyDescent="0.25">
      <c r="A50" s="8" t="s">
        <v>416</v>
      </c>
      <c r="B50" s="9" t="s">
        <v>417</v>
      </c>
      <c r="C50" s="8"/>
      <c r="D50" s="8"/>
      <c r="E50" s="8">
        <v>10023961</v>
      </c>
      <c r="F50" s="8">
        <v>1</v>
      </c>
      <c r="G50" s="8" t="s">
        <v>8</v>
      </c>
      <c r="H50" s="8">
        <v>2</v>
      </c>
      <c r="J50" t="s">
        <v>424</v>
      </c>
      <c r="K50">
        <v>3</v>
      </c>
      <c r="L50" t="s">
        <v>423</v>
      </c>
    </row>
    <row r="51" spans="1:12" x14ac:dyDescent="0.25">
      <c r="A51" t="s">
        <v>93</v>
      </c>
      <c r="B51" s="9" t="s">
        <v>420</v>
      </c>
      <c r="C51" s="8"/>
      <c r="D51" s="8"/>
      <c r="E51" s="8"/>
      <c r="F51" s="8">
        <v>2</v>
      </c>
      <c r="G51" s="8" t="s">
        <v>8</v>
      </c>
      <c r="H51" s="8">
        <v>3</v>
      </c>
      <c r="J51" t="s">
        <v>418</v>
      </c>
      <c r="K51">
        <v>2</v>
      </c>
      <c r="L51" t="s">
        <v>423</v>
      </c>
    </row>
    <row r="52" spans="1:12" x14ac:dyDescent="0.25">
      <c r="A52" t="s">
        <v>421</v>
      </c>
      <c r="B52" s="9"/>
      <c r="C52" s="8"/>
      <c r="D52" s="8"/>
      <c r="E52" s="8"/>
      <c r="F52" s="8">
        <v>4</v>
      </c>
      <c r="G52" s="8" t="s">
        <v>8</v>
      </c>
      <c r="H52" s="8">
        <v>3</v>
      </c>
      <c r="J52" t="s">
        <v>419</v>
      </c>
      <c r="K52">
        <v>1</v>
      </c>
      <c r="L52" t="s">
        <v>425</v>
      </c>
    </row>
    <row r="53" spans="1:12" ht="45" x14ac:dyDescent="0.25">
      <c r="A53" s="8" t="s">
        <v>95</v>
      </c>
      <c r="B53" s="9" t="str">
        <f>bolso("Cajon de hazmat 1",Table69[] )</f>
        <v xml:space="preserve">Cajon de hazmat 1 Contiene:  Traje de aproximacion clase "C" x8,  Traje de aproximacion clase "A" x3, </v>
      </c>
      <c r="C53" s="8"/>
      <c r="D53" s="8"/>
      <c r="E53" s="8"/>
      <c r="F53" s="8">
        <v>1</v>
      </c>
      <c r="G53" s="8" t="s">
        <v>8</v>
      </c>
      <c r="H53" s="8">
        <v>3</v>
      </c>
      <c r="J53" t="s">
        <v>441</v>
      </c>
      <c r="K53">
        <v>9</v>
      </c>
      <c r="L53" t="s">
        <v>440</v>
      </c>
    </row>
    <row r="54" spans="1:12" ht="45" x14ac:dyDescent="0.25">
      <c r="A54" s="8" t="s">
        <v>95</v>
      </c>
      <c r="B54" s="9" t="str">
        <f>bolso("Cajon de hazmat 2",Table69[] )</f>
        <v xml:space="preserve">Cajon de hazmat 2 Contiene:  Traje de aproximacion clase "A" x1,  Bolsa para cadaveres x3,  Traje de aproximacion clase "C" x2, </v>
      </c>
      <c r="C54" s="8"/>
      <c r="D54" s="8"/>
      <c r="E54" s="8"/>
      <c r="F54" s="8">
        <v>1</v>
      </c>
      <c r="G54" s="8" t="s">
        <v>8</v>
      </c>
      <c r="H54" s="8">
        <v>3</v>
      </c>
      <c r="J54" t="s">
        <v>442</v>
      </c>
      <c r="K54">
        <v>4</v>
      </c>
      <c r="L54" t="s">
        <v>440</v>
      </c>
    </row>
    <row r="55" spans="1:12" ht="60" x14ac:dyDescent="0.25">
      <c r="A55" s="8" t="s">
        <v>95</v>
      </c>
      <c r="B55" s="9" t="str">
        <f>bolso("Cajon de hazmat 3",Table69[] )</f>
        <v xml:space="preserve">Cajon de hazmat 3 Contiene:  Traje de aproximacion clase "A" x1, </v>
      </c>
      <c r="C55" s="8"/>
      <c r="D55" s="8"/>
      <c r="E55" s="8"/>
      <c r="F55" s="8">
        <v>1</v>
      </c>
      <c r="G55" s="8" t="s">
        <v>8</v>
      </c>
      <c r="H55" s="8">
        <v>3</v>
      </c>
      <c r="J55" t="s">
        <v>443</v>
      </c>
      <c r="K55">
        <v>5</v>
      </c>
      <c r="L55" t="s">
        <v>440</v>
      </c>
    </row>
    <row r="56" spans="1:12" x14ac:dyDescent="0.25">
      <c r="A56" s="8" t="s">
        <v>123</v>
      </c>
      <c r="B56" s="9"/>
      <c r="C56" s="8" t="s">
        <v>426</v>
      </c>
      <c r="D56" s="8"/>
      <c r="E56" s="8"/>
      <c r="F56" s="8">
        <v>1</v>
      </c>
      <c r="G56" s="8" t="s">
        <v>8</v>
      </c>
      <c r="H56" s="8">
        <v>1</v>
      </c>
    </row>
    <row r="57" spans="1:12" x14ac:dyDescent="0.25">
      <c r="A57" s="8" t="s">
        <v>428</v>
      </c>
      <c r="B57" s="9" t="s">
        <v>429</v>
      </c>
      <c r="C57" s="8"/>
      <c r="D57" s="8"/>
      <c r="E57" s="8"/>
      <c r="F57" s="8">
        <v>1</v>
      </c>
      <c r="G57" s="8" t="s">
        <v>8</v>
      </c>
      <c r="H57" s="8">
        <v>3</v>
      </c>
    </row>
    <row r="58" spans="1:12" x14ac:dyDescent="0.25">
      <c r="A58" s="8" t="s">
        <v>428</v>
      </c>
      <c r="B58" s="9"/>
      <c r="C58" s="8"/>
      <c r="D58" s="8"/>
      <c r="E58" s="8"/>
      <c r="F58" s="8">
        <v>2</v>
      </c>
      <c r="G58" s="8" t="s">
        <v>8</v>
      </c>
      <c r="H58" s="8">
        <v>3</v>
      </c>
    </row>
    <row r="59" spans="1:12" x14ac:dyDescent="0.25">
      <c r="A59" s="8" t="s">
        <v>430</v>
      </c>
      <c r="B59" s="9"/>
      <c r="C59" s="8"/>
      <c r="D59" s="8"/>
      <c r="E59" s="8"/>
      <c r="F59" s="8">
        <v>1</v>
      </c>
      <c r="G59" s="8" t="s">
        <v>8</v>
      </c>
      <c r="H59" s="8">
        <v>2</v>
      </c>
    </row>
    <row r="60" spans="1:12" x14ac:dyDescent="0.25">
      <c r="A60" s="8" t="s">
        <v>234</v>
      </c>
      <c r="B60" s="9"/>
      <c r="C60" s="8"/>
      <c r="D60" s="8"/>
      <c r="E60" s="8"/>
      <c r="F60" s="8">
        <v>1</v>
      </c>
      <c r="G60" s="8" t="s">
        <v>7</v>
      </c>
      <c r="H60" s="8">
        <v>1</v>
      </c>
    </row>
    <row r="61" spans="1:12" x14ac:dyDescent="0.25">
      <c r="A61" s="8" t="s">
        <v>431</v>
      </c>
      <c r="B61" s="9"/>
      <c r="C61" s="8" t="s">
        <v>432</v>
      </c>
      <c r="D61" s="8"/>
      <c r="E61" s="8"/>
      <c r="F61" s="8">
        <v>1</v>
      </c>
      <c r="G61" s="8" t="s">
        <v>7</v>
      </c>
      <c r="H61" s="8">
        <v>1</v>
      </c>
    </row>
    <row r="62" spans="1:12" x14ac:dyDescent="0.25">
      <c r="A62" s="8" t="s">
        <v>431</v>
      </c>
      <c r="B62" s="9"/>
      <c r="C62" s="8" t="s">
        <v>433</v>
      </c>
      <c r="D62" s="8"/>
      <c r="E62" s="8"/>
      <c r="F62" s="8">
        <v>1</v>
      </c>
      <c r="G62" s="8" t="s">
        <v>7</v>
      </c>
      <c r="H62" s="8">
        <v>1</v>
      </c>
    </row>
    <row r="63" spans="1:12" x14ac:dyDescent="0.25">
      <c r="A63" s="8" t="s">
        <v>284</v>
      </c>
      <c r="B63" s="9" t="s">
        <v>434</v>
      </c>
      <c r="C63" s="8"/>
      <c r="D63" s="8"/>
      <c r="E63" s="8"/>
      <c r="F63" s="8">
        <v>1</v>
      </c>
      <c r="G63" s="8" t="s">
        <v>7</v>
      </c>
      <c r="H63" s="8">
        <v>1</v>
      </c>
    </row>
    <row r="64" spans="1:12" x14ac:dyDescent="0.25">
      <c r="A64" s="8" t="s">
        <v>208</v>
      </c>
      <c r="B64" s="9" t="s">
        <v>435</v>
      </c>
      <c r="C64" s="8"/>
      <c r="D64" s="8"/>
      <c r="E64" s="8"/>
      <c r="F64" s="8">
        <v>1</v>
      </c>
      <c r="G64" s="8" t="s">
        <v>7</v>
      </c>
      <c r="H64" s="8">
        <v>1</v>
      </c>
    </row>
    <row r="65" spans="1:8" x14ac:dyDescent="0.25">
      <c r="A65" s="8" t="s">
        <v>436</v>
      </c>
      <c r="B65" s="9"/>
      <c r="C65" s="8"/>
      <c r="D65" s="8"/>
      <c r="E65" s="8"/>
      <c r="F65" s="8">
        <v>4</v>
      </c>
      <c r="G65" s="8" t="s">
        <v>7</v>
      </c>
      <c r="H65" s="8">
        <v>1</v>
      </c>
    </row>
    <row r="66" spans="1:8" x14ac:dyDescent="0.25">
      <c r="A66" s="8" t="s">
        <v>118</v>
      </c>
      <c r="B66" s="9" t="s">
        <v>438</v>
      </c>
      <c r="C66" s="8"/>
      <c r="D66" s="8"/>
      <c r="E66" s="8"/>
      <c r="F66" s="8">
        <v>4</v>
      </c>
      <c r="G66" s="8" t="s">
        <v>10</v>
      </c>
      <c r="H66" t="s">
        <v>437</v>
      </c>
    </row>
    <row r="67" spans="1:8" ht="45" x14ac:dyDescent="0.25">
      <c r="A67" s="8" t="s">
        <v>439</v>
      </c>
      <c r="B67" s="9" t="str">
        <f>bolso("Cajon de tacos 3",Table69[] )</f>
        <v xml:space="preserve">Cajon de tacos 3 Contiene:  Tacos grandes cuadrados x9,  Cuñas grandes x4,  Cuñas chicas x5, </v>
      </c>
      <c r="C67" s="8"/>
      <c r="D67" s="8"/>
      <c r="E67" s="8"/>
      <c r="F67" s="8">
        <v>1</v>
      </c>
      <c r="G67" s="8" t="s">
        <v>10</v>
      </c>
      <c r="H67" t="s">
        <v>437</v>
      </c>
    </row>
    <row r="68" spans="1:8" x14ac:dyDescent="0.25">
      <c r="A68" s="8" t="s">
        <v>378</v>
      </c>
      <c r="B68" s="9" t="s">
        <v>444</v>
      </c>
      <c r="C68" s="8"/>
      <c r="D68" s="8"/>
      <c r="E68" s="8"/>
      <c r="F68" s="8">
        <v>5</v>
      </c>
      <c r="G68" s="8" t="s">
        <v>10</v>
      </c>
      <c r="H68" t="s">
        <v>437</v>
      </c>
    </row>
    <row r="69" spans="1:8" x14ac:dyDescent="0.25">
      <c r="A69" s="8" t="s">
        <v>250</v>
      </c>
      <c r="B69" s="9" t="s">
        <v>445</v>
      </c>
      <c r="C69" s="8"/>
      <c r="D69" s="8" t="s">
        <v>446</v>
      </c>
      <c r="E69" s="8" t="s">
        <v>447</v>
      </c>
      <c r="F69" s="8">
        <v>1</v>
      </c>
      <c r="G69" s="8" t="s">
        <v>10</v>
      </c>
      <c r="H69" t="s">
        <v>437</v>
      </c>
    </row>
    <row r="70" spans="1:8" x14ac:dyDescent="0.25">
      <c r="A70" s="8" t="s">
        <v>250</v>
      </c>
      <c r="B70" s="9" t="s">
        <v>445</v>
      </c>
      <c r="C70" s="8"/>
      <c r="D70" s="8" t="s">
        <v>448</v>
      </c>
      <c r="E70" s="8" t="s">
        <v>449</v>
      </c>
      <c r="F70" s="8">
        <v>1</v>
      </c>
      <c r="G70" s="8" t="s">
        <v>10</v>
      </c>
      <c r="H70" t="s">
        <v>437</v>
      </c>
    </row>
    <row r="71" spans="1:8" x14ac:dyDescent="0.25">
      <c r="A71" s="8" t="s">
        <v>107</v>
      </c>
      <c r="B71" s="9" t="s">
        <v>450</v>
      </c>
      <c r="C71" s="8"/>
      <c r="D71" s="8"/>
      <c r="E71" s="8"/>
      <c r="F71" s="8">
        <v>1</v>
      </c>
      <c r="G71" s="8" t="s">
        <v>10</v>
      </c>
      <c r="H71" t="s">
        <v>437</v>
      </c>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23 A25:A35 A37 A39:A50 A53:A55 A57:A58 A60 A63:A64 A66:A67 A71: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56: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0">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70"/>
  <sheetViews>
    <sheetView topLeftCell="A14" workbookViewId="0">
      <selection activeCell="A25" sqref="A25"/>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43</v>
      </c>
      <c r="F3" s="4" t="s">
        <v>50</v>
      </c>
      <c r="G3" t="s">
        <v>73</v>
      </c>
      <c r="H3" t="s">
        <v>38</v>
      </c>
      <c r="J3" t="s">
        <v>66</v>
      </c>
      <c r="K3" t="s">
        <v>70</v>
      </c>
      <c r="P3" t="s">
        <v>114</v>
      </c>
      <c r="Q3" t="s">
        <v>135</v>
      </c>
    </row>
    <row r="4" spans="1:19" x14ac:dyDescent="0.25">
      <c r="A4" t="s">
        <v>146</v>
      </c>
      <c r="F4" t="s">
        <v>80</v>
      </c>
      <c r="G4" t="s">
        <v>320</v>
      </c>
      <c r="K4" t="s">
        <v>68</v>
      </c>
      <c r="Q4" t="s">
        <v>136</v>
      </c>
    </row>
    <row r="5" spans="1:19" x14ac:dyDescent="0.25">
      <c r="A5" t="s">
        <v>116</v>
      </c>
      <c r="F5" s="5" t="s">
        <v>30</v>
      </c>
      <c r="G5" t="s">
        <v>33</v>
      </c>
      <c r="K5" t="s">
        <v>45</v>
      </c>
      <c r="P5" t="s">
        <v>115</v>
      </c>
      <c r="Q5" t="s">
        <v>137</v>
      </c>
    </row>
    <row r="6" spans="1:19" x14ac:dyDescent="0.25">
      <c r="A6" t="s">
        <v>123</v>
      </c>
      <c r="F6" t="s">
        <v>78</v>
      </c>
      <c r="G6" t="s">
        <v>52</v>
      </c>
      <c r="K6" t="s">
        <v>64</v>
      </c>
      <c r="Q6" t="s">
        <v>132</v>
      </c>
    </row>
    <row r="7" spans="1:19" x14ac:dyDescent="0.25">
      <c r="A7" s="1" t="s">
        <v>95</v>
      </c>
      <c r="F7" t="s">
        <v>58</v>
      </c>
      <c r="I7" t="s">
        <v>41</v>
      </c>
      <c r="K7" t="s">
        <v>333</v>
      </c>
      <c r="Q7" t="s">
        <v>133</v>
      </c>
    </row>
    <row r="8" spans="1:19" x14ac:dyDescent="0.25">
      <c r="A8" t="s">
        <v>237</v>
      </c>
      <c r="F8" t="s">
        <v>128</v>
      </c>
    </row>
    <row r="9" spans="1:19" x14ac:dyDescent="0.25">
      <c r="A9" t="s">
        <v>150</v>
      </c>
      <c r="F9" s="3" t="s">
        <v>31</v>
      </c>
      <c r="L9" t="s">
        <v>55</v>
      </c>
      <c r="M9" t="s">
        <v>63</v>
      </c>
      <c r="N9" t="s">
        <v>33</v>
      </c>
      <c r="O9" t="s">
        <v>52</v>
      </c>
      <c r="P9" t="s">
        <v>113</v>
      </c>
    </row>
    <row r="10" spans="1:19" x14ac:dyDescent="0.25">
      <c r="A10" t="s">
        <v>92</v>
      </c>
      <c r="F10" t="s">
        <v>130</v>
      </c>
    </row>
    <row r="11" spans="1:19" x14ac:dyDescent="0.25">
      <c r="A11" t="s">
        <v>279</v>
      </c>
      <c r="F11" t="s">
        <v>322</v>
      </c>
    </row>
    <row r="12" spans="1:19" x14ac:dyDescent="0.25">
      <c r="A12" t="s">
        <v>46</v>
      </c>
    </row>
    <row r="13" spans="1:19" x14ac:dyDescent="0.25">
      <c r="A13" t="s">
        <v>187</v>
      </c>
    </row>
    <row r="14" spans="1:19" x14ac:dyDescent="0.25">
      <c r="A14" t="s">
        <v>53</v>
      </c>
    </row>
    <row r="15" spans="1:19" x14ac:dyDescent="0.25">
      <c r="A15" t="s">
        <v>84</v>
      </c>
    </row>
    <row r="16" spans="1:19" x14ac:dyDescent="0.25">
      <c r="A16" t="s">
        <v>267</v>
      </c>
    </row>
    <row r="17" spans="1:1" x14ac:dyDescent="0.25">
      <c r="A17" t="s">
        <v>211</v>
      </c>
    </row>
    <row r="18" spans="1:1" x14ac:dyDescent="0.25">
      <c r="A18" t="s">
        <v>188</v>
      </c>
    </row>
    <row r="19" spans="1:1" x14ac:dyDescent="0.25">
      <c r="A19" t="s">
        <v>208</v>
      </c>
    </row>
    <row r="20" spans="1:1" x14ac:dyDescent="0.25">
      <c r="A20" t="s">
        <v>81</v>
      </c>
    </row>
    <row r="21" spans="1:1" x14ac:dyDescent="0.25">
      <c r="A21" t="s">
        <v>35</v>
      </c>
    </row>
    <row r="22" spans="1:1" x14ac:dyDescent="0.25">
      <c r="A22" t="s">
        <v>174</v>
      </c>
    </row>
    <row r="23" spans="1:1" x14ac:dyDescent="0.25">
      <c r="A23" t="s">
        <v>61</v>
      </c>
    </row>
    <row r="24" spans="1:1" x14ac:dyDescent="0.25">
      <c r="A24" t="s">
        <v>142</v>
      </c>
    </row>
    <row r="25" spans="1:1" x14ac:dyDescent="0.25">
      <c r="A25" t="s">
        <v>250</v>
      </c>
    </row>
    <row r="26" spans="1:1" x14ac:dyDescent="0.25">
      <c r="A26" t="s">
        <v>112</v>
      </c>
    </row>
    <row r="27" spans="1:1" x14ac:dyDescent="0.25">
      <c r="A27" t="s">
        <v>232</v>
      </c>
    </row>
    <row r="28" spans="1:1" x14ac:dyDescent="0.25">
      <c r="A28" t="s">
        <v>104</v>
      </c>
    </row>
    <row r="29" spans="1:1" x14ac:dyDescent="0.25">
      <c r="A29" t="s">
        <v>168</v>
      </c>
    </row>
    <row r="30" spans="1:1" x14ac:dyDescent="0.25">
      <c r="A30" t="s">
        <v>170</v>
      </c>
    </row>
    <row r="31" spans="1:1" x14ac:dyDescent="0.25">
      <c r="A31" t="s">
        <v>12</v>
      </c>
    </row>
    <row r="32" spans="1:1" x14ac:dyDescent="0.25">
      <c r="A32" t="s">
        <v>32</v>
      </c>
    </row>
    <row r="33" spans="1:1" x14ac:dyDescent="0.25">
      <c r="A33" t="s">
        <v>59</v>
      </c>
    </row>
    <row r="34" spans="1:1" x14ac:dyDescent="0.25">
      <c r="A34" t="s">
        <v>233</v>
      </c>
    </row>
    <row r="35" spans="1:1" x14ac:dyDescent="0.25">
      <c r="A35" t="s">
        <v>118</v>
      </c>
    </row>
    <row r="36" spans="1:1" x14ac:dyDescent="0.25">
      <c r="A36" t="s">
        <v>266</v>
      </c>
    </row>
    <row r="37" spans="1:1" x14ac:dyDescent="0.25">
      <c r="A37" t="s">
        <v>40</v>
      </c>
    </row>
    <row r="38" spans="1:1" x14ac:dyDescent="0.25">
      <c r="A38" t="s">
        <v>217</v>
      </c>
    </row>
    <row r="39" spans="1:1" x14ac:dyDescent="0.25">
      <c r="A39" t="s">
        <v>147</v>
      </c>
    </row>
    <row r="40" spans="1:1" x14ac:dyDescent="0.25">
      <c r="A40" t="s">
        <v>165</v>
      </c>
    </row>
    <row r="41" spans="1:1" x14ac:dyDescent="0.25">
      <c r="A41" t="s">
        <v>151</v>
      </c>
    </row>
    <row r="42" spans="1:1" x14ac:dyDescent="0.25">
      <c r="A42" t="s">
        <v>284</v>
      </c>
    </row>
    <row r="43" spans="1:1" x14ac:dyDescent="0.25">
      <c r="A43" t="s">
        <v>87</v>
      </c>
    </row>
    <row r="44" spans="1:1" x14ac:dyDescent="0.25">
      <c r="A44" t="s">
        <v>138</v>
      </c>
    </row>
    <row r="45" spans="1:1" x14ac:dyDescent="0.25">
      <c r="A45" t="s">
        <v>268</v>
      </c>
    </row>
    <row r="46" spans="1:1" x14ac:dyDescent="0.25">
      <c r="A46" t="s">
        <v>269</v>
      </c>
    </row>
    <row r="47" spans="1:1" x14ac:dyDescent="0.25">
      <c r="A47" t="s">
        <v>239</v>
      </c>
    </row>
    <row r="48" spans="1:1" x14ac:dyDescent="0.25">
      <c r="A48" t="s">
        <v>102</v>
      </c>
    </row>
    <row r="49" spans="1:1" x14ac:dyDescent="0.25">
      <c r="A49" t="s">
        <v>44</v>
      </c>
    </row>
    <row r="50" spans="1:1" x14ac:dyDescent="0.25">
      <c r="A50" t="s">
        <v>213</v>
      </c>
    </row>
    <row r="51" spans="1:1" x14ac:dyDescent="0.25">
      <c r="A51" t="s">
        <v>90</v>
      </c>
    </row>
    <row r="52" spans="1:1" x14ac:dyDescent="0.25">
      <c r="A52" t="s">
        <v>88</v>
      </c>
    </row>
    <row r="53" spans="1:1" x14ac:dyDescent="0.25">
      <c r="A53" t="s">
        <v>93</v>
      </c>
    </row>
    <row r="54" spans="1:1" x14ac:dyDescent="0.25">
      <c r="A54" t="s">
        <v>11</v>
      </c>
    </row>
    <row r="55" spans="1:1" x14ac:dyDescent="0.25">
      <c r="A55" t="s">
        <v>54</v>
      </c>
    </row>
    <row r="56" spans="1:1" x14ac:dyDescent="0.25">
      <c r="A56" t="s">
        <v>189</v>
      </c>
    </row>
    <row r="57" spans="1:1" x14ac:dyDescent="0.25">
      <c r="A57" t="s">
        <v>339</v>
      </c>
    </row>
    <row r="58" spans="1:1" x14ac:dyDescent="0.25">
      <c r="A58" t="s">
        <v>346</v>
      </c>
    </row>
    <row r="59" spans="1:1" x14ac:dyDescent="0.25">
      <c r="A59" t="s">
        <v>352</v>
      </c>
    </row>
    <row r="60" spans="1:1" x14ac:dyDescent="0.25">
      <c r="A60" t="s">
        <v>378</v>
      </c>
    </row>
    <row r="61" spans="1:1" x14ac:dyDescent="0.25">
      <c r="A61" t="s">
        <v>395</v>
      </c>
    </row>
    <row r="62" spans="1:1" x14ac:dyDescent="0.25">
      <c r="A62" t="s">
        <v>398</v>
      </c>
    </row>
    <row r="63" spans="1:1" x14ac:dyDescent="0.25">
      <c r="A63" t="s">
        <v>409</v>
      </c>
    </row>
    <row r="64" spans="1:1" x14ac:dyDescent="0.25">
      <c r="A64" t="s">
        <v>413</v>
      </c>
    </row>
    <row r="65" spans="1:1" x14ac:dyDescent="0.25">
      <c r="A65" t="s">
        <v>415</v>
      </c>
    </row>
    <row r="66" spans="1:1" x14ac:dyDescent="0.25">
      <c r="A66" t="s">
        <v>421</v>
      </c>
    </row>
    <row r="67" spans="1:1" x14ac:dyDescent="0.25">
      <c r="A67" t="s">
        <v>427</v>
      </c>
    </row>
    <row r="68" spans="1:1" x14ac:dyDescent="0.25">
      <c r="A68" t="s">
        <v>430</v>
      </c>
    </row>
    <row r="69" spans="1:1" x14ac:dyDescent="0.25">
      <c r="A69" t="s">
        <v>431</v>
      </c>
    </row>
    <row r="70" spans="1:1" x14ac:dyDescent="0.25">
      <c r="A70" t="s">
        <v>436</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2018-08-25T19:49:47Z</dcterms:modified>
</cp:coreProperties>
</file>