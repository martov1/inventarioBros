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tables/table5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tables/table60.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bookViews>
    <workbookView xWindow="0" yWindow="0" windowWidth="20490" windowHeight="10920" tabRatio="741"/>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 name="Destacamento 2" sheetId="18" r:id="rId17"/>
  </sheets>
  <functionGroup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workbook>
</file>

<file path=xl/calcChain.xml><?xml version="1.0" encoding="utf-8"?>
<calcChain xmlns="http://schemas.openxmlformats.org/spreadsheetml/2006/main">
  <c r="B49" i="4"/>
  <c r="B59"/>
  <c r="B57"/>
  <c r="B105"/>
  <c r="B113"/>
  <c r="B106"/>
  <c r="B87" i="8"/>
  <c r="B17"/>
  <c r="B34" i="4"/>
  <c r="B55"/>
  <c r="B52" i="14"/>
  <c r="B33" i="4"/>
  <c r="B114"/>
  <c r="B104"/>
  <c r="B86" i="8"/>
  <c r="B18"/>
  <c r="B98"/>
  <c r="B56" i="4"/>
  <c r="B102" i="8"/>
  <c r="B111" i="4"/>
  <c r="B20" i="14"/>
  <c r="B90"/>
  <c r="B83" i="4"/>
  <c r="B28" i="7"/>
  <c r="B95" i="8"/>
  <c r="B80" i="4"/>
  <c r="B21" i="14"/>
  <c r="B16" i="13"/>
  <c r="B79" i="4"/>
  <c r="B30" i="16"/>
  <c r="B4" i="7"/>
  <c r="B93" i="8"/>
  <c r="B25" i="7"/>
  <c r="B5"/>
  <c r="B24" i="8"/>
  <c r="B54" i="4"/>
  <c r="B35"/>
  <c r="B135"/>
  <c r="B101"/>
  <c r="B112"/>
  <c r="B128"/>
  <c r="B102"/>
  <c r="B19" i="8"/>
  <c r="B58" i="4"/>
  <c r="B10"/>
  <c r="B60"/>
  <c r="B99"/>
  <c r="B82"/>
  <c r="B100"/>
  <c r="B32"/>
  <c r="B99" i="8"/>
  <c r="B9" i="4"/>
  <c r="B31" i="16"/>
  <c r="B29" i="7"/>
  <c r="B36" i="14"/>
  <c r="B78" i="4"/>
  <c r="B100" i="16"/>
  <c r="B29" i="4"/>
  <c r="B103"/>
  <c r="B8"/>
  <c r="B94" i="8"/>
  <c r="B6" i="7"/>
  <c r="B81" i="4"/>
  <c r="B30"/>
  <c r="B19" i="14"/>
  <c r="B61" i="1"/>
  <c r="B112"/>
  <c r="B5"/>
  <c r="B92"/>
  <c r="B91"/>
  <c r="B15" i="6"/>
  <c r="B17"/>
  <c r="B16"/>
</calcChain>
</file>

<file path=xl/sharedStrings.xml><?xml version="1.0" encoding="utf-8"?>
<sst xmlns="http://schemas.openxmlformats.org/spreadsheetml/2006/main" count="4758" uniqueCount="1142">
  <si>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</si>
  <si>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</si>
  <si>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</si>
  <si>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</si>
  <si>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</si>
  <si>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</si>
  <si>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</si>
  <si>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</si>
  <si>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</si>
  <si>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</si>
  <si>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</si>
  <si>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</si>
  <si>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</si>
  <si>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</si>
  <si>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</si>
  <si>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</si>
  <si>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</si>
  <si>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</si>
  <si>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</si>
  <si>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</si>
  <si>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</si>
  <si>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</si>
  <si>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</si>
  <si>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</si>
  <si>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</si>
  <si>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</si>
  <si>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</si>
  <si>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</si>
  <si>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</si>
  <si>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</si>
  <si>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</si>
  <si>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</si>
  <si>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</si>
  <si>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</si>
  <si>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</si>
  <si>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</si>
  <si>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</si>
  <si>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</si>
  <si>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</si>
  <si>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</si>
  <si>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</si>
  <si>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</si>
  <si>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</si>
  <si>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</si>
  <si>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</si>
  <si>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</si>
  <si>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</si>
  <si>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</si>
  <si>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</si>
  <si>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</si>
  <si>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</si>
  <si>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</si>
  <si>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</si>
  <si>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</si>
  <si>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</si>
  <si>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</si>
  <si>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</si>
  <si>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</si>
  <si>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</si>
  <si>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</si>
  <si>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</si>
  <si>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</si>
  <si>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</si>
  <si>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</si>
  <si>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</si>
  <si>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</si>
  <si>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</si>
  <si>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</si>
  <si>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</si>
  <si>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</si>
  <si>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</si>
  <si>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</si>
  <si>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</si>
  <si>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</si>
  <si>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</si>
  <si>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</si>
  <si>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</si>
  <si>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</si>
  <si>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</si>
  <si>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</si>
  <si>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</si>
  <si>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</si>
  <si>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</si>
  <si>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</si>
  <si>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</si>
  <si>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</si>
  <si>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</si>
  <si>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</si>
  <si>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</si>
  <si>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</si>
  <si>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</si>
  <si>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</si>
  <si>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</si>
  <si>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</si>
  <si>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</si>
  <si>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</si>
  <si>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</si>
  <si>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</si>
  <si>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</si>
  <si>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</si>
  <si>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</si>
  <si>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</si>
  <si>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</si>
  <si>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</si>
  <si>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</si>
  <si>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</si>
  <si>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</si>
  <si>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</si>
  <si>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</si>
  <si>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</si>
  <si>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</si>
  <si>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</si>
  <si>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</si>
  <si>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</si>
  <si>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</si>
  <si>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</si>
  <si>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</si>
  <si>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</si>
  <si>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</si>
  <si>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</si>
  <si>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</si>
  <si>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</si>
  <si>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</si>
  <si>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</si>
  <si>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</si>
  <si>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</si>
  <si>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</si>
  <si>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</si>
  <si>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</si>
  <si>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</si>
  <si>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</si>
  <si>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</si>
  <si>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</si>
  <si>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</si>
  <si>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</si>
  <si>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</si>
  <si>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</si>
  <si>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</si>
  <si>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</si>
  <si>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</si>
  <si>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</si>
  <si>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</si>
  <si>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</si>
  <si>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</si>
  <si>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</si>
  <si>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</si>
  <si>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</si>
  <si>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</si>
  <si>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</si>
  <si>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</si>
  <si>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</si>
  <si>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</si>
  <si>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</si>
  <si>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</si>
  <si>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</si>
  <si>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</si>
  <si>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</si>
  <si>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</si>
  <si>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</si>
  <si>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</si>
  <si>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</si>
  <si>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</si>
  <si>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</si>
  <si>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</si>
  <si>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</si>
  <si>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</si>
  <si>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</si>
  <si>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</si>
  <si>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</si>
  <si>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</si>
  <si>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</si>
  <si>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</si>
  <si>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</si>
  <si>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</si>
  <si>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</si>
  <si>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</si>
  <si>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</si>
  <si>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</si>
  <si>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</si>
  <si>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</si>
  <si>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</si>
  <si>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</si>
  <si>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</si>
  <si>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</si>
  <si>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</si>
  <si>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</si>
  <si>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</si>
  <si>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</si>
  <si>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</si>
  <si>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</si>
  <si>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</si>
  <si>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</si>
  <si>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</si>
  <si>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</si>
  <si>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</si>
  <si>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</si>
  <si>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</si>
  <si>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</si>
  <si>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</si>
  <si>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</si>
  <si>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</si>
  <si>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</si>
  <si>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</si>
  <si>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</si>
  <si>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</si>
  <si>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</si>
  <si>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</si>
  <si>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</si>
  <si>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</si>
  <si>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</si>
  <si>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</si>
  <si>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</si>
  <si>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</si>
  <si>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</si>
  <si>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</si>
  <si>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</si>
  <si>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</si>
  <si>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</si>
  <si>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</si>
  <si>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</si>
  <si>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</si>
  <si>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</si>
  <si>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</si>
  <si>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</si>
  <si>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</si>
  <si>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</si>
  <si>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</si>
  <si>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</si>
  <si>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</si>
  <si>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</si>
  <si>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</si>
  <si>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</si>
  <si>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</si>
  <si>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</si>
  <si>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</si>
  <si>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</si>
  <si>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</si>
  <si>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</si>
  <si>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</si>
  <si>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</si>
  <si>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</si>
  <si>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</si>
  <si>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</si>
  <si>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</si>
  <si>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</si>
  <si>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</si>
  <si>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</si>
  <si>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</si>
  <si>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</si>
  <si>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</si>
  <si>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</si>
  <si>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</si>
  <si>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</si>
  <si>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</si>
  <si>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</si>
  <si>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</si>
  <si>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</si>
  <si>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</si>
  <si>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</si>
  <si>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</si>
  <si>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</si>
  <si>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</si>
  <si>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</si>
  <si>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</si>
  <si>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</si>
  <si>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</si>
  <si>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</si>
  <si>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</si>
  <si>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</si>
  <si>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</si>
  <si>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</si>
  <si>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</si>
  <si>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</si>
  <si>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</si>
  <si>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</si>
  <si>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</si>
  <si>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</si>
  <si>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</si>
  <si>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</si>
  <si>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</si>
  <si>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</si>
  <si>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</si>
  <si>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</si>
  <si>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</si>
  <si>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</si>
  <si>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</si>
  <si>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</si>
  <si>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Arnes</t>
  </si>
  <si>
    <t>Honor-safety</t>
  </si>
  <si>
    <t>caran</t>
  </si>
  <si>
    <t>Material de altura</t>
  </si>
  <si>
    <t>Lino blanco</t>
  </si>
  <si>
    <t>POK, c/ regulador de caudal, c/ corte rapido</t>
  </si>
  <si>
    <t>Plastica</t>
  </si>
  <si>
    <t>Accesorio para monitor</t>
  </si>
  <si>
    <t>Accesorio de espuma para monitor fijo</t>
  </si>
  <si>
    <t>Task force tips inc.</t>
  </si>
  <si>
    <t>polvo quimico seco</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</si>
  <si>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</si>
  <si>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</si>
  <si>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</si>
  <si>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</si>
  <si>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</si>
  <si>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</si>
  <si>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</si>
  <si>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</si>
  <si>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</si>
  <si>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</si>
  <si>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</si>
  <si>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</si>
  <si>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</si>
  <si>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</si>
  <si>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</si>
  <si>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</si>
  <si>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</si>
  <si>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</si>
  <si>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</si>
  <si>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</si>
  <si>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</si>
  <si>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</si>
  <si>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</si>
  <si>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</si>
  <si>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</si>
  <si>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</si>
  <si>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</si>
  <si>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</si>
  <si>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</si>
  <si>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</si>
  <si>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</si>
  <si>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</si>
  <si>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</si>
  <si>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</si>
  <si>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</si>
  <si>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</si>
  <si>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</si>
  <si>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</si>
  <si>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</si>
  <si>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</si>
  <si>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</si>
  <si>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</si>
  <si>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</si>
  <si>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</si>
  <si>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</si>
  <si>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</si>
  <si>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</si>
  <si>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</si>
  <si>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</si>
  <si>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</si>
  <si>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</si>
  <si>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</si>
  <si>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</si>
  <si>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</si>
  <si>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</si>
  <si>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</si>
  <si>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</si>
  <si>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</si>
  <si>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</si>
  <si>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</si>
  <si>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</si>
  <si>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</si>
  <si>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</si>
  <si>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</si>
  <si>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</si>
  <si>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</si>
  <si>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</si>
  <si>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</si>
  <si>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</si>
  <si>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</si>
  <si>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</si>
  <si>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</si>
  <si>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</si>
  <si>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</si>
  <si>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</si>
  <si>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</si>
  <si>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</si>
  <si>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</si>
  <si>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</si>
  <si>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</si>
  <si>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</si>
  <si>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</si>
  <si>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</si>
  <si>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</si>
  <si>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</si>
  <si>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</si>
  <si>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</si>
  <si>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</si>
  <si>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</si>
  <si>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</si>
  <si>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</si>
  <si>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</si>
  <si>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</si>
  <si>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</si>
  <si>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</si>
  <si>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</si>
  <si>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</si>
  <si>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</si>
  <si>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</si>
  <si>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</si>
  <si>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</si>
  <si>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</si>
  <si>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</si>
  <si>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</si>
  <si>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</si>
  <si>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</si>
  <si>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</si>
  <si>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</si>
  <si>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</si>
  <si>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</si>
  <si>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</si>
  <si>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</si>
  <si>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</si>
  <si>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</si>
  <si>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</si>
  <si>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</si>
  <si>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</si>
  <si>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</si>
  <si>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</si>
  <si>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</si>
  <si>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</si>
  <si>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</si>
  <si>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</si>
  <si>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</si>
  <si>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</si>
  <si>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</si>
  <si>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</si>
  <si>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</si>
  <si>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</si>
  <si>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</si>
  <si>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</si>
  <si>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</si>
  <si>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</si>
  <si>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</si>
  <si>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</si>
  <si>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</si>
  <si>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</si>
  <si>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</si>
  <si>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</si>
  <si>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</si>
  <si>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</si>
  <si>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</si>
  <si>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</si>
  <si>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</si>
  <si>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</si>
  <si>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</si>
  <si>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</si>
  <si>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</si>
  <si>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</si>
  <si>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</si>
  <si>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</si>
  <si>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</si>
  <si>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</si>
  <si>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</si>
  <si>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</si>
  <si>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</si>
  <si>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</si>
  <si>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</si>
  <si>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</si>
  <si>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</si>
  <si>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</si>
  <si>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</si>
  <si>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</si>
  <si>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</si>
  <si>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</si>
  <si>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</si>
  <si>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</si>
  <si>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</si>
  <si>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</si>
  <si>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</si>
  <si>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</si>
  <si>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</si>
  <si>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</si>
  <si>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</si>
  <si>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</si>
  <si>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</si>
  <si>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</si>
  <si>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</si>
  <si>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</si>
  <si>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</si>
  <si>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</si>
  <si>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</si>
  <si>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</si>
  <si>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</si>
  <si>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</si>
  <si>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</si>
  <si>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</si>
  <si>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</si>
  <si>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</si>
  <si>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</si>
  <si>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</si>
  <si>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</si>
  <si>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</si>
  <si>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</si>
  <si>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</si>
  <si>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</si>
  <si>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</si>
  <si>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</si>
  <si>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</si>
  <si>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</si>
  <si>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</si>
  <si>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</si>
  <si>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</si>
  <si>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</si>
  <si>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</si>
  <si>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</si>
  <si>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</si>
  <si>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</si>
  <si>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</si>
  <si>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</si>
  <si>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</si>
  <si>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</si>
  <si>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</si>
  <si>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</si>
  <si>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</si>
  <si>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</si>
  <si>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</si>
  <si>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</si>
  <si>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</si>
  <si>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</si>
  <si>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</si>
  <si>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</si>
  <si>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</si>
  <si>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</si>
  <si>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</si>
  <si>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</si>
  <si>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</si>
  <si>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</si>
  <si>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</si>
  <si>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</si>
  <si>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</si>
  <si>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</si>
  <si>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</si>
  <si>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</si>
  <si>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</si>
  <si>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</si>
  <si>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</si>
  <si>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</si>
  <si>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</si>
  <si>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PQS</t>
  </si>
  <si>
    <t>alpha-mousse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</si>
  <si>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</si>
  <si>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</si>
  <si>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</si>
  <si>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</si>
  <si>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</si>
  <si>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</si>
  <si>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</si>
  <si>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</si>
  <si>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</si>
  <si>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</si>
  <si>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</si>
  <si>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</si>
  <si>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</si>
  <si>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</si>
  <si>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</si>
  <si>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</si>
  <si>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</si>
  <si>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</si>
  <si>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</si>
  <si>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</si>
  <si>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</si>
  <si>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</si>
  <si>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</si>
  <si>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</si>
  <si>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</si>
  <si>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</si>
  <si>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</si>
  <si>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</si>
  <si>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</si>
  <si>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</si>
  <si>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</si>
  <si>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</si>
  <si>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t>
  </si>
  <si>
    <t>4M</t>
  </si>
  <si>
    <t>2M</t>
  </si>
  <si>
    <t>3M</t>
  </si>
  <si>
    <t>10M</t>
  </si>
  <si>
    <t>2,5M</t>
  </si>
  <si>
    <t>8,5M</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</si>
  <si>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</si>
  <si>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</si>
  <si>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</si>
  <si>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</si>
  <si>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</si>
  <si>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</si>
  <si>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</si>
  <si>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</si>
  <si>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</si>
  <si>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</si>
  <si>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</si>
  <si>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</si>
  <si>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</si>
  <si>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</si>
  <si>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</si>
  <si>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</si>
  <si>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</si>
  <si>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</si>
  <si>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</si>
  <si>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</si>
  <si>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</si>
  <si>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</si>
  <si>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</si>
  <si>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</si>
  <si>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</si>
  <si>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</si>
  <si>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</si>
  <si>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</si>
  <si>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</si>
  <si>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</si>
  <si>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</si>
  <si>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</si>
  <si>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</si>
  <si>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</si>
  <si>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</si>
  <si>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</si>
  <si>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</si>
  <si>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</si>
  <si>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</si>
  <si>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</si>
  <si>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</si>
  <si>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</si>
  <si>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</si>
  <si>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</si>
  <si>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</si>
  <si>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</si>
  <si>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</si>
  <si>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</si>
  <si>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</si>
  <si>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</si>
  <si>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</si>
  <si>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</si>
  <si>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</si>
  <si>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</si>
  <si>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</si>
  <si>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</si>
  <si>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</si>
  <si>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</si>
  <si>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</si>
  <si>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</si>
  <si>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</si>
  <si>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</si>
  <si>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</si>
  <si>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</si>
  <si>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</si>
  <si>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</si>
  <si>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</si>
  <si>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</si>
  <si>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</si>
  <si>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</si>
  <si>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</si>
  <si>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</si>
  <si>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</si>
  <si>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</si>
  <si>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</si>
  <si>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</si>
  <si>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</si>
  <si>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</si>
  <si>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</si>
  <si>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</si>
  <si>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</si>
  <si>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</si>
  <si>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</si>
  <si>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</si>
  <si>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</si>
  <si>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</si>
  <si>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</si>
  <si>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</si>
  <si>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</si>
  <si>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</si>
  <si>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</si>
  <si>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</si>
  <si>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</si>
  <si>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</si>
  <si>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</si>
  <si>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</si>
  <si>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</si>
  <si>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</si>
  <si>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</si>
  <si>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</si>
  <si>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</si>
  <si>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</si>
  <si>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</si>
  <si>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</si>
  <si>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</si>
  <si>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</si>
  <si>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</si>
  <si>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</si>
  <si>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</si>
  <si>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</si>
  <si>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</si>
  <si>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</si>
  <si>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</si>
  <si>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</si>
  <si>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</si>
  <si>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</si>
  <si>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</si>
  <si>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</si>
  <si>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</si>
  <si>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</si>
  <si>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</si>
  <si>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</si>
  <si>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</si>
  <si>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</si>
  <si>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</si>
  <si>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</si>
  <si>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</si>
  <si>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</si>
  <si>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</si>
  <si>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</si>
  <si>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</si>
  <si>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</si>
  <si>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</si>
  <si>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</si>
  <si>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</si>
  <si>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</si>
  <si>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</si>
  <si>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</si>
  <si>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</si>
  <si>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</si>
  <si>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</si>
  <si>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</si>
  <si>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</si>
  <si>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</si>
  <si>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</si>
  <si>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</si>
  <si>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</si>
  <si>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</si>
  <si>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</si>
  <si>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</si>
  <si>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</si>
  <si>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</si>
  <si>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</si>
  <si>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</si>
  <si>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</si>
  <si>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</si>
  <si>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</si>
  <si>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</si>
  <si>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</si>
  <si>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</si>
  <si>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</si>
  <si>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</si>
  <si>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</si>
  <si>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</si>
  <si>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</si>
  <si>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</si>
  <si>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</si>
  <si>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</si>
  <si>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</si>
  <si>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</si>
  <si>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</si>
  <si>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</si>
  <si>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</si>
  <si>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</si>
  <si>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</si>
  <si>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</si>
  <si>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</si>
  <si>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</si>
  <si>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</si>
  <si>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</si>
  <si>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</si>
  <si>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</si>
  <si>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</si>
  <si>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</si>
  <si>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</si>
  <si>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</si>
  <si>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</si>
  <si>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</si>
  <si>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</si>
  <si>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</si>
  <si>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</si>
  <si>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</si>
  <si>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</si>
  <si>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</si>
  <si>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</si>
  <si>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</si>
  <si>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</si>
  <si>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</si>
  <si>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</si>
  <si>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</si>
  <si>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</si>
  <si>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</si>
  <si>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</si>
  <si>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</si>
  <si>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</si>
  <si>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</si>
  <si>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</si>
  <si>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</si>
  <si>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</si>
  <si>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</si>
  <si>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</si>
  <si>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</si>
  <si>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</si>
  <si>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</si>
  <si>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</si>
  <si>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</si>
  <si>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</si>
  <si>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</si>
  <si>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</si>
  <si>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</si>
  <si>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</si>
  <si>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</si>
  <si>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</si>
  <si>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</si>
  <si>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</si>
  <si>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</si>
  <si>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</si>
  <si>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</si>
  <si>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</si>
  <si>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</si>
  <si>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</si>
  <si>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</si>
  <si>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</si>
  <si>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</si>
  <si>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</si>
  <si>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</si>
  <si>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</si>
  <si>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</si>
  <si>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</si>
  <si>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</si>
  <si>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</si>
  <si>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</si>
  <si>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</si>
  <si>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</si>
  <si>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</si>
  <si>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</si>
  <si>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</si>
  <si>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</si>
  <si>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</si>
  <si>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</si>
  <si>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</si>
  <si>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</si>
  <si>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</si>
  <si>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</si>
  <si>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</si>
  <si>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</si>
  <si>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</si>
  <si>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</si>
  <si>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</si>
  <si>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</si>
  <si>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</si>
  <si>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</si>
  <si>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</si>
  <si>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</si>
  <si>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</si>
  <si>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</si>
  <si>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</si>
  <si>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</si>
  <si>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</si>
  <si>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</si>
  <si>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</si>
  <si>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</si>
  <si>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</si>
  <si>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</si>
  <si>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</si>
  <si>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</si>
  <si>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</si>
  <si>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</si>
  <si>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</si>
  <si>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</si>
  <si>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</si>
  <si>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</si>
  <si>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</si>
  <si>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</si>
  <si>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</si>
  <si>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</si>
  <si>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</si>
  <si>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</si>
  <si>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</si>
  <si>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</si>
  <si>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</si>
  <si>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</si>
  <si>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</si>
  <si>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</si>
  <si>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</si>
  <si>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</si>
  <si>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</si>
  <si>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</si>
  <si>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</si>
  <si>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</si>
  <si>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</si>
  <si>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</si>
  <si>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</si>
  <si>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</si>
  <si>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</si>
  <si>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</si>
  <si>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</si>
  <si>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</si>
  <si>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</si>
  <si>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</si>
  <si>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</si>
  <si>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</si>
  <si>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</si>
  <si>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</si>
  <si>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</si>
  <si>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</si>
  <si>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</si>
  <si>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</si>
  <si>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</si>
  <si>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</si>
  <si>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</si>
  <si>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</si>
  <si>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</si>
  <si>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</si>
  <si>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</si>
  <si>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</si>
  <si>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</si>
  <si>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</si>
  <si>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</si>
  <si>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</si>
  <si>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</si>
  <si>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</si>
  <si>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</si>
  <si>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</si>
  <si>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</si>
  <si>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</si>
  <si>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</si>
  <si>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</si>
  <si>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</si>
  <si>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</si>
  <si>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</si>
  <si>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</si>
  <si>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</si>
  <si>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</si>
  <si>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</si>
  <si>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</si>
  <si>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</si>
  <si>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</si>
  <si>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</si>
  <si>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</si>
  <si>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</si>
  <si>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</si>
  <si>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</si>
  <si>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</si>
  <si>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</si>
  <si>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</si>
  <si>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</si>
  <si>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</si>
  <si>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</si>
  <si>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</si>
  <si>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</si>
  <si>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</si>
  <si>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</si>
  <si>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</si>
  <si>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</si>
  <si>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</si>
  <si>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</si>
  <si>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</si>
  <si>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</si>
  <si>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</si>
  <si>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</si>
  <si>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</si>
  <si>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</si>
  <si>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</si>
  <si>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</si>
  <si>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</si>
  <si>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</si>
  <si>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</si>
  <si>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</si>
  <si>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</si>
  <si>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</si>
  <si>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</si>
  <si>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</si>
  <si>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</si>
  <si>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</si>
  <si>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</si>
  <si>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</si>
  <si>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</si>
  <si>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</si>
  <si>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</si>
  <si>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</si>
  <si>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</si>
  <si>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</si>
  <si>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</si>
  <si>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</si>
  <si>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</si>
  <si>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</si>
  <si>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</si>
  <si>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</si>
  <si>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</si>
  <si>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</si>
  <si>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</si>
  <si>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</si>
  <si>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</si>
  <si>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</si>
  <si>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</si>
  <si>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</si>
  <si>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</si>
  <si>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</si>
  <si>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</si>
  <si>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</si>
  <si>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</si>
  <si>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</si>
  <si>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</si>
  <si>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</si>
  <si>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</si>
  <si>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</si>
  <si>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</si>
  <si>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</si>
  <si>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</si>
  <si>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</si>
  <si>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</si>
  <si>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</si>
  <si>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</si>
  <si>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</si>
  <si>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</si>
  <si>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</si>
  <si>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</si>
  <si>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</si>
  <si>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</si>
  <si>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</si>
  <si>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</si>
  <si>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</si>
  <si>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</si>
  <si>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</si>
  <si>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</si>
  <si>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</si>
  <si>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</si>
  <si>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Bolso de altura 2 petzl</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</si>
  <si>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</si>
  <si>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</si>
  <si>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</si>
  <si>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</si>
  <si>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</si>
  <si>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</si>
  <si>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</si>
  <si>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</si>
  <si>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</si>
  <si>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</si>
  <si>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</si>
  <si>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</si>
  <si>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</si>
  <si>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</si>
  <si>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</si>
  <si>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</si>
  <si>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</si>
  <si>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</si>
  <si>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</si>
  <si>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</si>
  <si>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</si>
  <si>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</si>
  <si>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</si>
  <si>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</si>
  <si>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</si>
  <si>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</si>
  <si>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</si>
  <si>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</si>
  <si>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</si>
  <si>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</si>
  <si>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</si>
  <si>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</si>
  <si>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</si>
  <si>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</si>
  <si>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</si>
  <si>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</si>
  <si>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</si>
  <si>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</si>
  <si>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</si>
  <si>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</si>
  <si>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</si>
  <si>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</si>
  <si>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</si>
  <si>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</si>
  <si>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</si>
  <si>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</si>
  <si>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</si>
  <si>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</si>
  <si>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</si>
  <si>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</si>
  <si>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</si>
  <si>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</si>
  <si>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</si>
  <si>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</si>
  <si>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</si>
  <si>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</si>
  <si>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</si>
  <si>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</si>
  <si>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</si>
  <si>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</si>
  <si>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</si>
  <si>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</si>
  <si>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</si>
  <si>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</si>
  <si>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</si>
  <si>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</si>
  <si>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</si>
  <si>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</si>
  <si>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</si>
  <si>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</si>
  <si>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</si>
  <si>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</si>
  <si>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</si>
  <si>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</si>
  <si>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</si>
  <si>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</si>
  <si>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</si>
  <si>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</si>
  <si>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</si>
  <si>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</si>
  <si>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</si>
  <si>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</si>
  <si>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</si>
  <si>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</si>
  <si>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</si>
  <si>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</si>
  <si>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</si>
  <si>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</si>
  <si>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</si>
  <si>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</si>
  <si>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</si>
  <si>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Tripode para reflector</t>
  </si>
  <si>
    <t>elingar</t>
  </si>
  <si>
    <t>cuerda de altura</t>
  </si>
  <si>
    <t>cuerda de altura 50mts</t>
  </si>
  <si>
    <t>Conector para altura petzel modelo vulcan</t>
  </si>
  <si>
    <t>Bolso de altura 3 nexxt</t>
  </si>
  <si>
    <t>cresto</t>
  </si>
  <si>
    <t>salvacaidas cresto typo 3551</t>
  </si>
  <si>
    <t>Salvacaidas caran</t>
  </si>
  <si>
    <t>Arnes Petzl</t>
  </si>
  <si>
    <t>Conector de anclaje elingar</t>
  </si>
  <si>
    <t>Latex rojo</t>
  </si>
  <si>
    <t>Accesorio de Alargue de manguera para EPR  para permitir uso de mascaras en barquilla con aire comprimido proveniente de cilindros en la base del movil</t>
  </si>
  <si>
    <t>Arnes de altura marca caran</t>
  </si>
  <si>
    <t>Arnes para altura marca honor</t>
  </si>
  <si>
    <t>eslinga 2T 4m</t>
  </si>
  <si>
    <t>Eslinga 4,8T 2M</t>
  </si>
  <si>
    <t>Eslinga ilegible 3M</t>
  </si>
  <si>
    <t>Eslinga ilegible con cricket 10M</t>
  </si>
  <si>
    <t>Eslinga ilegible con cricket 2,5M</t>
  </si>
  <si>
    <t>Esling 10T 8,5M</t>
  </si>
  <si>
    <t>19D</t>
  </si>
  <si>
    <t>Dosificador portatil de espuma con accesorio de baja y media expansion</t>
  </si>
  <si>
    <t>Convergente</t>
  </si>
  <si>
    <t>En convergente</t>
  </si>
  <si>
    <t>Guantes hazmat biologico</t>
  </si>
  <si>
    <t>Herramienta p/ discos amoladora</t>
  </si>
  <si>
    <t>en trivergente</t>
  </si>
  <si>
    <t>manga de 45</t>
  </si>
  <si>
    <t>Mosquetones X de acero (en arnes)</t>
  </si>
  <si>
    <t>Mosquetón B de acero (en arnes)</t>
  </si>
  <si>
    <t>lanza POK c/ reg caud c/corte rapido</t>
  </si>
  <si>
    <t>surviveair</t>
  </si>
  <si>
    <t>pok c/ reg caudal c/ corte rapido</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</si>
</sst>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7">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2" borderId="0" applyNumberFormat="0" applyBorder="0" applyAlignment="0" applyProtection="0"/>
  </cellStyleXfs>
  <cellXfs count="4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0" fillId="0" borderId="6" xfId="0" applyBorder="1"/>
    <xf numFmtId="0" fontId="0" fillId="0" borderId="5" xfId="0" applyBorder="1"/>
    <xf numFmtId="0" fontId="5" fillId="0" borderId="0" xfId="0" applyFont="1" applyBorder="1" applyAlignment="1">
      <alignment vertical="center" wrapText="1"/>
    </xf>
    <xf numFmtId="0" fontId="0" fillId="0" borderId="0" xfId="0" applyBorder="1" applyAlignment="1">
      <alignment horizontal="left"/>
    </xf>
    <xf numFmtId="0" fontId="0" fillId="0" borderId="0" xfId="0" applyBorder="1" applyAlignment="1">
      <alignment vertical="top" wrapText="1"/>
    </xf>
    <xf numFmtId="0" fontId="5" fillId="0" borderId="0" xfId="0" applyFont="1" applyBorder="1" applyAlignment="1">
      <alignment horizontal="left"/>
    </xf>
    <xf numFmtId="0" fontId="0" fillId="4" borderId="0" xfId="0" applyFill="1" applyBorder="1" applyAlignment="1">
      <alignment horizontal="left" vertical="center"/>
    </xf>
    <xf numFmtId="0" fontId="1" fillId="2" borderId="0" xfId="1" applyAlignment="1">
      <alignment horizontal="center"/>
    </xf>
  </cellXfs>
  <cellStyles count="2">
    <cellStyle name="Énfasis1" xfId="1" builtinId="29"/>
    <cellStyle name="Normal" xfId="0" builtinId="0"/>
  </cellStyles>
  <dxfs count="148">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id="1" name="Table1" displayName="Table1" ref="A1:H133" totalsRowShown="0" headerRowDxfId="147" dataDxfId="146">
  <autoFilter ref="A1:H133"/>
  <tableColumns count="8">
    <tableColumn id="1" name="Categoria" dataDxfId="145"/>
    <tableColumn id="2" name="Descripcion" dataDxfId="144"/>
    <tableColumn id="3" name="Medidas" dataDxfId="143"/>
    <tableColumn id="4" name="marca" dataDxfId="142"/>
    <tableColumn id="5" name="N/ de serie" dataDxfId="141"/>
    <tableColumn id="7" name="cant" dataDxfId="140"/>
    <tableColumn id="6" name="Cajonera" dataDxfId="139"/>
    <tableColumn id="8" name="Compartimiento" dataDxfId="138"/>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8" totalsRowShown="0">
  <autoFilter ref="K3:Q38"/>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7" totalsRowShown="0" headerRowDxfId="137" dataDxfId="136">
  <autoFilter ref="A1:H127"/>
  <sortState ref="A2:H100">
    <sortCondition ref="G1:G100"/>
  </sortState>
  <tableColumns count="8">
    <tableColumn id="1" name="Categoria" dataDxfId="135"/>
    <tableColumn id="2" name="Descripcion" dataDxfId="134"/>
    <tableColumn id="3" name="Medidas" dataDxfId="133"/>
    <tableColumn id="4" name="marca" dataDxfId="132"/>
    <tableColumn id="5" name="N/ de serie" dataDxfId="131"/>
    <tableColumn id="7" name="cant" dataDxfId="130"/>
    <tableColumn id="6" name="Cajonera" dataDxfId="129"/>
    <tableColumn id="8" name="Compartimiento" dataDxfId="128"/>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4" totalsRowShown="0">
  <autoFilter ref="J3:P64"/>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27" dataDxfId="126">
  <sortState ref="A54:H60">
    <sortCondition ref="B1"/>
  </sortState>
  <tableColumns count="8">
    <tableColumn id="1" name="Categoria" dataDxfId="125"/>
    <tableColumn id="2" name="Descripcion" dataDxfId="124"/>
    <tableColumn id="3" name="Medidas" dataDxfId="123"/>
    <tableColumn id="4" name="marca" dataDxfId="122"/>
    <tableColumn id="5" name="N/ de serie" dataDxfId="121"/>
    <tableColumn id="7" name="cant" dataDxfId="120"/>
    <tableColumn id="6" name="Cajonera" dataDxfId="119"/>
    <tableColumn id="8" name="Compartimiento" dataDxfId="118"/>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17" dataDxfId="116">
  <autoFilter ref="A1:H16"/>
  <sortState ref="A2:H135">
    <sortCondition ref="G2:G135"/>
    <sortCondition ref="H2:H135"/>
    <sortCondition ref="A2:A135"/>
  </sortState>
  <tableColumns count="8">
    <tableColumn id="1" name="Categoria" dataDxfId="115"/>
    <tableColumn id="2" name="Descripcion" dataDxfId="114"/>
    <tableColumn id="3" name="Medidas" dataDxfId="113"/>
    <tableColumn id="4" name="marca" dataDxfId="112"/>
    <tableColumn id="5" name="N/ de serie" dataDxfId="111"/>
    <tableColumn id="7" name="cant" dataDxfId="110"/>
    <tableColumn id="6" name="Cajonera" dataDxfId="109"/>
    <tableColumn id="8" name="Compartimiento" dataDxfId="108"/>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107" dataDxfId="106">
  <autoFilter ref="A1:H12"/>
  <sortState ref="A2:H135">
    <sortCondition ref="G2:G135"/>
    <sortCondition ref="H2:H135"/>
    <sortCondition ref="A2:A135"/>
  </sortState>
  <tableColumns count="8">
    <tableColumn id="1" name="Categoria" dataDxfId="105"/>
    <tableColumn id="2" name="Descripcion" dataDxfId="104"/>
    <tableColumn id="3" name="Medidas" dataDxfId="103"/>
    <tableColumn id="4" name="marca" dataDxfId="102"/>
    <tableColumn id="5" name="N/ de serie" dataDxfId="101"/>
    <tableColumn id="7" name="cant" dataDxfId="100"/>
    <tableColumn id="6" name="Cajonera" dataDxfId="99"/>
    <tableColumn id="8" name="Compartimiento" dataDxfId="98"/>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8" totalsRowShown="0" headerRowDxfId="97" dataDxfId="96">
  <autoFilter ref="A1:H28"/>
  <sortState ref="A2:H135">
    <sortCondition ref="G2:G135"/>
    <sortCondition ref="H2:H135"/>
    <sortCondition ref="A2:A135"/>
  </sortState>
  <tableColumns count="8">
    <tableColumn id="1" name="Categoria" dataDxfId="95"/>
    <tableColumn id="2" name="Descripcion" dataDxfId="94"/>
    <tableColumn id="3" name="Medidas" dataDxfId="93"/>
    <tableColumn id="4" name="marca" dataDxfId="92"/>
    <tableColumn id="5" name="N/ de serie" dataDxfId="91"/>
    <tableColumn id="7" name="cant" dataDxfId="90"/>
    <tableColumn id="6" name="Cajonera" dataDxfId="89"/>
    <tableColumn id="8" name="Compartimiento" dataDxfId="88"/>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7" totalsRowShown="0">
  <autoFilter ref="R3:R7"/>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11" totalsRowShown="0">
  <autoFilter ref="J3:P11"/>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87" dataDxfId="86">
  <autoFilter ref="A1:H34"/>
  <sortState ref="A2:H135">
    <sortCondition ref="G2:G135"/>
    <sortCondition ref="H2:H135"/>
    <sortCondition ref="A2:A135"/>
  </sortState>
  <tableColumns count="8">
    <tableColumn id="1" name="Categoria" dataDxfId="85"/>
    <tableColumn id="2" name="Descripcion" dataDxfId="84"/>
    <tableColumn id="3" name="Medidas" dataDxfId="83"/>
    <tableColumn id="4" name="marca" dataDxfId="82"/>
    <tableColumn id="5" name="N/ de serie" dataDxfId="81"/>
    <tableColumn id="7" name="cant" dataDxfId="80"/>
    <tableColumn id="6" name="Cajonera" dataDxfId="79"/>
    <tableColumn id="8" name="Compartimiento" dataDxfId="78"/>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77" dataDxfId="76">
  <autoFilter ref="A1:H33"/>
  <sortState ref="A2:H135">
    <sortCondition ref="G2:G135"/>
    <sortCondition ref="H2:H135"/>
    <sortCondition ref="A2:A135"/>
  </sortState>
  <tableColumns count="8">
    <tableColumn id="1" name="Categoria" dataDxfId="75"/>
    <tableColumn id="2" name="Descripcion" dataDxfId="74"/>
    <tableColumn id="3" name="Medidas" dataDxfId="73"/>
    <tableColumn id="4" name="marca" dataDxfId="72"/>
    <tableColumn id="5" name="N/ de serie" dataDxfId="71"/>
    <tableColumn id="7" name="cant" dataDxfId="70"/>
    <tableColumn id="6" name="Cajonera" dataDxfId="69"/>
    <tableColumn id="8" name="Compartimiento" dataDxfId="68"/>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67" dataDxfId="66">
  <autoFilter ref="A1:H6"/>
  <sortState ref="A2:H135">
    <sortCondition ref="G2:G135"/>
    <sortCondition ref="H2:H135"/>
    <sortCondition ref="A2:A135"/>
  </sortState>
  <tableColumns count="8">
    <tableColumn id="1" name="Categoria" dataDxfId="65"/>
    <tableColumn id="2" name="Descripcion" dataDxfId="64"/>
    <tableColumn id="3" name="Medidas" dataDxfId="63"/>
    <tableColumn id="4" name="marca" dataDxfId="62"/>
    <tableColumn id="5" name="N/ de serie" dataDxfId="61"/>
    <tableColumn id="7" name="cant" dataDxfId="60"/>
    <tableColumn id="6" name="Cajonera" dataDxfId="59"/>
    <tableColumn id="8" name="Compartimiento" dataDxfId="58"/>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57" dataDxfId="56">
  <autoFilter ref="A1:H84"/>
  <sortState ref="A2:H133">
    <sortCondition ref="G2:G133"/>
    <sortCondition ref="H2:H133"/>
    <sortCondition ref="A2:A133"/>
  </sortState>
  <tableColumns count="8">
    <tableColumn id="1" name="Categoria"/>
    <tableColumn id="2" name="Descripcion"/>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9" dataDxfId="48">
  <autoFilter ref="A1:H53"/>
  <sortState ref="A2:H135">
    <sortCondition ref="G2:G135"/>
    <sortCondition ref="H2:H135"/>
    <sortCondition ref="A2:A135"/>
  </sortState>
  <tableColumns count="8">
    <tableColumn id="1" name="Categoria" dataDxfId="47"/>
    <tableColumn id="2" name="Descripcion" dataDxfId="46"/>
    <tableColumn id="3" name="Medidas" dataDxfId="45"/>
    <tableColumn id="4" name="marca" dataDxfId="44"/>
    <tableColumn id="5" name="N/ de serie" dataDxfId="43"/>
    <tableColumn id="7" name="cant" dataDxfId="42"/>
    <tableColumn id="6" name="Cajonera" dataDxfId="41"/>
    <tableColumn id="8" name="Compartimiento" dataDxfId="40"/>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9" dataDxfId="38">
  <autoFilter ref="A1:H105"/>
  <sortState ref="A2:H135">
    <sortCondition ref="G2:G135"/>
    <sortCondition ref="H2:H135"/>
    <sortCondition ref="A2:A135"/>
  </sortState>
  <tableColumns count="8">
    <tableColumn id="1" name="Categoria" dataDxfId="37"/>
    <tableColumn id="2" name="Descripcion" dataDxfId="36"/>
    <tableColumn id="3" name="Medidas" dataDxfId="35"/>
    <tableColumn id="4" name="marca" dataDxfId="34"/>
    <tableColumn id="5" name="N/ de serie" dataDxfId="33"/>
    <tableColumn id="7" name="cant" dataDxfId="32"/>
    <tableColumn id="6" name="Cajonera" dataDxfId="31"/>
    <tableColumn id="8" name="Compartimiento" dataDxfId="30"/>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9" dataDxfId="28">
  <autoFilter ref="A1:H108"/>
  <sortState ref="A2:H135">
    <sortCondition ref="G2:G135"/>
    <sortCondition ref="H2:H135"/>
    <sortCondition ref="A2:A135"/>
  </sortState>
  <tableColumns count="8">
    <tableColumn id="1" name="Categoria" dataDxfId="27"/>
    <tableColumn id="2" name="Descripcion" dataDxfId="26"/>
    <tableColumn id="3" name="Medidas" dataDxfId="25"/>
    <tableColumn id="4" name="marca" dataDxfId="24"/>
    <tableColumn id="5" name="N/ de serie" dataDxfId="23"/>
    <tableColumn id="7" name="cant" dataDxfId="22"/>
    <tableColumn id="6" name="Cajonera" dataDxfId="21"/>
    <tableColumn id="8" name="Compartimiento" dataDxfId="20"/>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9" dataDxfId="18">
  <autoFilter ref="A1:H13"/>
  <sortState ref="A2:H135">
    <sortCondition ref="G2:G135"/>
    <sortCondition ref="H2:H135"/>
    <sortCondition ref="A2:A135"/>
  </sortState>
  <tableColumns count="8">
    <tableColumn id="1" name="Categoria" dataDxfId="17"/>
    <tableColumn id="2" name="Descripcion" dataDxfId="16"/>
    <tableColumn id="3" name="Medidas" dataDxfId="15"/>
    <tableColumn id="4" name="marca" dataDxfId="14"/>
    <tableColumn id="5" name="N/ de serie" dataDxfId="13"/>
    <tableColumn id="7" name="cant" dataDxfId="12"/>
    <tableColumn id="6" name="Cajonera" dataDxfId="11"/>
    <tableColumn id="8" name="Compartimiento" dataDxfId="10"/>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D18" totalsRowShown="0">
  <autoFilter ref="F1:AD18">
    <filterColumn colId="24"/>
  </autoFilter>
  <sortState ref="F2:P9">
    <sortCondition ref="F1:F9"/>
  </sortState>
  <tableColumns count="25">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 id="25" name="Convergente"/>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8" totalsRowShown="0" headerRowDxfId="9" tableBorderDxfId="8">
  <autoFilter ref="A1:A138"/>
  <sortState ref="A2:A116">
    <sortCondition ref="A1:A117"/>
  </sortState>
  <tableColumns count="1">
    <tableColumn id="1" name="Categorias disponibles"/>
  </tableColumns>
  <tableStyleInfo name="TableStyleLight9" showFirstColumn="0" showLastColumn="0" showRowStripes="1" showColumnStripes="0"/>
</table>
</file>

<file path=xl/tables/table59.xml><?xml version="1.0" encoding="utf-8"?>
<table xmlns="http://schemas.openxmlformats.org/spreadsheetml/2006/main" id="59" name="Table12017364060" displayName="Table12017364060" ref="A1:H21" totalsRowShown="0" headerRowDxfId="7" dataDxfId="6">
  <autoFilter ref="A1:H21"/>
  <sortState ref="A2:H133">
    <sortCondition ref="G2:G133"/>
    <sortCondition ref="H2:H133"/>
    <sortCondition ref="A2:A133"/>
  </sortState>
  <tableColumns count="8">
    <tableColumn id="1" name="Categoria"/>
    <tableColumn id="2" name="Descripcion"/>
    <tableColumn id="3" name="Medidas" dataDxfId="5"/>
    <tableColumn id="4" name="marca" dataDxfId="4"/>
    <tableColumn id="5" name="N/ de serie" dataDxfId="3"/>
    <tableColumn id="7" name="cant" dataDxfId="2"/>
    <tableColumn id="6" name="Cajonera" dataDxfId="1"/>
    <tableColumn id="8" name="Compartimiento" dataDxfId="0"/>
  </tableColumns>
  <tableStyleInfo name="TableStyleMedium2" showFirstColumn="0" showLastColumn="0" showRowStripes="1" showColumnStripes="0"/>
</table>
</file>

<file path=xl/tables/table60.xml><?xml version="1.0" encoding="utf-8"?>
<table xmlns="http://schemas.openxmlformats.org/spreadsheetml/2006/main" id="62" name="Table52335394363" displayName="Table5233539436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60.xml"/><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tabSelected="1" workbookViewId="0">
      <pane ySplit="1" topLeftCell="A113" activePane="bottomLeft" state="frozen"/>
      <selection pane="bottomLeft" activeCell="C123" sqref="C12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235</v>
      </c>
      <c r="G1" s="4" t="s">
        <v>13</v>
      </c>
      <c r="H1" s="4" t="s">
        <v>227</v>
      </c>
    </row>
    <row r="2" spans="1:31">
      <c r="A2" s="4" t="s">
        <v>97</v>
      </c>
      <c r="B2" s="7" t="s">
        <v>85</v>
      </c>
      <c r="C2" s="6"/>
      <c r="D2" s="6" t="s">
        <v>96</v>
      </c>
      <c r="E2" s="6">
        <v>315000341</v>
      </c>
      <c r="F2" s="6">
        <v>1</v>
      </c>
      <c r="G2" s="6" t="s">
        <v>8</v>
      </c>
      <c r="H2" s="6">
        <v>1</v>
      </c>
    </row>
    <row r="3" spans="1:31">
      <c r="A3" s="6" t="s">
        <v>236</v>
      </c>
      <c r="B3" s="7" t="s">
        <v>85</v>
      </c>
      <c r="C3" s="6"/>
      <c r="D3" s="6"/>
      <c r="E3" s="6"/>
      <c r="F3" s="6">
        <v>1</v>
      </c>
      <c r="G3" s="6" t="s">
        <v>8</v>
      </c>
      <c r="H3" s="6">
        <v>1</v>
      </c>
      <c r="K3" t="s">
        <v>0</v>
      </c>
      <c r="L3" t="s">
        <v>1</v>
      </c>
      <c r="M3" t="s">
        <v>2</v>
      </c>
      <c r="N3" s="4" t="s">
        <v>3</v>
      </c>
      <c r="O3" s="4" t="s">
        <v>4</v>
      </c>
      <c r="P3" t="s">
        <v>18</v>
      </c>
      <c r="Q3" t="s">
        <v>14</v>
      </c>
      <c r="W3" t="s">
        <v>28</v>
      </c>
      <c r="Y3" s="46" t="s">
        <v>225</v>
      </c>
      <c r="Z3" s="46"/>
      <c r="AA3" s="46"/>
      <c r="AB3" s="46"/>
      <c r="AC3" s="46"/>
      <c r="AD3" s="46"/>
    </row>
    <row r="4" spans="1:31">
      <c r="A4" s="6" t="s">
        <v>95</v>
      </c>
      <c r="B4" s="7" t="s">
        <v>85</v>
      </c>
      <c r="C4" s="6"/>
      <c r="D4" s="6" t="s">
        <v>96</v>
      </c>
      <c r="E4" s="6">
        <v>28999</v>
      </c>
      <c r="F4" s="6">
        <v>1</v>
      </c>
      <c r="G4" s="6" t="s">
        <v>8</v>
      </c>
      <c r="H4" s="6">
        <v>1</v>
      </c>
      <c r="K4" t="s">
        <v>152</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152</v>
      </c>
      <c r="L5" t="s">
        <v>19</v>
      </c>
      <c r="P5">
        <v>2</v>
      </c>
      <c r="Q5" t="s">
        <v>15</v>
      </c>
      <c r="W5" t="s">
        <v>29</v>
      </c>
      <c r="Y5">
        <v>1</v>
      </c>
      <c r="Z5">
        <v>1</v>
      </c>
      <c r="AA5">
        <v>1</v>
      </c>
      <c r="AB5">
        <v>1</v>
      </c>
      <c r="AC5">
        <v>1</v>
      </c>
      <c r="AD5" t="s">
        <v>226</v>
      </c>
      <c r="AE5" t="s">
        <v>36</v>
      </c>
    </row>
    <row r="6" spans="1:31">
      <c r="A6" s="6" t="s">
        <v>32</v>
      </c>
      <c r="B6" s="7" t="s">
        <v>71</v>
      </c>
      <c r="C6" s="6" t="s">
        <v>33</v>
      </c>
      <c r="D6" s="6" t="s">
        <v>27</v>
      </c>
      <c r="E6" s="6">
        <v>2130600061</v>
      </c>
      <c r="F6" s="6">
        <v>2</v>
      </c>
      <c r="G6" s="6" t="s">
        <v>5</v>
      </c>
      <c r="H6" s="6">
        <v>1</v>
      </c>
      <c r="K6" t="s">
        <v>152</v>
      </c>
      <c r="L6" t="s">
        <v>20</v>
      </c>
      <c r="P6">
        <v>1</v>
      </c>
      <c r="Q6" t="s">
        <v>15</v>
      </c>
      <c r="W6" t="s">
        <v>485</v>
      </c>
      <c r="Y6">
        <v>2</v>
      </c>
      <c r="AC6">
        <v>2</v>
      </c>
      <c r="AD6" t="s">
        <v>228</v>
      </c>
    </row>
    <row r="7" spans="1:31">
      <c r="A7" s="6" t="s">
        <v>32</v>
      </c>
      <c r="B7" s="7" t="s">
        <v>74</v>
      </c>
      <c r="C7" s="6" t="s">
        <v>33</v>
      </c>
      <c r="D7" s="6" t="s">
        <v>27</v>
      </c>
      <c r="E7" s="6" t="s">
        <v>27</v>
      </c>
      <c r="F7" s="6">
        <v>1</v>
      </c>
      <c r="G7" s="6" t="s">
        <v>5</v>
      </c>
      <c r="H7" s="6">
        <v>1</v>
      </c>
      <c r="K7" t="s">
        <v>152</v>
      </c>
      <c r="L7" t="s">
        <v>21</v>
      </c>
      <c r="P7">
        <v>1</v>
      </c>
      <c r="Q7" t="s">
        <v>15</v>
      </c>
      <c r="W7" t="s">
        <v>29</v>
      </c>
      <c r="Y7">
        <v>3</v>
      </c>
      <c r="AC7">
        <v>3</v>
      </c>
      <c r="AD7" t="s">
        <v>229</v>
      </c>
    </row>
    <row r="8" spans="1:31">
      <c r="A8" s="6" t="s">
        <v>32</v>
      </c>
      <c r="B8" s="7" t="s">
        <v>71</v>
      </c>
      <c r="C8" s="6" t="s">
        <v>72</v>
      </c>
      <c r="D8" s="6" t="s">
        <v>27</v>
      </c>
      <c r="E8" s="6" t="s">
        <v>78</v>
      </c>
      <c r="F8" s="6">
        <v>1</v>
      </c>
      <c r="G8" s="6" t="s">
        <v>5</v>
      </c>
      <c r="H8" s="6">
        <v>1</v>
      </c>
      <c r="K8" t="s">
        <v>152</v>
      </c>
      <c r="L8" t="s">
        <v>22</v>
      </c>
      <c r="P8">
        <v>1</v>
      </c>
      <c r="Q8" t="s">
        <v>15</v>
      </c>
      <c r="W8" t="s">
        <v>486</v>
      </c>
      <c r="Y8">
        <v>4</v>
      </c>
    </row>
    <row r="9" spans="1:31">
      <c r="A9" s="6" t="s">
        <v>73</v>
      </c>
      <c r="B9" s="7" t="s">
        <v>71</v>
      </c>
      <c r="C9" s="6" t="s">
        <v>72</v>
      </c>
      <c r="D9" s="6" t="s">
        <v>27</v>
      </c>
      <c r="E9" s="6" t="s">
        <v>27</v>
      </c>
      <c r="F9" s="6">
        <v>1</v>
      </c>
      <c r="G9" s="6" t="s">
        <v>5</v>
      </c>
      <c r="H9" s="6">
        <v>1</v>
      </c>
      <c r="K9" t="s">
        <v>152</v>
      </c>
      <c r="L9" t="s">
        <v>24</v>
      </c>
      <c r="P9">
        <v>1</v>
      </c>
      <c r="Q9" t="s">
        <v>15</v>
      </c>
      <c r="W9" t="s">
        <v>93</v>
      </c>
    </row>
    <row r="10" spans="1:31">
      <c r="A10" s="6" t="s">
        <v>11</v>
      </c>
      <c r="B10" s="7" t="s">
        <v>75</v>
      </c>
      <c r="C10" s="6" t="s">
        <v>30</v>
      </c>
      <c r="D10" s="6" t="s">
        <v>27</v>
      </c>
      <c r="E10" s="6" t="s">
        <v>27</v>
      </c>
      <c r="F10" s="6">
        <v>3</v>
      </c>
      <c r="G10" s="6" t="s">
        <v>5</v>
      </c>
      <c r="H10" s="6">
        <v>1</v>
      </c>
      <c r="K10" t="s">
        <v>152</v>
      </c>
      <c r="L10" t="s">
        <v>25</v>
      </c>
      <c r="P10">
        <v>1</v>
      </c>
      <c r="Q10" t="s">
        <v>15</v>
      </c>
    </row>
    <row r="11" spans="1:31">
      <c r="A11" s="6" t="s">
        <v>11</v>
      </c>
      <c r="B11" s="7" t="s">
        <v>488</v>
      </c>
      <c r="C11" s="6" t="s">
        <v>120</v>
      </c>
      <c r="D11" s="6" t="s">
        <v>27</v>
      </c>
      <c r="E11" s="6" t="s">
        <v>27</v>
      </c>
      <c r="F11" s="6">
        <v>1</v>
      </c>
      <c r="G11" s="6" t="s">
        <v>5</v>
      </c>
      <c r="H11" s="6">
        <v>1</v>
      </c>
      <c r="K11" t="s">
        <v>152</v>
      </c>
      <c r="L11" t="s">
        <v>26</v>
      </c>
      <c r="P11">
        <v>4</v>
      </c>
      <c r="Q11" t="s">
        <v>15</v>
      </c>
    </row>
    <row r="12" spans="1:31">
      <c r="A12" s="6" t="s">
        <v>11</v>
      </c>
      <c r="B12" s="7" t="s">
        <v>76</v>
      </c>
      <c r="C12" s="6" t="s">
        <v>77</v>
      </c>
      <c r="D12" s="6" t="s">
        <v>27</v>
      </c>
      <c r="E12" s="6" t="s">
        <v>27</v>
      </c>
      <c r="F12" s="6">
        <v>1</v>
      </c>
      <c r="G12" s="6" t="s">
        <v>5</v>
      </c>
      <c r="H12" s="6">
        <v>1</v>
      </c>
      <c r="K12" t="s">
        <v>152</v>
      </c>
      <c r="L12" t="s">
        <v>23</v>
      </c>
      <c r="P12">
        <v>1</v>
      </c>
      <c r="Q12" t="s">
        <v>15</v>
      </c>
    </row>
    <row r="13" spans="1:31">
      <c r="A13" s="6" t="s">
        <v>11</v>
      </c>
      <c r="B13" s="7" t="s">
        <v>241</v>
      </c>
      <c r="C13" s="6" t="s">
        <v>79</v>
      </c>
      <c r="D13" s="6" t="s">
        <v>27</v>
      </c>
      <c r="E13" s="6" t="s">
        <v>27</v>
      </c>
      <c r="F13" s="6">
        <v>1</v>
      </c>
      <c r="G13" s="6" t="s">
        <v>5</v>
      </c>
      <c r="H13" s="6">
        <v>1</v>
      </c>
      <c r="K13" t="s">
        <v>428</v>
      </c>
      <c r="L13" t="s">
        <v>144</v>
      </c>
      <c r="P13">
        <v>10</v>
      </c>
      <c r="Q13" t="s">
        <v>486</v>
      </c>
    </row>
    <row r="14" spans="1:31">
      <c r="A14" s="6" t="s">
        <v>43</v>
      </c>
      <c r="B14" s="7" t="s">
        <v>68</v>
      </c>
      <c r="C14" s="6" t="s">
        <v>66</v>
      </c>
      <c r="D14" s="6" t="s">
        <v>27</v>
      </c>
      <c r="E14" s="6" t="s">
        <v>27</v>
      </c>
      <c r="F14" s="6">
        <v>1</v>
      </c>
      <c r="G14" s="6" t="s">
        <v>6</v>
      </c>
      <c r="H14" s="6">
        <v>1</v>
      </c>
      <c r="K14" t="s">
        <v>428</v>
      </c>
      <c r="L14" t="s">
        <v>145</v>
      </c>
      <c r="P14">
        <v>4</v>
      </c>
      <c r="Q14" t="s">
        <v>486</v>
      </c>
    </row>
    <row r="15" spans="1:31">
      <c r="A15" s="6" t="s">
        <v>43</v>
      </c>
      <c r="B15" s="7" t="s">
        <v>745</v>
      </c>
      <c r="C15" s="6" t="s">
        <v>66</v>
      </c>
      <c r="D15" s="6" t="s">
        <v>27</v>
      </c>
      <c r="E15" s="6" t="s">
        <v>27</v>
      </c>
      <c r="F15" s="6">
        <v>1</v>
      </c>
      <c r="G15" s="6" t="s">
        <v>6</v>
      </c>
      <c r="H15" s="6">
        <v>1</v>
      </c>
      <c r="K15" t="s">
        <v>428</v>
      </c>
      <c r="L15" t="s">
        <v>146</v>
      </c>
      <c r="P15">
        <v>3</v>
      </c>
      <c r="Q15" t="s">
        <v>486</v>
      </c>
    </row>
    <row r="16" spans="1:31">
      <c r="A16" s="6" t="s">
        <v>46</v>
      </c>
      <c r="B16" s="7"/>
      <c r="C16" s="6"/>
      <c r="D16" s="6" t="s">
        <v>47</v>
      </c>
      <c r="E16" s="6" t="s">
        <v>27</v>
      </c>
      <c r="F16" s="6">
        <v>4</v>
      </c>
      <c r="G16" s="6" t="s">
        <v>6</v>
      </c>
      <c r="H16" s="6">
        <v>1</v>
      </c>
      <c r="K16" t="s">
        <v>136</v>
      </c>
      <c r="L16" t="s">
        <v>192</v>
      </c>
      <c r="P16">
        <v>1</v>
      </c>
      <c r="Q16" t="s">
        <v>29</v>
      </c>
    </row>
    <row r="17" spans="1:17">
      <c r="A17" s="6" t="s">
        <v>53</v>
      </c>
      <c r="B17" s="7" t="s">
        <v>233</v>
      </c>
      <c r="C17" s="6"/>
      <c r="D17" s="6" t="s">
        <v>27</v>
      </c>
      <c r="E17" s="6" t="s">
        <v>27</v>
      </c>
      <c r="F17" s="6">
        <v>6</v>
      </c>
      <c r="G17" s="6" t="s">
        <v>6</v>
      </c>
      <c r="H17" s="6">
        <v>1</v>
      </c>
      <c r="K17" t="s">
        <v>136</v>
      </c>
      <c r="L17" t="s">
        <v>137</v>
      </c>
      <c r="P17">
        <v>0</v>
      </c>
      <c r="Q17" t="s">
        <v>29</v>
      </c>
    </row>
    <row r="18" spans="1:17">
      <c r="A18" s="6" t="s">
        <v>61</v>
      </c>
      <c r="B18" s="7" t="s">
        <v>62</v>
      </c>
      <c r="C18" s="6" t="s">
        <v>63</v>
      </c>
      <c r="D18" s="6" t="s">
        <v>27</v>
      </c>
      <c r="E18" s="6" t="s">
        <v>27</v>
      </c>
      <c r="F18" s="6">
        <v>1</v>
      </c>
      <c r="G18" s="6" t="s">
        <v>6</v>
      </c>
      <c r="H18" s="6">
        <v>1</v>
      </c>
      <c r="K18" t="s">
        <v>152</v>
      </c>
      <c r="L18" t="s">
        <v>193</v>
      </c>
      <c r="P18">
        <v>0</v>
      </c>
      <c r="Q18" t="s">
        <v>29</v>
      </c>
    </row>
    <row r="19" spans="1:17" ht="30">
      <c r="A19" s="6" t="s">
        <v>32</v>
      </c>
      <c r="B19" s="7" t="s">
        <v>51</v>
      </c>
      <c r="C19" s="6" t="s">
        <v>1046</v>
      </c>
      <c r="D19" s="6" t="s">
        <v>27</v>
      </c>
      <c r="E19" s="6" t="s">
        <v>27</v>
      </c>
      <c r="F19" s="6">
        <v>1</v>
      </c>
      <c r="G19" s="6" t="s">
        <v>6</v>
      </c>
      <c r="H19" s="6">
        <v>1</v>
      </c>
      <c r="K19" t="s">
        <v>152</v>
      </c>
      <c r="L19" t="s">
        <v>194</v>
      </c>
      <c r="P19">
        <v>0</v>
      </c>
      <c r="Q19" t="s">
        <v>29</v>
      </c>
    </row>
    <row r="20" spans="1:17">
      <c r="A20" s="6" t="s">
        <v>59</v>
      </c>
      <c r="B20" s="7" t="s">
        <v>60</v>
      </c>
      <c r="C20" s="6" t="s">
        <v>33</v>
      </c>
      <c r="D20" s="6" t="s">
        <v>27</v>
      </c>
      <c r="E20" s="6" t="s">
        <v>27</v>
      </c>
      <c r="F20" s="6">
        <v>1</v>
      </c>
      <c r="G20" s="6" t="s">
        <v>6</v>
      </c>
      <c r="H20" s="6">
        <v>1</v>
      </c>
      <c r="K20" t="s">
        <v>782</v>
      </c>
      <c r="L20" t="s">
        <v>195</v>
      </c>
      <c r="P20">
        <v>0</v>
      </c>
      <c r="Q20" t="s">
        <v>29</v>
      </c>
    </row>
    <row r="21" spans="1:17">
      <c r="A21" s="6" t="s">
        <v>44</v>
      </c>
      <c r="B21" s="7"/>
      <c r="C21" s="6" t="s">
        <v>70</v>
      </c>
      <c r="D21" s="6" t="s">
        <v>27</v>
      </c>
      <c r="E21" s="6" t="s">
        <v>27</v>
      </c>
      <c r="F21" s="6">
        <v>1</v>
      </c>
      <c r="G21" s="6" t="s">
        <v>6</v>
      </c>
      <c r="H21" s="6">
        <v>1</v>
      </c>
      <c r="K21" t="s">
        <v>152</v>
      </c>
      <c r="L21" t="s">
        <v>196</v>
      </c>
      <c r="P21">
        <v>1</v>
      </c>
      <c r="Q21" t="s">
        <v>29</v>
      </c>
    </row>
    <row r="22" spans="1:17">
      <c r="A22" s="6" t="s">
        <v>44</v>
      </c>
      <c r="B22" s="7"/>
      <c r="C22" s="6" t="s">
        <v>69</v>
      </c>
      <c r="D22" s="6" t="s">
        <v>27</v>
      </c>
      <c r="E22" s="6" t="s">
        <v>27</v>
      </c>
      <c r="F22" s="6">
        <v>1</v>
      </c>
      <c r="G22" s="6" t="s">
        <v>6</v>
      </c>
      <c r="H22" s="6">
        <v>1</v>
      </c>
      <c r="K22" t="s">
        <v>152</v>
      </c>
      <c r="L22" t="s">
        <v>197</v>
      </c>
      <c r="P22">
        <v>1</v>
      </c>
      <c r="Q22" t="s">
        <v>29</v>
      </c>
    </row>
    <row r="23" spans="1:17">
      <c r="A23" s="6" t="s">
        <v>44</v>
      </c>
      <c r="B23" s="7"/>
      <c r="C23" s="6" t="s">
        <v>45</v>
      </c>
      <c r="D23" s="6" t="s">
        <v>27</v>
      </c>
      <c r="E23" s="6" t="s">
        <v>27</v>
      </c>
      <c r="F23" s="6">
        <v>1</v>
      </c>
      <c r="G23" s="6" t="s">
        <v>6</v>
      </c>
      <c r="H23" s="6">
        <v>1</v>
      </c>
      <c r="K23" t="s">
        <v>152</v>
      </c>
      <c r="L23" t="s">
        <v>26</v>
      </c>
      <c r="P23">
        <v>0</v>
      </c>
      <c r="Q23" t="s">
        <v>29</v>
      </c>
    </row>
    <row r="24" spans="1:17">
      <c r="A24" s="6" t="s">
        <v>44</v>
      </c>
      <c r="B24" s="7"/>
      <c r="C24" s="6" t="s">
        <v>67</v>
      </c>
      <c r="D24" s="6" t="s">
        <v>27</v>
      </c>
      <c r="E24" s="6" t="s">
        <v>27</v>
      </c>
      <c r="F24" s="6">
        <v>3</v>
      </c>
      <c r="G24" s="6" t="s">
        <v>6</v>
      </c>
      <c r="H24" s="6">
        <v>1</v>
      </c>
      <c r="K24" t="s">
        <v>152</v>
      </c>
      <c r="L24" t="s">
        <v>198</v>
      </c>
      <c r="P24">
        <v>0</v>
      </c>
      <c r="Q24" t="s">
        <v>29</v>
      </c>
    </row>
    <row r="25" spans="1:17">
      <c r="A25" s="6" t="s">
        <v>11</v>
      </c>
      <c r="B25" s="7" t="s">
        <v>57</v>
      </c>
      <c r="C25" s="6" t="s">
        <v>58</v>
      </c>
      <c r="D25" s="6" t="s">
        <v>27</v>
      </c>
      <c r="E25" s="6" t="s">
        <v>27</v>
      </c>
      <c r="F25" s="6">
        <v>1</v>
      </c>
      <c r="G25" s="6" t="s">
        <v>6</v>
      </c>
      <c r="H25" s="6">
        <v>1</v>
      </c>
      <c r="K25" t="s">
        <v>152</v>
      </c>
      <c r="L25" t="s">
        <v>199</v>
      </c>
      <c r="P25">
        <v>1</v>
      </c>
      <c r="Q25" t="s">
        <v>29</v>
      </c>
    </row>
    <row r="26" spans="1:17">
      <c r="A26" s="6" t="s">
        <v>11</v>
      </c>
      <c r="B26" s="7" t="s">
        <v>49</v>
      </c>
      <c r="C26" s="6" t="s">
        <v>31</v>
      </c>
      <c r="D26" s="6" t="s">
        <v>27</v>
      </c>
      <c r="E26" s="6" t="s">
        <v>27</v>
      </c>
      <c r="F26" s="6">
        <v>4</v>
      </c>
      <c r="G26" s="6" t="s">
        <v>6</v>
      </c>
      <c r="H26" s="6">
        <v>1</v>
      </c>
      <c r="K26" t="s">
        <v>152</v>
      </c>
      <c r="L26" t="s">
        <v>200</v>
      </c>
      <c r="P26">
        <v>0</v>
      </c>
      <c r="Q26" t="s">
        <v>29</v>
      </c>
    </row>
    <row r="27" spans="1:17">
      <c r="A27" s="6" t="s">
        <v>54</v>
      </c>
      <c r="B27" s="7"/>
      <c r="C27" s="6" t="s">
        <v>55</v>
      </c>
      <c r="D27" s="6" t="s">
        <v>56</v>
      </c>
      <c r="E27" s="6">
        <v>30674</v>
      </c>
      <c r="F27" s="6">
        <v>1</v>
      </c>
      <c r="G27" s="6" t="s">
        <v>6</v>
      </c>
      <c r="H27" s="6">
        <v>1</v>
      </c>
      <c r="K27" t="s">
        <v>152</v>
      </c>
      <c r="L27" t="s">
        <v>201</v>
      </c>
      <c r="P27">
        <v>1</v>
      </c>
      <c r="Q27" t="s">
        <v>29</v>
      </c>
    </row>
    <row r="28" spans="1:17">
      <c r="A28" s="6" t="s">
        <v>107</v>
      </c>
      <c r="B28" s="7" t="s">
        <v>121</v>
      </c>
      <c r="C28" s="6" t="s">
        <v>122</v>
      </c>
      <c r="D28" s="6"/>
      <c r="E28" s="6"/>
      <c r="F28" s="6">
        <v>2</v>
      </c>
      <c r="G28" s="6" t="s">
        <v>9</v>
      </c>
      <c r="H28" s="6">
        <v>1</v>
      </c>
      <c r="K28" t="s">
        <v>684</v>
      </c>
      <c r="L28" t="s">
        <v>202</v>
      </c>
      <c r="P28">
        <v>0</v>
      </c>
      <c r="Q28" t="s">
        <v>29</v>
      </c>
    </row>
    <row r="29" spans="1:17">
      <c r="A29" s="6" t="s">
        <v>107</v>
      </c>
      <c r="B29" s="7" t="s">
        <v>121</v>
      </c>
      <c r="C29" s="6" t="s">
        <v>123</v>
      </c>
      <c r="D29" s="6"/>
      <c r="E29" s="6"/>
      <c r="F29" s="6">
        <v>1</v>
      </c>
      <c r="G29" s="6" t="s">
        <v>9</v>
      </c>
      <c r="H29" s="6">
        <v>1</v>
      </c>
      <c r="K29" t="s">
        <v>152</v>
      </c>
      <c r="L29" t="s">
        <v>203</v>
      </c>
      <c r="P29">
        <v>2</v>
      </c>
      <c r="Q29" t="s">
        <v>29</v>
      </c>
    </row>
    <row r="30" spans="1:17">
      <c r="A30" s="6" t="s">
        <v>131</v>
      </c>
      <c r="B30" s="7" t="s">
        <v>132</v>
      </c>
      <c r="C30" s="6"/>
      <c r="D30" s="6" t="s">
        <v>133</v>
      </c>
      <c r="E30" s="6" t="s">
        <v>134</v>
      </c>
      <c r="F30" s="6">
        <v>1</v>
      </c>
      <c r="G30" s="6" t="s">
        <v>9</v>
      </c>
      <c r="H30" s="6">
        <v>1</v>
      </c>
      <c r="K30" t="s">
        <v>152</v>
      </c>
      <c r="L30" t="s">
        <v>204</v>
      </c>
      <c r="P30">
        <v>0</v>
      </c>
      <c r="Q30" t="s">
        <v>29</v>
      </c>
    </row>
    <row r="31" spans="1:17">
      <c r="A31" s="6" t="s">
        <v>128</v>
      </c>
      <c r="B31" s="7" t="s">
        <v>1035</v>
      </c>
      <c r="C31" s="6" t="s">
        <v>675</v>
      </c>
      <c r="D31" s="6" t="s">
        <v>130</v>
      </c>
      <c r="E31" s="6">
        <v>1078949</v>
      </c>
      <c r="F31" s="6">
        <v>1</v>
      </c>
      <c r="G31" s="6" t="s">
        <v>9</v>
      </c>
      <c r="H31" s="6">
        <v>1</v>
      </c>
      <c r="K31" t="s">
        <v>152</v>
      </c>
      <c r="L31" t="s">
        <v>205</v>
      </c>
      <c r="P31">
        <v>0</v>
      </c>
      <c r="Q31" t="s">
        <v>29</v>
      </c>
    </row>
    <row r="32" spans="1:17">
      <c r="A32" s="6" t="s">
        <v>11</v>
      </c>
      <c r="B32" s="7" t="s">
        <v>115</v>
      </c>
      <c r="C32" s="6" t="s">
        <v>116</v>
      </c>
      <c r="D32" s="6"/>
      <c r="E32" s="6"/>
      <c r="F32" s="6">
        <v>2</v>
      </c>
      <c r="G32" s="6" t="s">
        <v>9</v>
      </c>
      <c r="H32" s="6">
        <v>1</v>
      </c>
      <c r="K32" t="s">
        <v>428</v>
      </c>
      <c r="L32" t="s">
        <v>487</v>
      </c>
      <c r="P32">
        <v>20</v>
      </c>
      <c r="Q32" t="s">
        <v>485</v>
      </c>
    </row>
    <row r="33" spans="1:17">
      <c r="A33" s="6" t="s">
        <v>11</v>
      </c>
      <c r="B33" s="7" t="s">
        <v>57</v>
      </c>
      <c r="C33" s="6" t="s">
        <v>79</v>
      </c>
      <c r="D33" s="6"/>
      <c r="E33" s="6"/>
      <c r="F33" s="6">
        <v>4</v>
      </c>
      <c r="G33" s="6" t="s">
        <v>9</v>
      </c>
      <c r="H33" s="6">
        <v>1</v>
      </c>
      <c r="K33" t="s">
        <v>355</v>
      </c>
      <c r="L33" t="s">
        <v>1032</v>
      </c>
      <c r="M33" t="s">
        <v>482</v>
      </c>
      <c r="P33">
        <v>2</v>
      </c>
      <c r="Q33" t="s">
        <v>93</v>
      </c>
    </row>
    <row r="34" spans="1:17">
      <c r="A34" s="6" t="s">
        <v>11</v>
      </c>
      <c r="B34" s="7" t="s">
        <v>117</v>
      </c>
      <c r="C34" s="6" t="s">
        <v>118</v>
      </c>
      <c r="D34" s="6"/>
      <c r="E34" s="6"/>
      <c r="F34" s="6">
        <v>1</v>
      </c>
      <c r="G34" s="6" t="s">
        <v>9</v>
      </c>
      <c r="H34" s="6">
        <v>1</v>
      </c>
      <c r="K34" t="s">
        <v>355</v>
      </c>
      <c r="L34" t="s">
        <v>769</v>
      </c>
      <c r="M34" t="s">
        <v>581</v>
      </c>
      <c r="P34">
        <v>2</v>
      </c>
      <c r="Q34" t="s">
        <v>93</v>
      </c>
    </row>
    <row r="35" spans="1:17">
      <c r="A35" s="6" t="s">
        <v>11</v>
      </c>
      <c r="B35" s="7" t="s">
        <v>119</v>
      </c>
      <c r="C35" s="6" t="s">
        <v>120</v>
      </c>
      <c r="D35" s="6"/>
      <c r="E35" s="6"/>
      <c r="F35" s="6">
        <v>1</v>
      </c>
      <c r="G35" s="6" t="s">
        <v>9</v>
      </c>
      <c r="H35" s="6">
        <v>1</v>
      </c>
      <c r="K35" t="s">
        <v>355</v>
      </c>
      <c r="L35" t="s">
        <v>1034</v>
      </c>
      <c r="M35" t="s">
        <v>579</v>
      </c>
      <c r="P35">
        <v>2</v>
      </c>
      <c r="Q35" t="s">
        <v>93</v>
      </c>
    </row>
    <row r="36" spans="1:17">
      <c r="A36" s="6" t="s">
        <v>11</v>
      </c>
      <c r="B36" s="7" t="s">
        <v>117</v>
      </c>
      <c r="C36" s="6" t="s">
        <v>120</v>
      </c>
      <c r="D36" s="6"/>
      <c r="E36" s="6"/>
      <c r="F36" s="6">
        <v>1</v>
      </c>
      <c r="G36" s="6" t="s">
        <v>9</v>
      </c>
      <c r="H36" s="6">
        <v>1</v>
      </c>
      <c r="K36" t="s">
        <v>355</v>
      </c>
      <c r="L36" t="s">
        <v>1033</v>
      </c>
      <c r="M36" t="s">
        <v>580</v>
      </c>
      <c r="P36">
        <v>7</v>
      </c>
      <c r="Q36" t="s">
        <v>93</v>
      </c>
    </row>
    <row r="37" spans="1:17">
      <c r="A37" s="6" t="s">
        <v>169</v>
      </c>
      <c r="B37" s="7"/>
      <c r="C37" s="6" t="s">
        <v>63</v>
      </c>
      <c r="D37" s="6"/>
      <c r="E37" s="6"/>
      <c r="F37" s="6">
        <v>1</v>
      </c>
      <c r="G37" s="6" t="s">
        <v>10</v>
      </c>
      <c r="H37" s="6">
        <v>1</v>
      </c>
      <c r="K37" s="30" t="s">
        <v>152</v>
      </c>
      <c r="L37" s="30" t="s">
        <v>17</v>
      </c>
      <c r="M37" s="30"/>
      <c r="N37" s="30"/>
      <c r="O37" s="30"/>
      <c r="P37" s="30">
        <v>1</v>
      </c>
      <c r="Q37" t="s">
        <v>29</v>
      </c>
    </row>
    <row r="38" spans="1:17">
      <c r="A38" s="6" t="s">
        <v>170</v>
      </c>
      <c r="B38" s="7"/>
      <c r="C38" s="6" t="s">
        <v>231</v>
      </c>
      <c r="D38" s="6"/>
      <c r="E38" s="6"/>
      <c r="F38" s="6">
        <v>1</v>
      </c>
      <c r="G38" s="6" t="s">
        <v>10</v>
      </c>
      <c r="H38" s="6">
        <v>1</v>
      </c>
      <c r="K38" s="30" t="s">
        <v>152</v>
      </c>
      <c r="L38" s="30" t="s">
        <v>25</v>
      </c>
      <c r="M38" s="30"/>
      <c r="N38" s="30"/>
      <c r="O38" s="30"/>
      <c r="P38" s="30">
        <v>1</v>
      </c>
      <c r="Q38" t="s">
        <v>29</v>
      </c>
    </row>
    <row r="39" spans="1:17">
      <c r="A39" s="6" t="s">
        <v>152</v>
      </c>
      <c r="B39" s="7" t="s">
        <v>172</v>
      </c>
      <c r="C39" s="6"/>
      <c r="D39" s="6"/>
      <c r="E39" s="6"/>
      <c r="F39" s="6">
        <v>1</v>
      </c>
      <c r="G39" s="6" t="s">
        <v>10</v>
      </c>
      <c r="H39" s="6">
        <v>1</v>
      </c>
    </row>
    <row r="40" spans="1:17">
      <c r="A40" s="6" t="s">
        <v>152</v>
      </c>
      <c r="B40" s="7" t="s">
        <v>173</v>
      </c>
      <c r="C40" s="6"/>
      <c r="D40" s="6"/>
      <c r="E40" s="6"/>
      <c r="F40" s="6">
        <v>3</v>
      </c>
      <c r="G40" s="6" t="s">
        <v>10</v>
      </c>
      <c r="H40" s="6">
        <v>1</v>
      </c>
    </row>
    <row r="41" spans="1:17">
      <c r="A41" s="6" t="s">
        <v>152</v>
      </c>
      <c r="B41" s="7" t="s">
        <v>174</v>
      </c>
      <c r="C41" s="6"/>
      <c r="D41" s="6"/>
      <c r="E41" s="6"/>
      <c r="F41" s="6">
        <v>1</v>
      </c>
      <c r="G41" s="6" t="s">
        <v>10</v>
      </c>
      <c r="H41" s="6">
        <v>1</v>
      </c>
    </row>
    <row r="42" spans="1:17">
      <c r="A42" s="6" t="s">
        <v>12</v>
      </c>
      <c r="B42" s="7" t="s">
        <v>176</v>
      </c>
      <c r="C42" s="6"/>
      <c r="D42" s="6" t="s">
        <v>177</v>
      </c>
      <c r="E42" s="6" t="s">
        <v>179</v>
      </c>
      <c r="F42" s="6">
        <v>1</v>
      </c>
      <c r="G42" s="6" t="s">
        <v>10</v>
      </c>
      <c r="H42" s="6">
        <v>1</v>
      </c>
    </row>
    <row r="43" spans="1:17">
      <c r="A43" s="6" t="s">
        <v>12</v>
      </c>
      <c r="B43" s="7" t="s">
        <v>175</v>
      </c>
      <c r="C43" s="6" t="s">
        <v>180</v>
      </c>
      <c r="D43" s="6" t="s">
        <v>182</v>
      </c>
      <c r="E43" s="6" t="s">
        <v>181</v>
      </c>
      <c r="F43" s="6">
        <v>1</v>
      </c>
      <c r="G43" s="6" t="s">
        <v>10</v>
      </c>
      <c r="H43" s="6">
        <v>1</v>
      </c>
    </row>
    <row r="44" spans="1:17">
      <c r="A44" s="6" t="s">
        <v>12</v>
      </c>
      <c r="B44" s="7" t="s">
        <v>175</v>
      </c>
      <c r="C44" s="6" t="s">
        <v>183</v>
      </c>
      <c r="D44" s="6" t="s">
        <v>178</v>
      </c>
      <c r="E44" s="6"/>
      <c r="F44" s="6">
        <v>1</v>
      </c>
      <c r="G44" s="6" t="s">
        <v>10</v>
      </c>
      <c r="H44" s="6">
        <v>1</v>
      </c>
    </row>
    <row r="45" spans="1:17">
      <c r="A45" s="6" t="s">
        <v>171</v>
      </c>
      <c r="B45" s="7"/>
      <c r="C45" s="6" t="s">
        <v>232</v>
      </c>
      <c r="D45" s="6"/>
      <c r="E45" s="6"/>
      <c r="F45" s="6">
        <v>1</v>
      </c>
      <c r="G45" s="6" t="s">
        <v>10</v>
      </c>
      <c r="H45" s="6">
        <v>1</v>
      </c>
    </row>
    <row r="46" spans="1:17">
      <c r="A46" s="6" t="s">
        <v>11</v>
      </c>
      <c r="B46" s="7" t="s">
        <v>489</v>
      </c>
      <c r="C46" s="6" t="s">
        <v>79</v>
      </c>
      <c r="D46" s="6" t="s">
        <v>27</v>
      </c>
      <c r="E46" s="6" t="s">
        <v>27</v>
      </c>
      <c r="F46" s="6">
        <v>1</v>
      </c>
      <c r="G46" s="6" t="s">
        <v>5</v>
      </c>
      <c r="H46" s="6">
        <v>1</v>
      </c>
    </row>
    <row r="47" spans="1:17">
      <c r="A47" s="6" t="s">
        <v>11</v>
      </c>
      <c r="B47" s="7" t="s">
        <v>490</v>
      </c>
      <c r="C47" s="6" t="s">
        <v>30</v>
      </c>
      <c r="D47" s="6" t="s">
        <v>27</v>
      </c>
      <c r="E47" s="6" t="s">
        <v>27</v>
      </c>
      <c r="F47" s="6">
        <v>4</v>
      </c>
      <c r="G47" s="6" t="s">
        <v>5</v>
      </c>
      <c r="H47" s="6">
        <v>1</v>
      </c>
    </row>
    <row r="48" spans="1:17">
      <c r="A48" s="6" t="s">
        <v>12</v>
      </c>
      <c r="B48" s="7" t="s">
        <v>491</v>
      </c>
      <c r="C48" s="6"/>
      <c r="D48" s="6"/>
      <c r="E48" s="6"/>
      <c r="F48" s="6">
        <v>1</v>
      </c>
      <c r="G48" s="6" t="s">
        <v>5</v>
      </c>
      <c r="H48" s="6">
        <v>1</v>
      </c>
    </row>
    <row r="49" spans="1:8" ht="30">
      <c r="A49" s="6" t="s">
        <v>44</v>
      </c>
      <c r="B49" s="7" t="s">
        <v>492</v>
      </c>
      <c r="C49" s="6" t="s">
        <v>64</v>
      </c>
      <c r="D49" s="6"/>
      <c r="E49" s="6"/>
      <c r="F49" s="6">
        <v>1</v>
      </c>
      <c r="G49" s="6" t="s">
        <v>5</v>
      </c>
      <c r="H49" s="6">
        <v>1</v>
      </c>
    </row>
    <row r="50" spans="1:8" ht="30">
      <c r="A50" s="6" t="s">
        <v>152</v>
      </c>
      <c r="B50" s="7" t="s">
        <v>1036</v>
      </c>
      <c r="C50" s="6"/>
      <c r="D50" s="6"/>
      <c r="E50" s="6"/>
      <c r="F50" s="6">
        <v>1</v>
      </c>
      <c r="G50" s="6" t="s">
        <v>10</v>
      </c>
      <c r="H50" s="6">
        <v>1</v>
      </c>
    </row>
    <row r="51" spans="1:8">
      <c r="A51" s="6" t="s">
        <v>98</v>
      </c>
      <c r="B51" s="7" t="s">
        <v>99</v>
      </c>
      <c r="C51" s="6"/>
      <c r="D51" s="6" t="s">
        <v>96</v>
      </c>
      <c r="E51" s="6">
        <v>150181011</v>
      </c>
      <c r="F51" s="6">
        <v>2</v>
      </c>
      <c r="G51" s="6" t="s">
        <v>8</v>
      </c>
      <c r="H51" s="6">
        <v>2</v>
      </c>
    </row>
    <row r="52" spans="1:8">
      <c r="A52" s="6" t="s">
        <v>98</v>
      </c>
      <c r="B52" s="7" t="s">
        <v>100</v>
      </c>
      <c r="C52" s="6" t="s">
        <v>101</v>
      </c>
      <c r="D52" s="6"/>
      <c r="E52" s="6"/>
      <c r="F52" s="6">
        <v>1</v>
      </c>
      <c r="G52" s="6" t="s">
        <v>8</v>
      </c>
      <c r="H52" s="6">
        <v>2</v>
      </c>
    </row>
    <row r="53" spans="1:8">
      <c r="A53" s="6" t="s">
        <v>98</v>
      </c>
      <c r="B53" s="7" t="s">
        <v>100</v>
      </c>
      <c r="C53" s="6" t="s">
        <v>102</v>
      </c>
      <c r="D53" s="6"/>
      <c r="E53" s="6"/>
      <c r="F53" s="6">
        <v>1</v>
      </c>
      <c r="G53" s="6" t="s">
        <v>8</v>
      </c>
      <c r="H53" s="6">
        <v>2</v>
      </c>
    </row>
    <row r="54" spans="1:8">
      <c r="A54" s="6" t="s">
        <v>98</v>
      </c>
      <c r="B54" s="7" t="s">
        <v>111</v>
      </c>
      <c r="C54" s="6"/>
      <c r="D54" s="6" t="s">
        <v>96</v>
      </c>
      <c r="E54" s="6"/>
      <c r="F54" s="6">
        <v>2</v>
      </c>
      <c r="G54" s="6" t="s">
        <v>8</v>
      </c>
      <c r="H54" s="6">
        <v>2</v>
      </c>
    </row>
    <row r="55" spans="1:8">
      <c r="A55" s="6" t="s">
        <v>107</v>
      </c>
      <c r="B55" s="7" t="s">
        <v>108</v>
      </c>
      <c r="C55" s="6" t="s">
        <v>124</v>
      </c>
      <c r="D55" s="6"/>
      <c r="E55" s="6"/>
      <c r="F55" s="6">
        <v>2</v>
      </c>
      <c r="G55" s="6" t="s">
        <v>8</v>
      </c>
      <c r="H55" s="6">
        <v>2</v>
      </c>
    </row>
    <row r="56" spans="1:8">
      <c r="A56" s="6" t="s">
        <v>107</v>
      </c>
      <c r="B56" s="7" t="s">
        <v>112</v>
      </c>
      <c r="C56" s="6" t="s">
        <v>125</v>
      </c>
      <c r="D56" s="6"/>
      <c r="E56" s="6"/>
      <c r="F56" s="6">
        <v>1</v>
      </c>
      <c r="G56" s="6" t="s">
        <v>8</v>
      </c>
      <c r="H56" s="6">
        <v>3</v>
      </c>
    </row>
    <row r="57" spans="1:8">
      <c r="A57" s="6" t="s">
        <v>237</v>
      </c>
      <c r="B57" s="7"/>
      <c r="C57" s="6"/>
      <c r="D57" s="6" t="s">
        <v>96</v>
      </c>
      <c r="E57" s="6"/>
      <c r="F57" s="6">
        <v>1</v>
      </c>
      <c r="G57" s="6" t="s">
        <v>8</v>
      </c>
      <c r="H57" s="6">
        <v>2</v>
      </c>
    </row>
    <row r="58" spans="1:8">
      <c r="A58" s="6" t="s">
        <v>103</v>
      </c>
      <c r="B58" s="7"/>
      <c r="C58" s="6" t="s">
        <v>105</v>
      </c>
      <c r="D58" s="6"/>
      <c r="E58" s="6"/>
      <c r="F58" s="6">
        <v>5</v>
      </c>
      <c r="G58" s="6" t="s">
        <v>8</v>
      </c>
      <c r="H58" s="6">
        <v>2</v>
      </c>
    </row>
    <row r="59" spans="1:8">
      <c r="A59" s="6" t="s">
        <v>109</v>
      </c>
      <c r="B59" s="7" t="s">
        <v>110</v>
      </c>
      <c r="C59" s="6"/>
      <c r="D59" s="6"/>
      <c r="E59" s="6"/>
      <c r="F59" s="6">
        <v>1</v>
      </c>
      <c r="G59" s="6" t="s">
        <v>8</v>
      </c>
      <c r="H59" s="6">
        <v>2</v>
      </c>
    </row>
    <row r="60" spans="1:8">
      <c r="A60" s="6" t="s">
        <v>135</v>
      </c>
      <c r="B60" s="7"/>
      <c r="C60" s="6"/>
      <c r="D60" s="6"/>
      <c r="E60" s="6"/>
      <c r="F60" s="6">
        <v>2</v>
      </c>
      <c r="G60" s="6" t="s">
        <v>10</v>
      </c>
      <c r="H60" s="6">
        <v>2</v>
      </c>
    </row>
    <row r="61" spans="1:8">
      <c r="A61" s="6" t="s">
        <v>92</v>
      </c>
      <c r="B61" s="7" t="str">
        <f>bolso("Caja de tacos",Table6[])</f>
        <v xml:space="preserve">Caja de tacos Contiene: </v>
      </c>
      <c r="C61" s="6"/>
      <c r="D61" s="6"/>
      <c r="E61" s="6"/>
      <c r="F61" s="6">
        <v>1</v>
      </c>
      <c r="G61" s="6" t="s">
        <v>10</v>
      </c>
      <c r="H61" s="6">
        <v>2</v>
      </c>
    </row>
    <row r="62" spans="1:8">
      <c r="A62" s="6" t="s">
        <v>150</v>
      </c>
      <c r="B62" s="7" t="s">
        <v>151</v>
      </c>
      <c r="C62" s="6"/>
      <c r="D62" s="6"/>
      <c r="E62" s="6"/>
      <c r="F62" s="6">
        <v>1</v>
      </c>
      <c r="G62" s="6" t="s">
        <v>10</v>
      </c>
      <c r="H62" s="6">
        <v>2</v>
      </c>
    </row>
    <row r="63" spans="1:8">
      <c r="A63" s="6" t="s">
        <v>152</v>
      </c>
      <c r="B63" s="7" t="s">
        <v>161</v>
      </c>
      <c r="C63" s="6" t="s">
        <v>162</v>
      </c>
      <c r="D63" s="6"/>
      <c r="E63" s="6"/>
      <c r="F63" s="6">
        <v>1</v>
      </c>
      <c r="G63" s="6" t="s">
        <v>10</v>
      </c>
      <c r="H63" s="6">
        <v>2</v>
      </c>
    </row>
    <row r="64" spans="1:8">
      <c r="A64" s="6" t="s">
        <v>152</v>
      </c>
      <c r="B64" s="7" t="s">
        <v>161</v>
      </c>
      <c r="C64" s="6" t="s">
        <v>163</v>
      </c>
      <c r="D64" s="6"/>
      <c r="E64" s="6"/>
      <c r="F64" s="6">
        <v>1</v>
      </c>
      <c r="G64" s="6" t="s">
        <v>10</v>
      </c>
      <c r="H64" s="6">
        <v>2</v>
      </c>
    </row>
    <row r="65" spans="1:8">
      <c r="A65" s="6" t="s">
        <v>152</v>
      </c>
      <c r="B65" s="7" t="s">
        <v>164</v>
      </c>
      <c r="C65" s="6" t="s">
        <v>154</v>
      </c>
      <c r="D65" s="6"/>
      <c r="E65" s="6"/>
      <c r="F65" s="6">
        <v>1</v>
      </c>
      <c r="G65" s="6" t="s">
        <v>10</v>
      </c>
      <c r="H65" s="6">
        <v>2</v>
      </c>
    </row>
    <row r="66" spans="1:8">
      <c r="A66" s="6" t="s">
        <v>152</v>
      </c>
      <c r="B66" s="7" t="s">
        <v>164</v>
      </c>
      <c r="C66" s="6" t="s">
        <v>162</v>
      </c>
      <c r="D66" s="6"/>
      <c r="E66" s="6"/>
      <c r="F66" s="6">
        <v>2</v>
      </c>
      <c r="G66" s="6" t="s">
        <v>10</v>
      </c>
      <c r="H66" s="6">
        <v>2</v>
      </c>
    </row>
    <row r="67" spans="1:8">
      <c r="A67" s="6" t="s">
        <v>152</v>
      </c>
      <c r="B67" s="7" t="s">
        <v>165</v>
      </c>
      <c r="C67" s="6"/>
      <c r="D67" s="6"/>
      <c r="E67" s="6"/>
      <c r="F67" s="6">
        <v>1</v>
      </c>
      <c r="G67" s="6" t="s">
        <v>10</v>
      </c>
      <c r="H67" s="6">
        <v>2</v>
      </c>
    </row>
    <row r="68" spans="1:8">
      <c r="A68" s="6" t="s">
        <v>152</v>
      </c>
      <c r="B68" s="7" t="s">
        <v>166</v>
      </c>
      <c r="C68" s="6"/>
      <c r="D68" s="6"/>
      <c r="E68" s="6"/>
      <c r="F68" s="6">
        <v>1</v>
      </c>
      <c r="G68" s="6" t="s">
        <v>10</v>
      </c>
      <c r="H68" s="6">
        <v>2</v>
      </c>
    </row>
    <row r="69" spans="1:8">
      <c r="A69" s="6" t="s">
        <v>152</v>
      </c>
      <c r="B69" s="7" t="s">
        <v>167</v>
      </c>
      <c r="C69" s="6"/>
      <c r="D69" s="6"/>
      <c r="E69" s="6"/>
      <c r="F69" s="6">
        <v>1</v>
      </c>
      <c r="G69" s="6" t="s">
        <v>10</v>
      </c>
      <c r="H69" s="6">
        <v>2</v>
      </c>
    </row>
    <row r="70" spans="1:8">
      <c r="A70" s="6" t="s">
        <v>152</v>
      </c>
      <c r="B70" s="7" t="s">
        <v>168</v>
      </c>
      <c r="C70" s="6" t="s">
        <v>162</v>
      </c>
      <c r="D70" s="6"/>
      <c r="E70" s="6"/>
      <c r="F70" s="6">
        <v>1</v>
      </c>
      <c r="G70" s="6" t="s">
        <v>10</v>
      </c>
      <c r="H70" s="6">
        <v>2</v>
      </c>
    </row>
    <row r="71" spans="1:8">
      <c r="A71" s="6" t="s">
        <v>136</v>
      </c>
      <c r="B71" s="7" t="s">
        <v>137</v>
      </c>
      <c r="C71" s="6" t="s">
        <v>138</v>
      </c>
      <c r="D71" s="6"/>
      <c r="E71" s="6"/>
      <c r="F71" s="6">
        <v>1</v>
      </c>
      <c r="G71" s="6" t="s">
        <v>10</v>
      </c>
      <c r="H71" s="6">
        <v>2</v>
      </c>
    </row>
    <row r="72" spans="1:8">
      <c r="A72" s="6" t="s">
        <v>147</v>
      </c>
      <c r="B72" s="7" t="s">
        <v>148</v>
      </c>
      <c r="C72" s="6" t="s">
        <v>149</v>
      </c>
      <c r="D72" s="6"/>
      <c r="E72" s="6"/>
      <c r="F72" s="6">
        <v>1</v>
      </c>
      <c r="G72" s="6" t="s">
        <v>10</v>
      </c>
      <c r="H72" s="6">
        <v>2</v>
      </c>
    </row>
    <row r="73" spans="1:8">
      <c r="A73" s="6" t="s">
        <v>140</v>
      </c>
      <c r="B73" s="7" t="s">
        <v>245</v>
      </c>
      <c r="C73" s="6"/>
      <c r="D73" s="6"/>
      <c r="E73" s="6"/>
      <c r="F73" s="6">
        <v>1</v>
      </c>
      <c r="G73" s="6" t="s">
        <v>10</v>
      </c>
      <c r="H73" s="6">
        <v>2</v>
      </c>
    </row>
    <row r="74" spans="1:8">
      <c r="A74" s="6" t="s">
        <v>140</v>
      </c>
      <c r="B74" s="7" t="s">
        <v>141</v>
      </c>
      <c r="C74" s="6"/>
      <c r="D74" s="6"/>
      <c r="E74" s="6"/>
      <c r="F74" s="6">
        <v>1</v>
      </c>
      <c r="G74" s="6" t="s">
        <v>10</v>
      </c>
      <c r="H74" s="6">
        <v>2</v>
      </c>
    </row>
    <row r="75" spans="1:8">
      <c r="A75" s="6" t="s">
        <v>140</v>
      </c>
      <c r="B75" s="7" t="s">
        <v>246</v>
      </c>
      <c r="C75" s="6"/>
      <c r="D75" s="6"/>
      <c r="E75" s="6"/>
      <c r="F75" s="6">
        <v>1</v>
      </c>
      <c r="G75" s="6" t="s">
        <v>10</v>
      </c>
      <c r="H75" s="6">
        <v>2</v>
      </c>
    </row>
    <row r="76" spans="1:8">
      <c r="A76" s="6" t="s">
        <v>152</v>
      </c>
      <c r="B76" s="7" t="s">
        <v>375</v>
      </c>
      <c r="C76" s="6"/>
      <c r="D76" s="6"/>
      <c r="E76" s="6"/>
      <c r="F76" s="6">
        <v>1</v>
      </c>
      <c r="G76" s="6" t="s">
        <v>10</v>
      </c>
      <c r="H76" s="6">
        <v>2</v>
      </c>
    </row>
    <row r="77" spans="1:8">
      <c r="A77" s="6" t="s">
        <v>87</v>
      </c>
      <c r="B77" s="7"/>
      <c r="C77" s="6"/>
      <c r="D77" s="6"/>
      <c r="E77" s="6"/>
      <c r="F77" s="6">
        <v>2</v>
      </c>
      <c r="G77" s="6" t="s">
        <v>10</v>
      </c>
      <c r="H77" s="6">
        <v>2</v>
      </c>
    </row>
    <row r="78" spans="1:8">
      <c r="A78" s="6" t="s">
        <v>12</v>
      </c>
      <c r="B78" s="7" t="s">
        <v>826</v>
      </c>
      <c r="C78" s="6"/>
      <c r="D78" s="6" t="s">
        <v>177</v>
      </c>
      <c r="E78" s="6">
        <v>701000481</v>
      </c>
      <c r="F78" s="6">
        <v>1</v>
      </c>
      <c r="G78" s="6" t="s">
        <v>10</v>
      </c>
      <c r="H78" s="6">
        <v>2</v>
      </c>
    </row>
    <row r="79" spans="1:8">
      <c r="A79" s="6" t="s">
        <v>113</v>
      </c>
      <c r="B79" s="7"/>
      <c r="C79" s="6" t="s">
        <v>114</v>
      </c>
      <c r="D79" s="6"/>
      <c r="E79" s="6"/>
      <c r="F79" s="6">
        <v>1</v>
      </c>
      <c r="G79" s="6" t="s">
        <v>8</v>
      </c>
      <c r="H79" s="6">
        <v>3</v>
      </c>
    </row>
    <row r="80" spans="1:8">
      <c r="A80" s="6" t="s">
        <v>113</v>
      </c>
      <c r="B80" s="7"/>
      <c r="C80" s="6" t="s">
        <v>38</v>
      </c>
      <c r="D80" s="6"/>
      <c r="E80" s="6"/>
      <c r="F80" s="6">
        <v>1</v>
      </c>
      <c r="G80" s="6" t="s">
        <v>8</v>
      </c>
      <c r="H80" s="6">
        <v>3</v>
      </c>
    </row>
    <row r="81" spans="1:8">
      <c r="A81" s="6" t="s">
        <v>89</v>
      </c>
      <c r="B81" s="7"/>
      <c r="C81" s="6"/>
      <c r="D81" s="6"/>
      <c r="E81" s="6"/>
      <c r="F81" s="6">
        <v>3</v>
      </c>
      <c r="G81" s="6" t="s">
        <v>8</v>
      </c>
      <c r="H81" s="6">
        <v>3</v>
      </c>
    </row>
    <row r="82" spans="1:8">
      <c r="A82" s="6" t="s">
        <v>86</v>
      </c>
      <c r="B82" s="7"/>
      <c r="C82" s="6" t="s">
        <v>52</v>
      </c>
      <c r="D82" s="6"/>
      <c r="E82" s="6"/>
      <c r="F82" s="6">
        <v>1</v>
      </c>
      <c r="G82" s="6" t="s">
        <v>8</v>
      </c>
      <c r="H82" s="6">
        <v>3</v>
      </c>
    </row>
    <row r="83" spans="1:8">
      <c r="A83" s="6" t="s">
        <v>88</v>
      </c>
      <c r="B83" s="7" t="s">
        <v>1031</v>
      </c>
      <c r="C83" s="6"/>
      <c r="D83" s="6"/>
      <c r="E83" s="6"/>
      <c r="F83" s="6">
        <v>5</v>
      </c>
      <c r="G83" s="6" t="s">
        <v>8</v>
      </c>
      <c r="H83" s="6">
        <v>3</v>
      </c>
    </row>
    <row r="84" spans="1:8">
      <c r="A84" s="6" t="s">
        <v>90</v>
      </c>
      <c r="B84" s="7" t="s">
        <v>91</v>
      </c>
      <c r="C84" s="6"/>
      <c r="D84" s="6"/>
      <c r="E84" s="6"/>
      <c r="F84" s="6">
        <v>1</v>
      </c>
      <c r="G84" s="6" t="s">
        <v>10</v>
      </c>
      <c r="H84" s="6">
        <v>1</v>
      </c>
    </row>
    <row r="85" spans="1:8">
      <c r="A85" s="6" t="s">
        <v>156</v>
      </c>
      <c r="B85" s="7" t="s">
        <v>157</v>
      </c>
      <c r="C85" s="6" t="s">
        <v>158</v>
      </c>
      <c r="D85" s="6" t="s">
        <v>159</v>
      </c>
      <c r="E85" s="6"/>
      <c r="F85" s="6">
        <v>2</v>
      </c>
      <c r="G85" s="6" t="s">
        <v>10</v>
      </c>
      <c r="H85" s="6">
        <v>3</v>
      </c>
    </row>
    <row r="86" spans="1:8">
      <c r="A86" s="6" t="s">
        <v>156</v>
      </c>
      <c r="B86" s="7" t="s">
        <v>160</v>
      </c>
      <c r="C86" s="6" t="s">
        <v>158</v>
      </c>
      <c r="D86" s="6" t="s">
        <v>159</v>
      </c>
      <c r="E86" s="6"/>
      <c r="F86" s="6">
        <v>1</v>
      </c>
      <c r="G86" s="6" t="s">
        <v>10</v>
      </c>
      <c r="H86" s="6">
        <v>3</v>
      </c>
    </row>
    <row r="87" spans="1:8">
      <c r="A87" s="6" t="s">
        <v>152</v>
      </c>
      <c r="B87" s="7" t="s">
        <v>153</v>
      </c>
      <c r="C87" s="6" t="s">
        <v>154</v>
      </c>
      <c r="D87" s="6"/>
      <c r="E87" s="6"/>
      <c r="F87" s="6">
        <v>1</v>
      </c>
      <c r="G87" s="6" t="s">
        <v>10</v>
      </c>
      <c r="H87" s="6">
        <v>3</v>
      </c>
    </row>
    <row r="88" spans="1:8">
      <c r="A88" s="6" t="s">
        <v>152</v>
      </c>
      <c r="B88" s="7" t="s">
        <v>153</v>
      </c>
      <c r="C88" s="6" t="s">
        <v>244</v>
      </c>
      <c r="D88" s="6"/>
      <c r="E88" s="6"/>
      <c r="F88" s="6">
        <v>1</v>
      </c>
      <c r="G88" s="6" t="s">
        <v>10</v>
      </c>
      <c r="H88" s="6">
        <v>3</v>
      </c>
    </row>
    <row r="89" spans="1:8">
      <c r="A89" s="6" t="s">
        <v>152</v>
      </c>
      <c r="B89" s="7" t="s">
        <v>243</v>
      </c>
      <c r="C89" s="6"/>
      <c r="D89" s="6"/>
      <c r="E89" s="6"/>
      <c r="F89" s="6">
        <v>1</v>
      </c>
      <c r="G89" s="6" t="s">
        <v>10</v>
      </c>
      <c r="H89" s="6">
        <v>3</v>
      </c>
    </row>
    <row r="90" spans="1:8">
      <c r="A90" s="6" t="s">
        <v>152</v>
      </c>
      <c r="B90" s="7" t="s">
        <v>155</v>
      </c>
      <c r="C90" s="6"/>
      <c r="D90" s="6"/>
      <c r="E90" s="6"/>
      <c r="F90" s="6">
        <v>1</v>
      </c>
      <c r="G90" s="6" t="s">
        <v>10</v>
      </c>
      <c r="H90" s="6">
        <v>3</v>
      </c>
    </row>
    <row r="91" spans="1:8" ht="30">
      <c r="A91" s="6" t="s">
        <v>92</v>
      </c>
      <c r="B91" s="7" t="str">
        <f>bolso("Caja de tacos 1",Table6[])</f>
        <v xml:space="preserve">Caja de tacos 1 Contiene:  Tacos varios pequeños x20, </v>
      </c>
      <c r="C91" s="6"/>
      <c r="D91" s="6"/>
      <c r="E91" s="6"/>
      <c r="F91" s="6">
        <v>1</v>
      </c>
      <c r="G91" s="6" t="s">
        <v>8</v>
      </c>
      <c r="H91" s="6">
        <v>3</v>
      </c>
    </row>
    <row r="92" spans="1:8" ht="60">
      <c r="A92" s="6" t="s">
        <v>92</v>
      </c>
      <c r="B92" s="7" t="str">
        <f>bolso("Bolso de collares",Table6[])</f>
        <v xml:space="preserve">Bolso de collares Contiene:  Collar cervical chico x2,  Collar cervical pediatrico x2,  Collar cervical mediano x2,  Collar cervical Grande x7, </v>
      </c>
      <c r="C92" s="6"/>
      <c r="D92" s="6"/>
      <c r="E92" s="6"/>
      <c r="F92" s="6"/>
      <c r="G92" s="6" t="s">
        <v>8</v>
      </c>
      <c r="H92" s="6">
        <v>3</v>
      </c>
    </row>
    <row r="93" spans="1:8">
      <c r="A93" s="6" t="s">
        <v>83</v>
      </c>
      <c r="B93" s="7" t="s">
        <v>240</v>
      </c>
      <c r="C93" s="6"/>
      <c r="D93" s="6"/>
      <c r="E93" s="6"/>
      <c r="F93" s="6">
        <v>1</v>
      </c>
      <c r="G93" s="6" t="s">
        <v>8</v>
      </c>
      <c r="H93" s="6">
        <v>4</v>
      </c>
    </row>
    <row r="94" spans="1:8">
      <c r="A94" s="6" t="s">
        <v>80</v>
      </c>
      <c r="B94" s="7" t="s">
        <v>81</v>
      </c>
      <c r="C94" s="6"/>
      <c r="D94" s="6" t="s">
        <v>82</v>
      </c>
      <c r="E94" s="6">
        <v>25</v>
      </c>
      <c r="F94" s="6">
        <v>1</v>
      </c>
      <c r="G94" s="6" t="s">
        <v>8</v>
      </c>
      <c r="H94" s="6">
        <v>4</v>
      </c>
    </row>
    <row r="95" spans="1:8" ht="30">
      <c r="A95" s="6" t="s">
        <v>80</v>
      </c>
      <c r="B95" s="7" t="s">
        <v>84</v>
      </c>
      <c r="C95" s="6"/>
      <c r="D95" s="6"/>
      <c r="E95" s="6"/>
      <c r="F95" s="6">
        <v>1</v>
      </c>
      <c r="G95" s="6" t="s">
        <v>8</v>
      </c>
      <c r="H95" s="6">
        <v>4</v>
      </c>
    </row>
    <row r="96" spans="1:8">
      <c r="A96" s="6" t="s">
        <v>236</v>
      </c>
      <c r="B96" s="7" t="s">
        <v>94</v>
      </c>
      <c r="C96" s="6"/>
      <c r="D96" s="6"/>
      <c r="E96" s="6"/>
      <c r="F96" s="6">
        <v>1</v>
      </c>
      <c r="G96" s="6" t="s">
        <v>8</v>
      </c>
      <c r="H96" s="6">
        <v>4</v>
      </c>
    </row>
    <row r="97" spans="1:8">
      <c r="A97" s="6" t="s">
        <v>186</v>
      </c>
      <c r="B97" s="7"/>
      <c r="C97" s="6"/>
      <c r="D97" s="6"/>
      <c r="E97" s="6"/>
      <c r="F97" s="6">
        <v>2</v>
      </c>
      <c r="G97" s="6" t="s">
        <v>7</v>
      </c>
      <c r="H97" s="6" t="s">
        <v>228</v>
      </c>
    </row>
    <row r="98" spans="1:8">
      <c r="A98" s="6" t="s">
        <v>152</v>
      </c>
      <c r="B98" s="7" t="s">
        <v>214</v>
      </c>
      <c r="C98" s="6"/>
      <c r="D98" s="6"/>
      <c r="E98" s="6"/>
      <c r="F98" s="6">
        <v>1</v>
      </c>
      <c r="G98" s="6" t="s">
        <v>7</v>
      </c>
      <c r="H98" s="6" t="s">
        <v>228</v>
      </c>
    </row>
    <row r="99" spans="1:8">
      <c r="A99" s="6" t="s">
        <v>216</v>
      </c>
      <c r="B99" s="7" t="s">
        <v>217</v>
      </c>
      <c r="C99" s="6"/>
      <c r="D99" s="6"/>
      <c r="E99" s="6"/>
      <c r="F99" s="6">
        <v>1</v>
      </c>
      <c r="G99" s="6" t="s">
        <v>7</v>
      </c>
      <c r="H99" s="6" t="s">
        <v>228</v>
      </c>
    </row>
    <row r="100" spans="1:8" ht="30">
      <c r="A100" s="6" t="s">
        <v>59</v>
      </c>
      <c r="B100" s="7" t="s">
        <v>247</v>
      </c>
      <c r="C100" s="6"/>
      <c r="D100" s="6"/>
      <c r="E100" s="6"/>
      <c r="F100" s="6">
        <v>1</v>
      </c>
      <c r="G100" s="6" t="s">
        <v>7</v>
      </c>
      <c r="H100" s="6" t="s">
        <v>228</v>
      </c>
    </row>
    <row r="101" spans="1:8">
      <c r="A101" s="6" t="s">
        <v>59</v>
      </c>
      <c r="B101" s="7" t="s">
        <v>215</v>
      </c>
      <c r="C101" s="6"/>
      <c r="D101" s="6"/>
      <c r="E101" s="6"/>
      <c r="F101" s="6">
        <v>1</v>
      </c>
      <c r="G101" s="6" t="s">
        <v>7</v>
      </c>
      <c r="H101" s="6" t="s">
        <v>228</v>
      </c>
    </row>
    <row r="102" spans="1:8">
      <c r="A102" s="6" t="s">
        <v>11</v>
      </c>
      <c r="B102" s="7" t="s">
        <v>218</v>
      </c>
      <c r="C102" s="6" t="s">
        <v>79</v>
      </c>
      <c r="D102" s="6"/>
      <c r="E102" s="6"/>
      <c r="F102" s="6">
        <v>5</v>
      </c>
      <c r="G102" s="6" t="s">
        <v>7</v>
      </c>
      <c r="H102" s="6" t="s">
        <v>228</v>
      </c>
    </row>
    <row r="103" spans="1:8">
      <c r="A103" s="6" t="s">
        <v>11</v>
      </c>
      <c r="B103" s="7" t="s">
        <v>219</v>
      </c>
      <c r="C103" s="6" t="s">
        <v>116</v>
      </c>
      <c r="D103" s="6"/>
      <c r="E103" s="6"/>
      <c r="F103" s="6">
        <v>1</v>
      </c>
      <c r="G103" s="6" t="s">
        <v>7</v>
      </c>
      <c r="H103" s="6" t="s">
        <v>228</v>
      </c>
    </row>
    <row r="104" spans="1:8">
      <c r="A104" s="6" t="s">
        <v>248</v>
      </c>
      <c r="B104" s="7"/>
      <c r="C104" s="6"/>
      <c r="D104" s="6"/>
      <c r="E104" s="6"/>
      <c r="F104" s="6">
        <v>2</v>
      </c>
      <c r="G104" s="6" t="s">
        <v>7</v>
      </c>
      <c r="H104" s="6" t="s">
        <v>228</v>
      </c>
    </row>
    <row r="105" spans="1:8">
      <c r="A105" s="6" t="s">
        <v>171</v>
      </c>
      <c r="B105" s="7"/>
      <c r="C105" s="6" t="s">
        <v>493</v>
      </c>
      <c r="D105" s="6"/>
      <c r="E105" s="6"/>
      <c r="F105" s="6">
        <v>1</v>
      </c>
      <c r="G105" s="6" t="s">
        <v>7</v>
      </c>
      <c r="H105" s="6" t="s">
        <v>228</v>
      </c>
    </row>
    <row r="106" spans="1:8">
      <c r="A106" s="6" t="s">
        <v>221</v>
      </c>
      <c r="B106" s="7"/>
      <c r="C106" s="6"/>
      <c r="D106" s="6"/>
      <c r="E106" s="6"/>
      <c r="F106" s="6">
        <v>1</v>
      </c>
      <c r="G106" s="6" t="s">
        <v>7</v>
      </c>
      <c r="H106" s="6" t="s">
        <v>229</v>
      </c>
    </row>
    <row r="107" spans="1:8">
      <c r="A107" s="6" t="s">
        <v>152</v>
      </c>
      <c r="B107" s="7" t="s">
        <v>222</v>
      </c>
      <c r="C107" s="6"/>
      <c r="D107" s="6"/>
      <c r="E107" s="6"/>
      <c r="F107" s="6">
        <v>1</v>
      </c>
      <c r="G107" s="6" t="s">
        <v>7</v>
      </c>
      <c r="H107" s="6" t="s">
        <v>229</v>
      </c>
    </row>
    <row r="108" spans="1:8">
      <c r="A108" s="6" t="s">
        <v>152</v>
      </c>
      <c r="B108" s="7" t="s">
        <v>223</v>
      </c>
      <c r="C108" s="6"/>
      <c r="D108" s="6"/>
      <c r="E108" s="6"/>
      <c r="F108" s="6">
        <v>1</v>
      </c>
      <c r="G108" s="6" t="s">
        <v>7</v>
      </c>
      <c r="H108" s="6" t="s">
        <v>229</v>
      </c>
    </row>
    <row r="109" spans="1:8">
      <c r="A109" s="6" t="s">
        <v>152</v>
      </c>
      <c r="B109" s="7" t="s">
        <v>234</v>
      </c>
      <c r="C109" s="6"/>
      <c r="D109" s="6"/>
      <c r="E109" s="6"/>
      <c r="F109" s="6">
        <v>1</v>
      </c>
      <c r="G109" s="6" t="s">
        <v>7</v>
      </c>
      <c r="H109" s="6" t="s">
        <v>229</v>
      </c>
    </row>
    <row r="110" spans="1:8">
      <c r="A110" s="6" t="s">
        <v>152</v>
      </c>
      <c r="B110" s="7" t="s">
        <v>224</v>
      </c>
      <c r="C110" s="6"/>
      <c r="D110" s="6"/>
      <c r="E110" s="6"/>
      <c r="F110" s="6">
        <v>1</v>
      </c>
      <c r="G110" s="6" t="s">
        <v>7</v>
      </c>
      <c r="H110" s="6" t="s">
        <v>229</v>
      </c>
    </row>
    <row r="111" spans="1:8">
      <c r="A111" s="6" t="s">
        <v>113</v>
      </c>
      <c r="B111" s="7"/>
      <c r="C111" s="7" t="s">
        <v>494</v>
      </c>
      <c r="D111" s="6"/>
      <c r="E111" s="6"/>
      <c r="F111" s="6">
        <v>1</v>
      </c>
      <c r="G111" s="6" t="s">
        <v>7</v>
      </c>
      <c r="H111" s="6" t="s">
        <v>229</v>
      </c>
    </row>
    <row r="112" spans="1:8" ht="165">
      <c r="A112" s="6" t="s">
        <v>92</v>
      </c>
      <c r="B112" s="7" t="str">
        <f>bolso("Bolso de corte",Table6[])</f>
        <v xml:space="preserve">Bolso de corte Contiene:  Guantes dielectricos x1,  Alfombra dielectrica x0,  Martillo de goma x0,  Pinza de punta dielectrica x0,  Cuña de madera para gas x0,  Pinza dielectrica x1,  Alicate dielectrico x1,  Llave union x0,  Destornillador x0,  Llave cruz para ascensor x1,  Cutter x0,  juego de llaves alem x1,  Extractor de fusibles NH x0,  saca bujia x2,  Llave fija 9/16 x0,  Corta cinturon x0,  Pico de loro x1,  llave stilson x1, </v>
      </c>
      <c r="C112" s="6"/>
      <c r="D112" s="6"/>
      <c r="E112" s="6"/>
      <c r="F112" s="6">
        <v>1</v>
      </c>
      <c r="G112" s="6" t="s">
        <v>7</v>
      </c>
      <c r="H112" s="6" t="s">
        <v>230</v>
      </c>
    </row>
    <row r="113" spans="1:8">
      <c r="A113" s="6" t="s">
        <v>211</v>
      </c>
      <c r="B113" s="7"/>
      <c r="C113" s="6"/>
      <c r="D113" s="6" t="s">
        <v>212</v>
      </c>
      <c r="E113" s="6">
        <v>8321127</v>
      </c>
      <c r="F113" s="6">
        <v>1</v>
      </c>
      <c r="G113" s="6" t="s">
        <v>7</v>
      </c>
      <c r="H113" s="6" t="s">
        <v>230</v>
      </c>
    </row>
    <row r="114" spans="1:8">
      <c r="A114" s="6" t="s">
        <v>186</v>
      </c>
      <c r="B114" s="7"/>
      <c r="C114" s="6"/>
      <c r="D114" s="6"/>
      <c r="E114" s="6"/>
      <c r="F114" s="6">
        <v>6</v>
      </c>
      <c r="G114" s="6" t="s">
        <v>7</v>
      </c>
      <c r="H114" s="6" t="s">
        <v>230</v>
      </c>
    </row>
    <row r="115" spans="1:8">
      <c r="A115" s="6" t="s">
        <v>237</v>
      </c>
      <c r="B115" s="7"/>
      <c r="C115" s="6"/>
      <c r="D115" s="7"/>
      <c r="E115" s="6"/>
      <c r="F115" s="6">
        <v>4</v>
      </c>
      <c r="G115" s="6" t="s">
        <v>7</v>
      </c>
      <c r="H115" s="6" t="s">
        <v>230</v>
      </c>
    </row>
    <row r="116" spans="1:8">
      <c r="A116" s="6" t="s">
        <v>188</v>
      </c>
      <c r="B116" s="7"/>
      <c r="C116" s="6"/>
      <c r="D116" s="6"/>
      <c r="E116" s="6"/>
      <c r="F116" s="6">
        <v>2</v>
      </c>
      <c r="G116" s="6" t="s">
        <v>7</v>
      </c>
      <c r="H116" s="6" t="s">
        <v>230</v>
      </c>
    </row>
    <row r="117" spans="1:8">
      <c r="A117" s="6" t="s">
        <v>184</v>
      </c>
      <c r="B117" s="7" t="s">
        <v>185</v>
      </c>
      <c r="C117" s="6"/>
      <c r="D117" s="6" t="s">
        <v>48</v>
      </c>
      <c r="E117" s="6"/>
      <c r="F117" s="6">
        <v>6</v>
      </c>
      <c r="G117" s="6" t="s">
        <v>7</v>
      </c>
      <c r="H117" s="6" t="s">
        <v>230</v>
      </c>
    </row>
    <row r="118" spans="1:8">
      <c r="A118" s="6" t="s">
        <v>206</v>
      </c>
      <c r="B118" s="7" t="s">
        <v>249</v>
      </c>
      <c r="C118" s="6"/>
      <c r="D118" s="6"/>
      <c r="E118" s="6"/>
      <c r="F118" s="6">
        <v>1</v>
      </c>
      <c r="G118" s="6" t="s">
        <v>7</v>
      </c>
      <c r="H118" s="6" t="s">
        <v>230</v>
      </c>
    </row>
    <row r="119" spans="1:8">
      <c r="A119" s="6" t="s">
        <v>208</v>
      </c>
      <c r="B119" s="7" t="s">
        <v>162</v>
      </c>
      <c r="C119" s="6"/>
      <c r="D119" s="6" t="s">
        <v>209</v>
      </c>
      <c r="E119" s="6"/>
      <c r="F119" s="6">
        <v>1</v>
      </c>
      <c r="G119" s="6" t="s">
        <v>7</v>
      </c>
      <c r="H119" s="6" t="s">
        <v>230</v>
      </c>
    </row>
    <row r="120" spans="1:8">
      <c r="A120" s="6" t="s">
        <v>208</v>
      </c>
      <c r="B120" s="7" t="s">
        <v>154</v>
      </c>
      <c r="C120" s="6"/>
      <c r="D120" s="6" t="s">
        <v>210</v>
      </c>
      <c r="E120" s="6"/>
      <c r="F120" s="6">
        <v>1</v>
      </c>
      <c r="G120" s="6" t="s">
        <v>7</v>
      </c>
      <c r="H120" s="6" t="s">
        <v>230</v>
      </c>
    </row>
    <row r="121" spans="1:8" ht="30">
      <c r="A121" s="6" t="s">
        <v>189</v>
      </c>
      <c r="B121" s="7" t="s">
        <v>190</v>
      </c>
      <c r="C121" s="6"/>
      <c r="D121" s="6"/>
      <c r="E121" s="6"/>
      <c r="F121" s="6">
        <v>1</v>
      </c>
      <c r="G121" s="6" t="s">
        <v>7</v>
      </c>
      <c r="H121" s="6" t="s">
        <v>230</v>
      </c>
    </row>
    <row r="122" spans="1:8">
      <c r="A122" s="6" t="s">
        <v>355</v>
      </c>
      <c r="B122" s="7"/>
      <c r="C122" s="6" t="s">
        <v>579</v>
      </c>
      <c r="D122" s="6"/>
      <c r="E122" s="6"/>
      <c r="F122" s="6">
        <v>2</v>
      </c>
      <c r="G122" s="6" t="s">
        <v>7</v>
      </c>
      <c r="H122" s="6" t="s">
        <v>230</v>
      </c>
    </row>
    <row r="123" spans="1:8">
      <c r="A123" s="6" t="s">
        <v>35</v>
      </c>
      <c r="B123" s="7" t="s">
        <v>39</v>
      </c>
      <c r="C123" s="6" t="s">
        <v>37</v>
      </c>
      <c r="D123" s="6" t="s">
        <v>27</v>
      </c>
      <c r="E123" s="6" t="s">
        <v>27</v>
      </c>
      <c r="F123" s="6">
        <v>1</v>
      </c>
      <c r="G123" s="6" t="s">
        <v>36</v>
      </c>
      <c r="H123" s="6" t="s">
        <v>36</v>
      </c>
    </row>
    <row r="124" spans="1:8">
      <c r="A124" s="6" t="s">
        <v>35</v>
      </c>
      <c r="B124" s="7" t="s">
        <v>39</v>
      </c>
      <c r="C124" s="6" t="s">
        <v>38</v>
      </c>
      <c r="D124" s="6" t="s">
        <v>27</v>
      </c>
      <c r="E124" s="6" t="s">
        <v>27</v>
      </c>
      <c r="F124" s="6">
        <v>1</v>
      </c>
      <c r="G124" s="6" t="s">
        <v>36</v>
      </c>
      <c r="H124" s="6" t="s">
        <v>36</v>
      </c>
    </row>
    <row r="125" spans="1:8">
      <c r="A125" s="6" t="s">
        <v>40</v>
      </c>
      <c r="B125" s="7" t="s">
        <v>42</v>
      </c>
      <c r="C125" s="6" t="s">
        <v>41</v>
      </c>
      <c r="D125" s="6" t="s">
        <v>27</v>
      </c>
      <c r="E125" s="6" t="s">
        <v>27</v>
      </c>
      <c r="F125" s="6">
        <v>2</v>
      </c>
      <c r="G125" s="6" t="s">
        <v>36</v>
      </c>
      <c r="H125" s="6" t="s">
        <v>36</v>
      </c>
    </row>
    <row r="126" spans="1:8">
      <c r="A126" s="6" t="s">
        <v>213</v>
      </c>
      <c r="B126" s="7"/>
      <c r="C126" s="6"/>
      <c r="D126" s="6"/>
      <c r="E126" s="6"/>
      <c r="F126" s="6">
        <v>0</v>
      </c>
      <c r="G126" s="6" t="s">
        <v>7</v>
      </c>
      <c r="H126" s="6" t="s">
        <v>230</v>
      </c>
    </row>
    <row r="127" spans="1:8">
      <c r="A127" s="26" t="s">
        <v>32</v>
      </c>
      <c r="B127" s="27" t="s">
        <v>1141</v>
      </c>
      <c r="C127" s="26" t="s">
        <v>220</v>
      </c>
      <c r="D127" s="26"/>
      <c r="E127" s="26"/>
      <c r="F127" s="26">
        <v>1</v>
      </c>
      <c r="G127" s="6" t="s">
        <v>5</v>
      </c>
      <c r="H127" s="26">
        <v>1</v>
      </c>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26"/>
      <c r="B133" s="27"/>
      <c r="C133" s="26"/>
      <c r="D133" s="26"/>
      <c r="E133" s="26"/>
      <c r="F133" s="2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C127">
      <formula1>Configuracion!$G$2:$G$9</formula1>
    </dataValidation>
    <dataValidation type="list" allowBlank="1" showInputMessage="1" showErrorMessage="1" sqref="A1:A127 A133:A1048576 K4:K38">
      <formula1>categorias</formula1>
    </dataValidation>
    <dataValidation type="list" allowBlank="1" showInputMessage="1" showErrorMessage="1" sqref="H121:H127 H1:H119 H133:H1048576 M47:M1048576 U1:U3 M1:M3 P1:P3 U47:U1048576 P47:P1048576">
      <formula1>INDEX(Compartimientos,0,MATCH(OFFSET(INDIRECT(ADDRESS(ROW(), COLUMN())),0,-1),Cajoneras,0))</formula1>
    </dataValidation>
    <dataValidation type="list" allowBlank="1" showInputMessage="1" showErrorMessage="1" sqref="G1:G127 G133 G135:G1048576">
      <formula1>Cajoneras</formula1>
    </dataValidation>
    <dataValidation type="list" allowBlank="1" showInputMessage="1" showErrorMessage="1" sqref="C1 C14 C11 C7:C8">
      <formula1>Medidas</formula1>
    </dataValidation>
    <dataValidation type="list" allowBlank="1" showInputMessage="1" showErrorMessage="1" sqref="W14 U4:U32 P4:P38">
      <formula1>INDEX(Medidas,0,MATCH(OFFSET(INDIRECT(ADDRESS(ROW(), COLUMN())),0,-1),categoriasDeMedidas,0))</formula1>
    </dataValidation>
    <dataValidation type="list" allowBlank="1" showInputMessage="1" showErrorMessage="1" sqref="Q4:Q13 Q37:Q38 Q16:Q31">
      <formula1>Bolsos</formula1>
    </dataValidation>
    <dataValidation type="list" allowBlank="1" showInputMessage="1" showErrorMessage="1" sqref="M4:M38">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opLeftCell="A66" workbookViewId="0">
      <selection activeCell="A76" sqref="A76"/>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235</v>
      </c>
      <c r="G1" s="4" t="s">
        <v>13</v>
      </c>
      <c r="H1" s="4" t="s">
        <v>227</v>
      </c>
    </row>
    <row r="2" spans="1:30">
      <c r="A2" s="6" t="s">
        <v>152</v>
      </c>
      <c r="B2" s="7" t="s">
        <v>549</v>
      </c>
      <c r="C2" s="6"/>
      <c r="D2" s="6"/>
      <c r="E2" s="6"/>
      <c r="F2" s="6">
        <v>1</v>
      </c>
      <c r="G2" s="6" t="s">
        <v>8</v>
      </c>
      <c r="H2" s="6">
        <v>1</v>
      </c>
    </row>
    <row r="3" spans="1:30">
      <c r="A3" s="6" t="s">
        <v>152</v>
      </c>
      <c r="B3" s="7" t="s">
        <v>550</v>
      </c>
      <c r="C3" s="6"/>
      <c r="D3" s="6"/>
      <c r="E3" s="6"/>
      <c r="F3" s="6">
        <v>1</v>
      </c>
      <c r="G3" s="6" t="s">
        <v>8</v>
      </c>
      <c r="H3" s="6">
        <v>1</v>
      </c>
      <c r="J3" t="s">
        <v>0</v>
      </c>
      <c r="K3" t="s">
        <v>1</v>
      </c>
      <c r="L3" t="s">
        <v>2</v>
      </c>
      <c r="M3" t="s">
        <v>604</v>
      </c>
      <c r="N3" s="4" t="s">
        <v>4</v>
      </c>
      <c r="O3" t="s">
        <v>18</v>
      </c>
      <c r="P3" t="s">
        <v>14</v>
      </c>
      <c r="T3" t="s">
        <v>28</v>
      </c>
      <c r="V3" s="46" t="s">
        <v>225</v>
      </c>
      <c r="W3" s="46"/>
      <c r="X3" s="46"/>
      <c r="Y3" s="46"/>
      <c r="Z3" s="46"/>
      <c r="AA3" s="46"/>
    </row>
    <row r="4" spans="1:30">
      <c r="A4" s="6" t="s">
        <v>152</v>
      </c>
      <c r="B4" s="7" t="s">
        <v>551</v>
      </c>
      <c r="C4" s="6"/>
      <c r="D4" s="6"/>
      <c r="E4" s="6"/>
      <c r="F4" s="6">
        <v>1</v>
      </c>
      <c r="G4" s="6" t="s">
        <v>8</v>
      </c>
      <c r="H4" s="6">
        <v>1</v>
      </c>
      <c r="J4" t="s">
        <v>152</v>
      </c>
      <c r="K4" t="s">
        <v>519</v>
      </c>
      <c r="O4">
        <v>2</v>
      </c>
      <c r="P4" t="s">
        <v>15</v>
      </c>
      <c r="T4" t="s">
        <v>15</v>
      </c>
      <c r="V4" t="s">
        <v>8</v>
      </c>
      <c r="W4" t="s">
        <v>5</v>
      </c>
      <c r="X4" t="s">
        <v>6</v>
      </c>
      <c r="Y4" t="s">
        <v>9</v>
      </c>
      <c r="Z4" t="s">
        <v>10</v>
      </c>
      <c r="AA4" t="s">
        <v>251</v>
      </c>
      <c r="AB4" t="s">
        <v>284</v>
      </c>
      <c r="AC4" t="s">
        <v>7</v>
      </c>
      <c r="AD4" t="s">
        <v>36</v>
      </c>
    </row>
    <row r="5" spans="1:30">
      <c r="A5" s="6" t="s">
        <v>152</v>
      </c>
      <c r="B5" s="7" t="s">
        <v>552</v>
      </c>
      <c r="C5" s="6"/>
      <c r="D5" s="6"/>
      <c r="E5" s="6"/>
      <c r="F5" s="6">
        <v>2</v>
      </c>
      <c r="G5" s="6" t="s">
        <v>8</v>
      </c>
      <c r="H5" s="6">
        <v>1</v>
      </c>
      <c r="J5" t="s">
        <v>152</v>
      </c>
      <c r="K5" t="s">
        <v>520</v>
      </c>
      <c r="O5">
        <v>1</v>
      </c>
      <c r="P5" t="s">
        <v>15</v>
      </c>
      <c r="T5" t="s">
        <v>525</v>
      </c>
      <c r="V5">
        <v>1</v>
      </c>
      <c r="W5">
        <v>1</v>
      </c>
      <c r="X5">
        <v>1</v>
      </c>
      <c r="Y5">
        <v>1</v>
      </c>
      <c r="Z5">
        <v>1</v>
      </c>
      <c r="AA5">
        <v>1</v>
      </c>
      <c r="AB5">
        <v>1</v>
      </c>
      <c r="AC5" t="s">
        <v>226</v>
      </c>
      <c r="AD5" t="s">
        <v>36</v>
      </c>
    </row>
    <row r="6" spans="1:30">
      <c r="A6" s="6" t="s">
        <v>152</v>
      </c>
      <c r="B6" s="7" t="s">
        <v>375</v>
      </c>
      <c r="C6" s="6"/>
      <c r="D6" s="6"/>
      <c r="E6" s="6"/>
      <c r="F6" s="6">
        <v>1</v>
      </c>
      <c r="G6" s="6" t="s">
        <v>8</v>
      </c>
      <c r="H6" s="6">
        <v>1</v>
      </c>
      <c r="J6" t="s">
        <v>152</v>
      </c>
      <c r="K6" t="s">
        <v>402</v>
      </c>
      <c r="O6">
        <v>2</v>
      </c>
      <c r="P6" t="s">
        <v>15</v>
      </c>
      <c r="T6" t="s">
        <v>528</v>
      </c>
      <c r="V6">
        <v>2</v>
      </c>
      <c r="Z6">
        <v>2</v>
      </c>
      <c r="AC6" t="s">
        <v>228</v>
      </c>
    </row>
    <row r="7" spans="1:30">
      <c r="A7" s="6" t="s">
        <v>152</v>
      </c>
      <c r="B7" s="7" t="s">
        <v>553</v>
      </c>
      <c r="C7" s="6"/>
      <c r="D7" s="6"/>
      <c r="E7" s="6"/>
      <c r="F7" s="6">
        <v>1</v>
      </c>
      <c r="G7" s="6" t="s">
        <v>8</v>
      </c>
      <c r="H7" s="6">
        <v>1</v>
      </c>
      <c r="J7" t="s">
        <v>152</v>
      </c>
      <c r="K7" t="s">
        <v>401</v>
      </c>
      <c r="O7">
        <v>3</v>
      </c>
      <c r="P7" t="s">
        <v>15</v>
      </c>
      <c r="T7" t="s">
        <v>347</v>
      </c>
      <c r="V7">
        <v>3</v>
      </c>
      <c r="Z7">
        <v>3</v>
      </c>
      <c r="AC7" t="s">
        <v>229</v>
      </c>
    </row>
    <row r="8" spans="1:30">
      <c r="A8" s="6" t="s">
        <v>152</v>
      </c>
      <c r="B8" s="7" t="s">
        <v>554</v>
      </c>
      <c r="C8" s="6"/>
      <c r="D8" s="6"/>
      <c r="E8" s="6"/>
      <c r="F8" s="6">
        <v>2</v>
      </c>
      <c r="G8" s="6" t="s">
        <v>8</v>
      </c>
      <c r="H8" s="6">
        <v>1</v>
      </c>
      <c r="J8" t="s">
        <v>152</v>
      </c>
      <c r="K8" t="s">
        <v>521</v>
      </c>
      <c r="O8">
        <v>1</v>
      </c>
      <c r="P8" t="s">
        <v>15</v>
      </c>
      <c r="T8" t="s">
        <v>1105</v>
      </c>
      <c r="V8">
        <v>4</v>
      </c>
    </row>
    <row r="9" spans="1:30">
      <c r="A9" s="6" t="s">
        <v>152</v>
      </c>
      <c r="B9" s="7" t="s">
        <v>555</v>
      </c>
      <c r="C9" s="6"/>
      <c r="D9" s="6"/>
      <c r="E9" s="6"/>
      <c r="F9" s="6">
        <v>3</v>
      </c>
      <c r="G9" s="6" t="s">
        <v>8</v>
      </c>
      <c r="H9" s="6">
        <v>1</v>
      </c>
      <c r="J9" t="s">
        <v>152</v>
      </c>
      <c r="K9" t="s">
        <v>522</v>
      </c>
      <c r="O9">
        <v>1</v>
      </c>
      <c r="P9" t="s">
        <v>15</v>
      </c>
      <c r="T9" t="s">
        <v>567</v>
      </c>
    </row>
    <row r="10" spans="1:30">
      <c r="A10" s="6" t="s">
        <v>556</v>
      </c>
      <c r="B10" s="7"/>
      <c r="C10" s="6"/>
      <c r="D10" s="6"/>
      <c r="E10" s="6"/>
      <c r="F10" s="6">
        <v>2</v>
      </c>
      <c r="G10" s="6" t="s">
        <v>8</v>
      </c>
      <c r="H10" s="6">
        <v>1</v>
      </c>
      <c r="J10" t="s">
        <v>152</v>
      </c>
      <c r="K10" t="s">
        <v>23</v>
      </c>
      <c r="O10">
        <v>1</v>
      </c>
      <c r="P10" t="s">
        <v>15</v>
      </c>
      <c r="T10" t="s">
        <v>348</v>
      </c>
    </row>
    <row r="11" spans="1:30">
      <c r="A11" s="6" t="s">
        <v>152</v>
      </c>
      <c r="B11" s="7" t="s">
        <v>557</v>
      </c>
      <c r="C11" s="6"/>
      <c r="D11" s="6"/>
      <c r="E11" s="6"/>
      <c r="F11" s="6">
        <v>4</v>
      </c>
      <c r="G11" s="6" t="s">
        <v>8</v>
      </c>
      <c r="H11" s="6">
        <v>1</v>
      </c>
      <c r="J11" t="s">
        <v>152</v>
      </c>
      <c r="K11" t="s">
        <v>523</v>
      </c>
      <c r="O11">
        <v>1</v>
      </c>
      <c r="P11" t="s">
        <v>15</v>
      </c>
      <c r="T11" t="s">
        <v>332</v>
      </c>
    </row>
    <row r="12" spans="1:30">
      <c r="A12" s="6" t="s">
        <v>152</v>
      </c>
      <c r="B12" s="7" t="s">
        <v>558</v>
      </c>
      <c r="C12" s="6"/>
      <c r="D12" s="6"/>
      <c r="E12" s="6"/>
      <c r="F12" s="6">
        <v>1</v>
      </c>
      <c r="G12" s="6" t="s">
        <v>8</v>
      </c>
      <c r="H12" s="6">
        <v>1</v>
      </c>
      <c r="J12" t="s">
        <v>152</v>
      </c>
      <c r="K12" t="s">
        <v>524</v>
      </c>
      <c r="O12">
        <v>1</v>
      </c>
      <c r="P12" t="s">
        <v>15</v>
      </c>
      <c r="T12" t="s">
        <v>570</v>
      </c>
    </row>
    <row r="13" spans="1:30">
      <c r="A13" s="6" t="s">
        <v>152</v>
      </c>
      <c r="B13" s="7" t="s">
        <v>155</v>
      </c>
      <c r="C13" s="6"/>
      <c r="D13" s="6"/>
      <c r="E13" s="6"/>
      <c r="F13" s="6">
        <v>2</v>
      </c>
      <c r="G13" s="6" t="s">
        <v>8</v>
      </c>
      <c r="H13" s="6">
        <v>1</v>
      </c>
      <c r="J13" t="s">
        <v>90</v>
      </c>
      <c r="K13" t="s">
        <v>526</v>
      </c>
      <c r="O13">
        <v>4</v>
      </c>
      <c r="P13" t="s">
        <v>525</v>
      </c>
      <c r="T13" t="s">
        <v>29</v>
      </c>
    </row>
    <row r="14" spans="1:30">
      <c r="A14" s="6" t="s">
        <v>152</v>
      </c>
      <c r="B14" s="7" t="s">
        <v>559</v>
      </c>
      <c r="C14" s="6"/>
      <c r="D14" s="6"/>
      <c r="E14" s="6"/>
      <c r="F14" s="6">
        <v>1</v>
      </c>
      <c r="G14" s="6" t="s">
        <v>8</v>
      </c>
      <c r="H14" s="6">
        <v>1</v>
      </c>
      <c r="J14" t="s">
        <v>429</v>
      </c>
      <c r="K14" t="s">
        <v>527</v>
      </c>
      <c r="O14">
        <v>1</v>
      </c>
      <c r="P14" t="s">
        <v>525</v>
      </c>
      <c r="T14" t="s">
        <v>1017</v>
      </c>
    </row>
    <row r="15" spans="1:30">
      <c r="A15" s="6" t="s">
        <v>152</v>
      </c>
      <c r="B15" s="10" t="s">
        <v>560</v>
      </c>
      <c r="C15" s="6"/>
      <c r="D15" s="6"/>
      <c r="E15" s="6"/>
      <c r="F15" s="6">
        <v>2</v>
      </c>
      <c r="G15" s="6" t="s">
        <v>8</v>
      </c>
      <c r="H15" s="6">
        <v>1</v>
      </c>
      <c r="J15" t="s">
        <v>355</v>
      </c>
      <c r="K15" t="s">
        <v>355</v>
      </c>
      <c r="L15" t="s">
        <v>357</v>
      </c>
      <c r="O15">
        <v>2</v>
      </c>
      <c r="P15" t="s">
        <v>528</v>
      </c>
      <c r="T15" t="s">
        <v>1018</v>
      </c>
    </row>
    <row r="16" spans="1:30">
      <c r="A16" s="6" t="s">
        <v>107</v>
      </c>
      <c r="B16" s="7"/>
      <c r="C16" s="6" t="s">
        <v>122</v>
      </c>
      <c r="D16" s="6"/>
      <c r="E16" s="6"/>
      <c r="F16" s="6">
        <v>2</v>
      </c>
      <c r="G16" s="6" t="s">
        <v>8</v>
      </c>
      <c r="H16" s="6">
        <v>1</v>
      </c>
      <c r="J16" t="s">
        <v>355</v>
      </c>
      <c r="K16" t="s">
        <v>355</v>
      </c>
      <c r="L16" t="s">
        <v>529</v>
      </c>
      <c r="O16">
        <v>1</v>
      </c>
      <c r="P16" t="s">
        <v>528</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429</v>
      </c>
      <c r="K17" t="s">
        <v>425</v>
      </c>
      <c r="O17">
        <v>1</v>
      </c>
      <c r="P17" t="s">
        <v>528</v>
      </c>
    </row>
    <row r="18" spans="1:16" ht="30">
      <c r="A18" s="6" t="s">
        <v>92</v>
      </c>
      <c r="B18" s="7" t="str">
        <f>bolso("Bolso de rescate vehicular",Table625[])</f>
        <v xml:space="preserve">Bolso de rescate vehicular Contiene:  chaleco vial x6,  cubre parantes x10, </v>
      </c>
      <c r="C18" s="6"/>
      <c r="D18" s="6"/>
      <c r="E18" s="6"/>
      <c r="F18" s="6">
        <v>1</v>
      </c>
      <c r="G18" s="6" t="s">
        <v>10</v>
      </c>
      <c r="H18" s="6">
        <v>1</v>
      </c>
      <c r="J18" t="s">
        <v>425</v>
      </c>
      <c r="K18" t="s">
        <v>530</v>
      </c>
      <c r="O18">
        <v>1</v>
      </c>
      <c r="P18" t="s">
        <v>528</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426</v>
      </c>
      <c r="K19" t="s">
        <v>531</v>
      </c>
      <c r="O19">
        <v>1</v>
      </c>
      <c r="P19" t="s">
        <v>528</v>
      </c>
    </row>
    <row r="20" spans="1:16">
      <c r="A20" s="6" t="s">
        <v>152</v>
      </c>
      <c r="B20" s="7" t="s">
        <v>517</v>
      </c>
      <c r="C20" s="6"/>
      <c r="D20" s="6"/>
      <c r="E20" s="6"/>
      <c r="F20" s="6">
        <v>1</v>
      </c>
      <c r="G20" s="6" t="s">
        <v>5</v>
      </c>
      <c r="H20" s="6">
        <v>1</v>
      </c>
      <c r="J20" t="s">
        <v>561</v>
      </c>
      <c r="K20" t="s">
        <v>562</v>
      </c>
      <c r="O20">
        <v>2</v>
      </c>
      <c r="P20" t="s">
        <v>347</v>
      </c>
    </row>
    <row r="21" spans="1:16">
      <c r="A21" s="6" t="s">
        <v>171</v>
      </c>
      <c r="B21" s="7"/>
      <c r="C21" s="6" t="s">
        <v>232</v>
      </c>
      <c r="D21" s="6"/>
      <c r="E21" s="6"/>
      <c r="F21" s="6"/>
      <c r="G21" s="6" t="s">
        <v>5</v>
      </c>
      <c r="H21" s="6">
        <v>1</v>
      </c>
      <c r="J21" t="s">
        <v>90</v>
      </c>
      <c r="K21" t="s">
        <v>564</v>
      </c>
      <c r="O21">
        <v>2</v>
      </c>
      <c r="P21" t="s">
        <v>347</v>
      </c>
    </row>
    <row r="22" spans="1:16">
      <c r="A22" s="6" t="s">
        <v>152</v>
      </c>
      <c r="B22" s="7" t="s">
        <v>518</v>
      </c>
      <c r="C22" s="6"/>
      <c r="D22" s="6"/>
      <c r="E22" s="6"/>
      <c r="F22" s="6">
        <v>1</v>
      </c>
      <c r="G22" s="6" t="s">
        <v>5</v>
      </c>
      <c r="H22" s="6">
        <v>1</v>
      </c>
      <c r="J22" t="s">
        <v>561</v>
      </c>
      <c r="K22" t="s">
        <v>563</v>
      </c>
      <c r="O22">
        <v>2</v>
      </c>
      <c r="P22" t="s">
        <v>347</v>
      </c>
    </row>
    <row r="23" spans="1:16">
      <c r="A23" s="6" t="s">
        <v>150</v>
      </c>
      <c r="B23" s="7" t="s">
        <v>151</v>
      </c>
      <c r="C23" s="6"/>
      <c r="D23" s="6"/>
      <c r="E23" s="6"/>
      <c r="F23" s="6">
        <v>1</v>
      </c>
      <c r="G23" s="6" t="s">
        <v>5</v>
      </c>
      <c r="H23" s="6">
        <v>1</v>
      </c>
      <c r="J23" t="s">
        <v>360</v>
      </c>
      <c r="K23" t="s">
        <v>566</v>
      </c>
      <c r="O23">
        <v>6</v>
      </c>
      <c r="P23" t="s">
        <v>1105</v>
      </c>
    </row>
    <row r="24" spans="1:16" ht="105">
      <c r="A24" s="6" t="s">
        <v>92</v>
      </c>
      <c r="B24" s="7" t="str">
        <f>bolso("Caja de herramientas 1",Table625[])</f>
        <v xml:space="preserve">Caja de herramientas 1 Contiene:  martillo x2,  llave francesa x1,  Destornillador phillips x2,  Destornillador plano x3,  llave union x1,  pico de loro x1,  pinza x1,  alicate x1,  llave 1/2 y 9/16 x1,  Pinza de punta x2,  Tenaza x1,  Herramienta p/ discos amoladora x1, </v>
      </c>
      <c r="C24" s="6"/>
      <c r="D24" s="6"/>
      <c r="E24" s="6"/>
      <c r="F24" s="6">
        <v>1</v>
      </c>
      <c r="G24" s="6" t="s">
        <v>5</v>
      </c>
      <c r="H24" s="6">
        <v>1</v>
      </c>
      <c r="J24" t="s">
        <v>89</v>
      </c>
      <c r="K24" t="s">
        <v>568</v>
      </c>
      <c r="O24">
        <v>5</v>
      </c>
      <c r="P24" t="s">
        <v>567</v>
      </c>
    </row>
    <row r="25" spans="1:16">
      <c r="A25" s="6" t="s">
        <v>152</v>
      </c>
      <c r="B25" s="7" t="s">
        <v>532</v>
      </c>
      <c r="C25" s="6"/>
      <c r="D25" s="6"/>
      <c r="E25" s="6"/>
      <c r="F25" s="6">
        <v>1</v>
      </c>
      <c r="G25" s="6" t="s">
        <v>5</v>
      </c>
      <c r="H25" s="6">
        <v>1</v>
      </c>
      <c r="J25" t="s">
        <v>90</v>
      </c>
      <c r="K25" t="s">
        <v>344</v>
      </c>
      <c r="O25">
        <v>4</v>
      </c>
      <c r="P25" t="s">
        <v>348</v>
      </c>
    </row>
    <row r="26" spans="1:16" ht="30">
      <c r="A26" s="6" t="s">
        <v>32</v>
      </c>
      <c r="B26" s="7" t="s">
        <v>515</v>
      </c>
      <c r="C26" s="6" t="s">
        <v>52</v>
      </c>
      <c r="D26" s="6"/>
      <c r="E26" s="6"/>
      <c r="F26" s="6">
        <v>1</v>
      </c>
      <c r="G26" s="6" t="s">
        <v>6</v>
      </c>
      <c r="H26" s="6">
        <v>1</v>
      </c>
      <c r="J26" t="s">
        <v>428</v>
      </c>
      <c r="K26" t="s">
        <v>569</v>
      </c>
      <c r="O26">
        <v>20</v>
      </c>
      <c r="P26" t="s">
        <v>332</v>
      </c>
    </row>
    <row r="27" spans="1:16">
      <c r="A27" s="6" t="s">
        <v>238</v>
      </c>
      <c r="B27" s="7"/>
      <c r="C27" s="6"/>
      <c r="D27" s="6" t="s">
        <v>539</v>
      </c>
      <c r="E27" s="6" t="s">
        <v>540</v>
      </c>
      <c r="F27" s="6">
        <v>1</v>
      </c>
      <c r="G27" s="6" t="s">
        <v>6</v>
      </c>
      <c r="H27" s="6">
        <v>1</v>
      </c>
      <c r="J27" t="s">
        <v>571</v>
      </c>
      <c r="K27" t="s">
        <v>1123</v>
      </c>
      <c r="L27" t="s">
        <v>572</v>
      </c>
      <c r="O27">
        <v>1</v>
      </c>
      <c r="P27" t="s">
        <v>570</v>
      </c>
    </row>
    <row r="28" spans="1:16">
      <c r="A28" s="6" t="s">
        <v>541</v>
      </c>
      <c r="B28" s="7"/>
      <c r="C28" s="6"/>
      <c r="D28" s="6" t="s">
        <v>178</v>
      </c>
      <c r="E28" s="6" t="s">
        <v>542</v>
      </c>
      <c r="F28" s="6">
        <v>1</v>
      </c>
      <c r="G28" s="6" t="s">
        <v>6</v>
      </c>
      <c r="H28" s="6">
        <v>1</v>
      </c>
      <c r="J28" t="s">
        <v>571</v>
      </c>
      <c r="K28" t="s">
        <v>1124</v>
      </c>
      <c r="L28" t="s">
        <v>573</v>
      </c>
      <c r="O28">
        <v>1</v>
      </c>
      <c r="P28" t="s">
        <v>570</v>
      </c>
    </row>
    <row r="29" spans="1:16">
      <c r="A29" s="6" t="s">
        <v>59</v>
      </c>
      <c r="B29" s="7" t="s">
        <v>543</v>
      </c>
      <c r="C29" s="6"/>
      <c r="D29" s="6"/>
      <c r="E29" s="6"/>
      <c r="F29" s="6">
        <v>1</v>
      </c>
      <c r="G29" s="6" t="s">
        <v>6</v>
      </c>
      <c r="H29" s="6">
        <v>1</v>
      </c>
      <c r="J29" t="s">
        <v>571</v>
      </c>
      <c r="K29" t="s">
        <v>1125</v>
      </c>
      <c r="L29" t="s">
        <v>574</v>
      </c>
      <c r="O29">
        <v>1</v>
      </c>
      <c r="P29" t="s">
        <v>570</v>
      </c>
    </row>
    <row r="30" spans="1:16">
      <c r="A30" s="6" t="s">
        <v>11</v>
      </c>
      <c r="B30" s="7"/>
      <c r="C30" s="6" t="s">
        <v>79</v>
      </c>
      <c r="D30" s="6"/>
      <c r="E30" s="6"/>
      <c r="F30" s="6">
        <v>3</v>
      </c>
      <c r="G30" s="6" t="s">
        <v>6</v>
      </c>
      <c r="H30" s="6">
        <v>1</v>
      </c>
      <c r="J30" t="s">
        <v>571</v>
      </c>
      <c r="K30" t="s">
        <v>1126</v>
      </c>
      <c r="L30" t="s">
        <v>575</v>
      </c>
      <c r="O30">
        <v>1</v>
      </c>
      <c r="P30" t="s">
        <v>570</v>
      </c>
    </row>
    <row r="31" spans="1:16">
      <c r="A31" s="6" t="s">
        <v>32</v>
      </c>
      <c r="B31" s="7" t="s">
        <v>513</v>
      </c>
      <c r="C31" s="6" t="s">
        <v>72</v>
      </c>
      <c r="D31" s="6"/>
      <c r="E31" s="6">
        <v>140700533</v>
      </c>
      <c r="F31" s="6">
        <v>1</v>
      </c>
      <c r="G31" s="6" t="s">
        <v>6</v>
      </c>
      <c r="H31" s="6">
        <v>1</v>
      </c>
      <c r="J31" t="s">
        <v>571</v>
      </c>
      <c r="K31" t="s">
        <v>1127</v>
      </c>
      <c r="L31" t="s">
        <v>576</v>
      </c>
      <c r="O31">
        <v>1</v>
      </c>
      <c r="P31" t="s">
        <v>570</v>
      </c>
    </row>
    <row r="32" spans="1:16">
      <c r="A32" s="6" t="s">
        <v>11</v>
      </c>
      <c r="B32" s="7"/>
      <c r="C32" s="6" t="s">
        <v>120</v>
      </c>
      <c r="D32" s="6"/>
      <c r="E32" s="6"/>
      <c r="F32" s="6">
        <v>3</v>
      </c>
      <c r="G32" s="6" t="s">
        <v>6</v>
      </c>
      <c r="H32" s="6">
        <v>1</v>
      </c>
      <c r="J32" t="s">
        <v>571</v>
      </c>
      <c r="K32" t="s">
        <v>1128</v>
      </c>
      <c r="L32" t="s">
        <v>577</v>
      </c>
      <c r="O32">
        <v>1</v>
      </c>
      <c r="P32" t="s">
        <v>570</v>
      </c>
    </row>
    <row r="33" spans="1:16">
      <c r="A33" s="6" t="s">
        <v>11</v>
      </c>
      <c r="B33" s="7" t="s">
        <v>1136</v>
      </c>
      <c r="C33" s="6" t="s">
        <v>118</v>
      </c>
      <c r="D33" s="6"/>
      <c r="E33" s="6"/>
      <c r="F33" s="6">
        <v>3</v>
      </c>
      <c r="G33" s="6" t="s">
        <v>6</v>
      </c>
      <c r="H33" s="6">
        <v>1</v>
      </c>
      <c r="J33" t="s">
        <v>591</v>
      </c>
      <c r="K33" t="s">
        <v>590</v>
      </c>
      <c r="O33">
        <v>1</v>
      </c>
      <c r="P33" t="s">
        <v>29</v>
      </c>
    </row>
    <row r="34" spans="1:16">
      <c r="A34" s="6" t="s">
        <v>11</v>
      </c>
      <c r="B34" s="7"/>
      <c r="C34" s="6" t="s">
        <v>79</v>
      </c>
      <c r="D34" s="6"/>
      <c r="E34" s="6"/>
      <c r="F34" s="6">
        <v>2</v>
      </c>
      <c r="G34" s="6" t="s">
        <v>6</v>
      </c>
      <c r="H34" s="6">
        <v>1</v>
      </c>
      <c r="J34" t="s">
        <v>152</v>
      </c>
      <c r="K34" t="s">
        <v>201</v>
      </c>
      <c r="O34">
        <v>1</v>
      </c>
      <c r="P34" t="s">
        <v>29</v>
      </c>
    </row>
    <row r="35" spans="1:16">
      <c r="A35" s="6" t="s">
        <v>11</v>
      </c>
      <c r="B35" s="7"/>
      <c r="C35" s="6" t="s">
        <v>116</v>
      </c>
      <c r="D35" s="6"/>
      <c r="E35" s="6"/>
      <c r="F35" s="6">
        <v>1</v>
      </c>
      <c r="G35" s="6" t="s">
        <v>6</v>
      </c>
      <c r="H35" s="6">
        <v>1</v>
      </c>
      <c r="J35" t="s">
        <v>152</v>
      </c>
      <c r="K35" t="s">
        <v>592</v>
      </c>
      <c r="O35">
        <v>2</v>
      </c>
      <c r="P35" t="s">
        <v>29</v>
      </c>
    </row>
    <row r="36" spans="1:16">
      <c r="A36" s="6" t="s">
        <v>533</v>
      </c>
      <c r="B36" s="7" t="s">
        <v>534</v>
      </c>
      <c r="C36" s="6" t="s">
        <v>52</v>
      </c>
      <c r="D36" s="6"/>
      <c r="E36" s="6">
        <v>27348635</v>
      </c>
      <c r="F36" s="6">
        <v>1</v>
      </c>
      <c r="G36" s="6" t="s">
        <v>9</v>
      </c>
      <c r="H36" s="6">
        <v>1</v>
      </c>
      <c r="J36" t="s">
        <v>152</v>
      </c>
      <c r="K36" t="s">
        <v>593</v>
      </c>
      <c r="O36">
        <v>1</v>
      </c>
      <c r="P36" t="s">
        <v>29</v>
      </c>
    </row>
    <row r="37" spans="1:16">
      <c r="A37" s="6" t="s">
        <v>59</v>
      </c>
      <c r="B37" s="7" t="s">
        <v>536</v>
      </c>
      <c r="C37" s="6" t="s">
        <v>52</v>
      </c>
      <c r="D37" s="6" t="s">
        <v>535</v>
      </c>
      <c r="E37" s="6"/>
      <c r="F37" s="6">
        <v>1</v>
      </c>
      <c r="G37" s="6" t="s">
        <v>9</v>
      </c>
      <c r="H37" s="6">
        <v>1</v>
      </c>
      <c r="J37" t="s">
        <v>152</v>
      </c>
      <c r="K37" t="s">
        <v>594</v>
      </c>
      <c r="O37">
        <v>1</v>
      </c>
      <c r="P37" t="s">
        <v>29</v>
      </c>
    </row>
    <row r="38" spans="1:16">
      <c r="A38" s="6" t="s">
        <v>53</v>
      </c>
      <c r="B38" s="7"/>
      <c r="C38" s="6"/>
      <c r="D38" s="6"/>
      <c r="E38" s="6"/>
      <c r="F38" s="6">
        <v>11</v>
      </c>
      <c r="G38" s="6" t="s">
        <v>9</v>
      </c>
      <c r="H38" s="6">
        <v>1</v>
      </c>
      <c r="J38" t="s">
        <v>147</v>
      </c>
      <c r="K38" t="s">
        <v>595</v>
      </c>
      <c r="O38">
        <v>1</v>
      </c>
      <c r="P38" t="s">
        <v>29</v>
      </c>
    </row>
    <row r="39" spans="1:16">
      <c r="A39" s="6" t="s">
        <v>11</v>
      </c>
      <c r="B39" s="7"/>
      <c r="C39" s="6" t="s">
        <v>120</v>
      </c>
      <c r="D39" s="6"/>
      <c r="E39" s="6"/>
      <c r="F39" s="6">
        <v>2</v>
      </c>
      <c r="G39" s="6" t="s">
        <v>9</v>
      </c>
      <c r="H39" s="6">
        <v>1</v>
      </c>
      <c r="J39" t="s">
        <v>596</v>
      </c>
      <c r="K39" t="s">
        <v>597</v>
      </c>
      <c r="O39">
        <v>3</v>
      </c>
      <c r="P39" t="s">
        <v>29</v>
      </c>
    </row>
    <row r="40" spans="1:16">
      <c r="A40" s="6" t="s">
        <v>156</v>
      </c>
      <c r="B40" s="7" t="s">
        <v>537</v>
      </c>
      <c r="C40" s="6" t="s">
        <v>632</v>
      </c>
      <c r="D40" s="6"/>
      <c r="E40" s="6"/>
      <c r="F40" s="6">
        <v>1</v>
      </c>
      <c r="G40" s="6" t="s">
        <v>9</v>
      </c>
      <c r="H40" s="6">
        <v>1</v>
      </c>
      <c r="J40" t="s">
        <v>152</v>
      </c>
      <c r="K40" t="s">
        <v>17</v>
      </c>
      <c r="O40">
        <v>1</v>
      </c>
      <c r="P40" t="s">
        <v>29</v>
      </c>
    </row>
    <row r="41" spans="1:16" ht="30">
      <c r="A41" s="6" t="s">
        <v>54</v>
      </c>
      <c r="B41" s="7" t="s">
        <v>1130</v>
      </c>
      <c r="C41" s="6" t="s">
        <v>1129</v>
      </c>
      <c r="D41" s="6" t="s">
        <v>538</v>
      </c>
      <c r="E41" s="6"/>
      <c r="F41" s="6">
        <v>1</v>
      </c>
      <c r="G41" s="6" t="s">
        <v>5</v>
      </c>
      <c r="H41" s="6">
        <v>1</v>
      </c>
      <c r="J41" t="s">
        <v>152</v>
      </c>
      <c r="K41" t="s">
        <v>598</v>
      </c>
      <c r="O41">
        <v>1</v>
      </c>
      <c r="P41" t="s">
        <v>29</v>
      </c>
    </row>
    <row r="42" spans="1:16">
      <c r="A42" s="6" t="s">
        <v>169</v>
      </c>
      <c r="B42" s="7"/>
      <c r="C42" s="6" t="s">
        <v>66</v>
      </c>
      <c r="D42" s="6"/>
      <c r="E42" s="6"/>
      <c r="F42" s="6">
        <v>1</v>
      </c>
      <c r="G42" s="6" t="s">
        <v>9</v>
      </c>
      <c r="H42" s="6">
        <v>1</v>
      </c>
      <c r="J42" t="s">
        <v>152</v>
      </c>
      <c r="K42" t="s">
        <v>599</v>
      </c>
      <c r="O42">
        <v>3</v>
      </c>
      <c r="P42" t="s">
        <v>29</v>
      </c>
    </row>
    <row r="43" spans="1:16">
      <c r="A43" s="6" t="s">
        <v>152</v>
      </c>
      <c r="B43" s="7" t="s">
        <v>26</v>
      </c>
      <c r="C43" s="6"/>
      <c r="D43" s="6"/>
      <c r="E43" s="6"/>
      <c r="F43" s="6">
        <v>4</v>
      </c>
      <c r="G43" s="6" t="s">
        <v>9</v>
      </c>
      <c r="H43" s="6">
        <v>1</v>
      </c>
      <c r="J43" t="s">
        <v>152</v>
      </c>
      <c r="K43" t="s">
        <v>523</v>
      </c>
      <c r="O43">
        <v>2</v>
      </c>
      <c r="P43" t="s">
        <v>29</v>
      </c>
    </row>
    <row r="44" spans="1:16">
      <c r="A44" s="6" t="s">
        <v>1131</v>
      </c>
      <c r="B44" s="7" t="s">
        <v>1131</v>
      </c>
      <c r="C44" s="6" t="s">
        <v>790</v>
      </c>
      <c r="D44" s="6"/>
      <c r="E44" s="6"/>
      <c r="F44" s="6">
        <v>1</v>
      </c>
      <c r="G44" s="6" t="s">
        <v>9</v>
      </c>
      <c r="H44" s="6">
        <v>1</v>
      </c>
      <c r="J44" t="s">
        <v>152</v>
      </c>
      <c r="K44" t="s">
        <v>23</v>
      </c>
      <c r="O44">
        <v>1</v>
      </c>
      <c r="P44" t="s">
        <v>29</v>
      </c>
    </row>
    <row r="45" spans="1:16">
      <c r="A45" s="6" t="s">
        <v>44</v>
      </c>
      <c r="B45" s="7" t="s">
        <v>1132</v>
      </c>
      <c r="C45" s="6" t="s">
        <v>45</v>
      </c>
      <c r="D45" s="6"/>
      <c r="E45" s="6"/>
      <c r="F45" s="6">
        <v>2</v>
      </c>
      <c r="G45" s="6" t="s">
        <v>9</v>
      </c>
      <c r="H45" s="6">
        <v>1</v>
      </c>
      <c r="J45" t="s">
        <v>152</v>
      </c>
      <c r="K45" t="s">
        <v>600</v>
      </c>
      <c r="O45">
        <v>1</v>
      </c>
      <c r="P45" t="s">
        <v>29</v>
      </c>
    </row>
    <row r="46" spans="1:16">
      <c r="A46" s="6" t="s">
        <v>508</v>
      </c>
      <c r="B46" s="7" t="s">
        <v>509</v>
      </c>
      <c r="C46" s="6"/>
      <c r="D46" s="6" t="s">
        <v>510</v>
      </c>
      <c r="E46" s="6"/>
      <c r="F46" s="6">
        <v>2</v>
      </c>
      <c r="G46" s="6" t="s">
        <v>10</v>
      </c>
      <c r="H46" s="6">
        <v>1</v>
      </c>
      <c r="J46" t="s">
        <v>809</v>
      </c>
      <c r="K46" t="s">
        <v>1019</v>
      </c>
      <c r="O46">
        <v>1</v>
      </c>
      <c r="P46" t="s">
        <v>1017</v>
      </c>
    </row>
    <row r="47" spans="1:16">
      <c r="A47" s="6" t="s">
        <v>147</v>
      </c>
      <c r="B47" s="7" t="s">
        <v>511</v>
      </c>
      <c r="C47" s="6"/>
      <c r="D47" s="6"/>
      <c r="E47" s="6"/>
      <c r="F47" s="6">
        <v>2</v>
      </c>
      <c r="G47" s="6" t="s">
        <v>10</v>
      </c>
      <c r="H47" s="6">
        <v>1</v>
      </c>
      <c r="J47" t="s">
        <v>287</v>
      </c>
      <c r="K47" t="s">
        <v>1020</v>
      </c>
      <c r="O47">
        <v>2</v>
      </c>
      <c r="P47" t="s">
        <v>1017</v>
      </c>
    </row>
    <row r="48" spans="1:16">
      <c r="A48" s="6" t="s">
        <v>11</v>
      </c>
      <c r="B48" s="7" t="s">
        <v>512</v>
      </c>
      <c r="C48" s="6" t="s">
        <v>120</v>
      </c>
      <c r="D48" s="6"/>
      <c r="E48" s="6"/>
      <c r="F48" s="6">
        <v>3</v>
      </c>
      <c r="G48" s="6" t="s">
        <v>10</v>
      </c>
      <c r="H48" s="6">
        <v>1</v>
      </c>
      <c r="J48" t="s">
        <v>814</v>
      </c>
      <c r="K48" t="s">
        <v>1021</v>
      </c>
      <c r="O48">
        <v>1</v>
      </c>
      <c r="P48" t="s">
        <v>1017</v>
      </c>
    </row>
    <row r="49" spans="1:16">
      <c r="A49" s="6" t="s">
        <v>32</v>
      </c>
      <c r="B49" s="7" t="s">
        <v>513</v>
      </c>
      <c r="C49" s="6" t="s">
        <v>52</v>
      </c>
      <c r="D49" s="6" t="s">
        <v>514</v>
      </c>
      <c r="E49" s="6"/>
      <c r="F49" s="6">
        <v>1</v>
      </c>
      <c r="G49" s="6" t="s">
        <v>10</v>
      </c>
      <c r="H49" s="6">
        <v>1</v>
      </c>
      <c r="J49" t="s">
        <v>814</v>
      </c>
      <c r="K49" t="s">
        <v>1022</v>
      </c>
      <c r="O49">
        <v>1</v>
      </c>
      <c r="P49" t="s">
        <v>1017</v>
      </c>
    </row>
    <row r="50" spans="1:16">
      <c r="A50" s="6" t="s">
        <v>11</v>
      </c>
      <c r="B50" s="7"/>
      <c r="C50" s="6" t="s">
        <v>118</v>
      </c>
      <c r="D50" s="6"/>
      <c r="E50" s="6"/>
      <c r="F50" s="6">
        <v>4</v>
      </c>
      <c r="G50" s="6" t="s">
        <v>10</v>
      </c>
      <c r="H50" s="6">
        <v>1</v>
      </c>
      <c r="J50" t="s">
        <v>814</v>
      </c>
      <c r="K50" t="s">
        <v>1023</v>
      </c>
      <c r="O50">
        <v>1</v>
      </c>
      <c r="P50" t="s">
        <v>1017</v>
      </c>
    </row>
    <row r="51" spans="1:16" ht="30">
      <c r="A51" s="6" t="s">
        <v>32</v>
      </c>
      <c r="B51" s="7" t="s">
        <v>515</v>
      </c>
      <c r="C51" s="6" t="s">
        <v>52</v>
      </c>
      <c r="D51" s="6" t="s">
        <v>516</v>
      </c>
      <c r="E51" s="6"/>
      <c r="F51" s="6">
        <v>3</v>
      </c>
      <c r="G51" s="6" t="s">
        <v>10</v>
      </c>
      <c r="H51" s="6">
        <v>1</v>
      </c>
      <c r="J51" t="s">
        <v>861</v>
      </c>
      <c r="K51" t="s">
        <v>1024</v>
      </c>
      <c r="O51">
        <v>2</v>
      </c>
      <c r="P51" t="s">
        <v>1017</v>
      </c>
    </row>
    <row r="52" spans="1:16">
      <c r="A52" s="6" t="s">
        <v>171</v>
      </c>
      <c r="B52" s="7"/>
      <c r="C52" s="6" t="s">
        <v>232</v>
      </c>
      <c r="D52" s="6" t="s">
        <v>279</v>
      </c>
      <c r="E52" s="6"/>
      <c r="F52" s="6">
        <v>1</v>
      </c>
      <c r="G52" s="6" t="s">
        <v>10</v>
      </c>
      <c r="H52" s="6">
        <v>1</v>
      </c>
      <c r="J52" t="s">
        <v>853</v>
      </c>
      <c r="K52" t="s">
        <v>1025</v>
      </c>
      <c r="O52">
        <v>1</v>
      </c>
      <c r="P52" t="s">
        <v>1017</v>
      </c>
    </row>
    <row r="53" spans="1:16">
      <c r="A53" s="6" t="s">
        <v>12</v>
      </c>
      <c r="B53" s="7" t="s">
        <v>502</v>
      </c>
      <c r="C53" s="6" t="s">
        <v>419</v>
      </c>
      <c r="D53" s="6" t="s">
        <v>503</v>
      </c>
      <c r="E53" s="6"/>
      <c r="F53" s="6">
        <v>1</v>
      </c>
      <c r="G53" s="6" t="s">
        <v>251</v>
      </c>
      <c r="H53" s="6">
        <v>1</v>
      </c>
      <c r="J53" t="s">
        <v>853</v>
      </c>
      <c r="K53" t="s">
        <v>1026</v>
      </c>
      <c r="O53">
        <v>3</v>
      </c>
      <c r="P53" t="s">
        <v>1017</v>
      </c>
    </row>
    <row r="54" spans="1:16">
      <c r="A54" s="6" t="s">
        <v>12</v>
      </c>
      <c r="B54" s="7" t="s">
        <v>504</v>
      </c>
      <c r="C54" s="6"/>
      <c r="D54" s="6" t="s">
        <v>178</v>
      </c>
      <c r="E54" s="6" t="s">
        <v>505</v>
      </c>
      <c r="F54" s="6">
        <v>1</v>
      </c>
      <c r="G54" s="6" t="s">
        <v>251</v>
      </c>
      <c r="H54" s="6">
        <v>1</v>
      </c>
      <c r="J54" t="s">
        <v>852</v>
      </c>
      <c r="K54" t="s">
        <v>1027</v>
      </c>
      <c r="O54">
        <v>3</v>
      </c>
      <c r="P54" t="s">
        <v>1017</v>
      </c>
    </row>
    <row r="55" spans="1:16">
      <c r="A55" s="6" t="s">
        <v>12</v>
      </c>
      <c r="B55" s="7" t="s">
        <v>506</v>
      </c>
      <c r="C55" s="6"/>
      <c r="D55" s="6" t="s">
        <v>177</v>
      </c>
      <c r="E55" s="6" t="s">
        <v>507</v>
      </c>
      <c r="F55" s="6">
        <v>1</v>
      </c>
      <c r="G55" s="6" t="s">
        <v>251</v>
      </c>
      <c r="H55" s="6">
        <v>1</v>
      </c>
      <c r="J55" t="s">
        <v>852</v>
      </c>
      <c r="K55" t="s">
        <v>1028</v>
      </c>
      <c r="O55">
        <v>1</v>
      </c>
      <c r="P55" t="s">
        <v>1017</v>
      </c>
    </row>
    <row r="56" spans="1:16">
      <c r="A56" s="6" t="s">
        <v>88</v>
      </c>
      <c r="B56" s="7" t="s">
        <v>495</v>
      </c>
      <c r="C56" s="6"/>
      <c r="D56" s="6"/>
      <c r="E56" s="6"/>
      <c r="F56" s="6">
        <v>1</v>
      </c>
      <c r="G56" s="6" t="s">
        <v>284</v>
      </c>
      <c r="H56" s="6">
        <v>1</v>
      </c>
      <c r="J56" t="s">
        <v>809</v>
      </c>
      <c r="K56" t="s">
        <v>1029</v>
      </c>
      <c r="O56">
        <v>1</v>
      </c>
      <c r="P56" t="s">
        <v>1018</v>
      </c>
    </row>
    <row r="57" spans="1:16">
      <c r="A57" s="6" t="s">
        <v>88</v>
      </c>
      <c r="B57" s="7" t="s">
        <v>496</v>
      </c>
      <c r="C57" s="6"/>
      <c r="D57" s="6"/>
      <c r="E57" s="6"/>
      <c r="F57" s="6">
        <v>3</v>
      </c>
      <c r="G57" s="6" t="s">
        <v>284</v>
      </c>
      <c r="H57" s="6">
        <v>1</v>
      </c>
      <c r="J57" s="36" t="s">
        <v>1106</v>
      </c>
      <c r="K57" s="30" t="s">
        <v>1106</v>
      </c>
      <c r="L57" s="30"/>
      <c r="M57" s="30"/>
      <c r="N57" s="30"/>
      <c r="O57" s="30">
        <v>10</v>
      </c>
      <c r="P57" s="30" t="s">
        <v>1105</v>
      </c>
    </row>
    <row r="58" spans="1:16">
      <c r="A58" s="6" t="s">
        <v>237</v>
      </c>
      <c r="B58" s="7"/>
      <c r="C58" s="6"/>
      <c r="D58" s="6" t="s">
        <v>318</v>
      </c>
      <c r="E58" s="6"/>
      <c r="F58" s="6">
        <v>1</v>
      </c>
      <c r="G58" s="6" t="s">
        <v>284</v>
      </c>
      <c r="H58" s="6">
        <v>1</v>
      </c>
      <c r="J58" s="30" t="s">
        <v>152</v>
      </c>
      <c r="K58" s="30" t="s">
        <v>599</v>
      </c>
      <c r="L58" s="30"/>
      <c r="M58" s="30"/>
      <c r="N58" s="30"/>
      <c r="O58" s="30">
        <v>2</v>
      </c>
      <c r="P58" t="s">
        <v>15</v>
      </c>
    </row>
    <row r="59" spans="1:16">
      <c r="A59" s="6" t="s">
        <v>98</v>
      </c>
      <c r="B59" s="7" t="s">
        <v>497</v>
      </c>
      <c r="C59" s="6"/>
      <c r="D59" s="6"/>
      <c r="E59" s="6"/>
      <c r="F59" s="6">
        <v>1</v>
      </c>
      <c r="G59" s="6" t="s">
        <v>284</v>
      </c>
      <c r="H59" s="6">
        <v>1</v>
      </c>
      <c r="J59" s="30" t="s">
        <v>152</v>
      </c>
      <c r="K59" s="30" t="s">
        <v>1107</v>
      </c>
      <c r="L59" s="30"/>
      <c r="M59" s="30"/>
      <c r="N59" s="30"/>
      <c r="O59" s="30">
        <v>1</v>
      </c>
      <c r="P59" t="s">
        <v>15</v>
      </c>
    </row>
    <row r="60" spans="1:16">
      <c r="A60" s="6" t="s">
        <v>83</v>
      </c>
      <c r="B60" s="7"/>
      <c r="C60" s="6"/>
      <c r="D60" s="6" t="s">
        <v>498</v>
      </c>
      <c r="E60" s="6">
        <v>1813</v>
      </c>
      <c r="F60" s="6">
        <v>1</v>
      </c>
      <c r="G60" s="6" t="s">
        <v>284</v>
      </c>
      <c r="H60" s="6">
        <v>1</v>
      </c>
      <c r="I60" s="6"/>
      <c r="J60" s="30" t="s">
        <v>628</v>
      </c>
      <c r="K60" s="30" t="s">
        <v>1059</v>
      </c>
      <c r="L60" s="30"/>
      <c r="M60" s="30"/>
      <c r="N60" s="30"/>
      <c r="O60" s="30">
        <v>1</v>
      </c>
      <c r="P60" t="s">
        <v>525</v>
      </c>
    </row>
    <row r="61" spans="1:16">
      <c r="A61" s="6" t="s">
        <v>499</v>
      </c>
      <c r="B61" s="7" t="s">
        <v>110</v>
      </c>
      <c r="C61" s="6"/>
      <c r="D61" s="6"/>
      <c r="E61" s="6"/>
      <c r="F61" s="6">
        <v>1</v>
      </c>
      <c r="G61" s="6" t="s">
        <v>284</v>
      </c>
      <c r="H61" s="6">
        <v>1</v>
      </c>
      <c r="J61" t="s">
        <v>561</v>
      </c>
      <c r="K61" t="s">
        <v>1133</v>
      </c>
      <c r="O61">
        <v>1</v>
      </c>
      <c r="P61" t="s">
        <v>348</v>
      </c>
    </row>
    <row r="62" spans="1:16">
      <c r="A62" s="6" t="s">
        <v>329</v>
      </c>
      <c r="B62" s="7"/>
      <c r="C62" s="6"/>
      <c r="D62" s="6" t="s">
        <v>498</v>
      </c>
      <c r="E62" s="6">
        <v>851</v>
      </c>
      <c r="F62" s="6">
        <v>1</v>
      </c>
      <c r="G62" s="6" t="s">
        <v>284</v>
      </c>
      <c r="H62" s="6">
        <v>1</v>
      </c>
      <c r="J62" s="30" t="s">
        <v>152</v>
      </c>
      <c r="K62" s="30" t="s">
        <v>1134</v>
      </c>
      <c r="L62" s="30"/>
      <c r="M62" s="30"/>
      <c r="N62" s="30"/>
      <c r="O62" s="30">
        <v>1</v>
      </c>
      <c r="P62" t="s">
        <v>15</v>
      </c>
    </row>
    <row r="63" spans="1:16">
      <c r="A63" s="6" t="s">
        <v>326</v>
      </c>
      <c r="B63" s="7"/>
      <c r="C63" s="6"/>
      <c r="D63" s="6" t="s">
        <v>498</v>
      </c>
      <c r="E63" s="6">
        <v>722</v>
      </c>
      <c r="F63" s="6">
        <v>1</v>
      </c>
      <c r="G63" s="6" t="s">
        <v>284</v>
      </c>
      <c r="H63" s="6">
        <v>1</v>
      </c>
      <c r="J63" t="s">
        <v>852</v>
      </c>
      <c r="K63" t="s">
        <v>1137</v>
      </c>
      <c r="O63">
        <v>1</v>
      </c>
      <c r="P63" t="s">
        <v>1017</v>
      </c>
    </row>
    <row r="64" spans="1:16">
      <c r="A64" s="6" t="s">
        <v>80</v>
      </c>
      <c r="B64" s="7"/>
      <c r="C64" s="6"/>
      <c r="D64" s="6" t="s">
        <v>498</v>
      </c>
      <c r="E64" s="6">
        <v>1626</v>
      </c>
      <c r="F64" s="6">
        <v>1</v>
      </c>
      <c r="G64" s="6" t="s">
        <v>284</v>
      </c>
      <c r="H64" s="6">
        <v>1</v>
      </c>
      <c r="J64" s="30" t="s">
        <v>852</v>
      </c>
      <c r="K64" s="30" t="s">
        <v>1138</v>
      </c>
      <c r="L64" s="30"/>
      <c r="M64" s="30"/>
      <c r="N64" s="30"/>
      <c r="O64" s="30">
        <v>1</v>
      </c>
      <c r="P64" s="30" t="s">
        <v>1017</v>
      </c>
    </row>
    <row r="65" spans="1:8">
      <c r="A65" s="6" t="s">
        <v>95</v>
      </c>
      <c r="B65" s="7"/>
      <c r="C65" s="6"/>
      <c r="D65" s="6" t="s">
        <v>498</v>
      </c>
      <c r="E65" s="6">
        <v>1110</v>
      </c>
      <c r="F65" s="6">
        <v>1</v>
      </c>
      <c r="G65" s="6" t="s">
        <v>284</v>
      </c>
      <c r="H65" s="6">
        <v>1</v>
      </c>
    </row>
    <row r="66" spans="1:8">
      <c r="A66" s="6" t="s">
        <v>311</v>
      </c>
      <c r="B66" s="7" t="s">
        <v>500</v>
      </c>
      <c r="C66" s="6"/>
      <c r="D66" s="6" t="s">
        <v>501</v>
      </c>
      <c r="E66" s="6"/>
      <c r="F66" s="6">
        <v>1</v>
      </c>
      <c r="G66" s="6" t="s">
        <v>284</v>
      </c>
      <c r="H66" s="6">
        <v>1</v>
      </c>
    </row>
    <row r="67" spans="1:8" ht="45">
      <c r="A67" s="6" t="s">
        <v>428</v>
      </c>
      <c r="B67" s="7" t="s">
        <v>1041</v>
      </c>
      <c r="C67" s="6"/>
      <c r="D67" s="6"/>
      <c r="E67" s="6"/>
      <c r="F67" s="6">
        <v>2</v>
      </c>
      <c r="G67" s="6" t="s">
        <v>284</v>
      </c>
      <c r="H67" s="6">
        <v>1</v>
      </c>
    </row>
    <row r="68" spans="1:8">
      <c r="A68" s="6" t="s">
        <v>87</v>
      </c>
      <c r="B68" s="7"/>
      <c r="C68" s="6"/>
      <c r="D68" s="6"/>
      <c r="E68" s="6"/>
      <c r="F68" s="6">
        <v>4</v>
      </c>
      <c r="G68" s="6" t="s">
        <v>284</v>
      </c>
      <c r="H68" s="6">
        <v>1</v>
      </c>
    </row>
    <row r="69" spans="1:8">
      <c r="A69" s="6" t="s">
        <v>184</v>
      </c>
      <c r="B69" s="7"/>
      <c r="C69" s="6"/>
      <c r="D69" s="6"/>
      <c r="E69" s="6"/>
      <c r="F69" s="6">
        <v>6</v>
      </c>
      <c r="G69" s="6" t="s">
        <v>7</v>
      </c>
      <c r="H69" s="6" t="s">
        <v>226</v>
      </c>
    </row>
    <row r="70" spans="1:8">
      <c r="A70" s="6" t="s">
        <v>186</v>
      </c>
      <c r="B70" s="7"/>
      <c r="C70" s="6"/>
      <c r="D70" s="6"/>
      <c r="E70" s="6"/>
      <c r="F70" s="6">
        <v>8</v>
      </c>
      <c r="G70" s="6" t="s">
        <v>7</v>
      </c>
      <c r="H70" s="6" t="s">
        <v>226</v>
      </c>
    </row>
    <row r="71" spans="1:8">
      <c r="A71" s="6" t="s">
        <v>462</v>
      </c>
      <c r="B71" s="7"/>
      <c r="C71" s="6"/>
      <c r="D71" s="6"/>
      <c r="E71" s="6"/>
      <c r="F71" s="6">
        <v>4</v>
      </c>
      <c r="G71" s="6" t="s">
        <v>7</v>
      </c>
      <c r="H71" s="6" t="s">
        <v>226</v>
      </c>
    </row>
    <row r="72" spans="1:8">
      <c r="A72" s="6" t="s">
        <v>188</v>
      </c>
      <c r="B72" s="7"/>
      <c r="C72" s="6"/>
      <c r="D72" s="6"/>
      <c r="E72" s="6"/>
      <c r="F72" s="6">
        <v>1</v>
      </c>
      <c r="G72" s="6" t="s">
        <v>7</v>
      </c>
      <c r="H72" s="6" t="s">
        <v>226</v>
      </c>
    </row>
    <row r="73" spans="1:8">
      <c r="A73" s="6" t="s">
        <v>355</v>
      </c>
      <c r="B73" s="7"/>
      <c r="C73" s="6" t="s">
        <v>579</v>
      </c>
      <c r="D73" s="6"/>
      <c r="E73" s="6"/>
      <c r="F73" s="6">
        <v>5</v>
      </c>
      <c r="G73" s="6" t="s">
        <v>7</v>
      </c>
      <c r="H73" s="6" t="s">
        <v>226</v>
      </c>
    </row>
    <row r="74" spans="1:8">
      <c r="A74" s="6" t="s">
        <v>355</v>
      </c>
      <c r="B74" s="7"/>
      <c r="C74" s="6" t="s">
        <v>482</v>
      </c>
      <c r="D74" s="6"/>
      <c r="E74" s="6"/>
      <c r="F74" s="6">
        <v>2</v>
      </c>
      <c r="G74" s="6" t="s">
        <v>7</v>
      </c>
      <c r="H74" s="6" t="s">
        <v>226</v>
      </c>
    </row>
    <row r="75" spans="1:8">
      <c r="A75" s="6" t="s">
        <v>582</v>
      </c>
      <c r="B75" s="7"/>
      <c r="C75" s="6"/>
      <c r="D75" s="6"/>
      <c r="E75" s="6"/>
      <c r="F75" s="6">
        <v>3</v>
      </c>
      <c r="G75" s="6" t="s">
        <v>7</v>
      </c>
      <c r="H75" s="6" t="s">
        <v>226</v>
      </c>
    </row>
    <row r="76" spans="1:8">
      <c r="A76" s="6" t="s">
        <v>425</v>
      </c>
      <c r="B76" s="7" t="s">
        <v>447</v>
      </c>
      <c r="C76" s="6"/>
      <c r="D76" s="6"/>
      <c r="E76" s="6"/>
      <c r="F76" s="6">
        <v>1</v>
      </c>
      <c r="G76" s="6" t="s">
        <v>7</v>
      </c>
      <c r="H76" s="6" t="s">
        <v>226</v>
      </c>
    </row>
    <row r="77" spans="1:8">
      <c r="A77" s="6" t="s">
        <v>252</v>
      </c>
      <c r="B77" s="7" t="s">
        <v>583</v>
      </c>
      <c r="C77" s="6"/>
      <c r="D77" s="6"/>
      <c r="E77" s="6"/>
      <c r="F77" s="6">
        <v>1</v>
      </c>
      <c r="G77" s="6" t="s">
        <v>7</v>
      </c>
      <c r="H77" s="6" t="s">
        <v>226</v>
      </c>
    </row>
    <row r="78" spans="1:8" ht="39.75" customHeight="1">
      <c r="A78" s="6" t="s">
        <v>208</v>
      </c>
      <c r="B78" s="7"/>
      <c r="C78" s="6" t="s">
        <v>419</v>
      </c>
      <c r="D78" s="6"/>
      <c r="E78" s="6">
        <v>173865</v>
      </c>
      <c r="F78" s="6">
        <v>1</v>
      </c>
      <c r="G78" s="6" t="s">
        <v>7</v>
      </c>
      <c r="H78" s="6" t="s">
        <v>226</v>
      </c>
    </row>
    <row r="79" spans="1:8">
      <c r="A79" s="6" t="s">
        <v>189</v>
      </c>
      <c r="B79" s="7" t="s">
        <v>584</v>
      </c>
      <c r="C79" s="6"/>
      <c r="D79" s="6" t="s">
        <v>585</v>
      </c>
      <c r="E79" s="6">
        <v>27309</v>
      </c>
      <c r="F79" s="6">
        <v>1</v>
      </c>
      <c r="G79" s="6" t="s">
        <v>7</v>
      </c>
      <c r="H79" s="6" t="s">
        <v>226</v>
      </c>
    </row>
    <row r="80" spans="1:8">
      <c r="A80" s="6" t="s">
        <v>213</v>
      </c>
      <c r="B80" s="7"/>
      <c r="C80" s="6"/>
      <c r="D80" s="6"/>
      <c r="E80" s="6" t="s">
        <v>586</v>
      </c>
      <c r="F80" s="6">
        <v>1</v>
      </c>
      <c r="G80" s="6" t="s">
        <v>7</v>
      </c>
      <c r="H80" s="6" t="s">
        <v>226</v>
      </c>
    </row>
    <row r="81" spans="1:8">
      <c r="A81" s="6" t="s">
        <v>213</v>
      </c>
      <c r="B81" s="7"/>
      <c r="C81" s="6"/>
      <c r="D81" s="6"/>
      <c r="E81" s="6" t="s">
        <v>587</v>
      </c>
      <c r="F81" s="6">
        <v>1</v>
      </c>
      <c r="G81" s="6" t="s">
        <v>7</v>
      </c>
      <c r="H81" s="6" t="s">
        <v>226</v>
      </c>
    </row>
    <row r="82" spans="1:8">
      <c r="A82" s="6" t="s">
        <v>11</v>
      </c>
      <c r="B82" s="7"/>
      <c r="C82" s="6" t="s">
        <v>79</v>
      </c>
      <c r="D82" s="6"/>
      <c r="E82" s="6"/>
      <c r="F82" s="6">
        <v>1</v>
      </c>
      <c r="G82" s="6" t="s">
        <v>7</v>
      </c>
      <c r="H82" s="6" t="s">
        <v>229</v>
      </c>
    </row>
    <row r="83" spans="1:8">
      <c r="A83" s="6" t="s">
        <v>156</v>
      </c>
      <c r="B83" s="7" t="s">
        <v>537</v>
      </c>
      <c r="C83" s="6" t="s">
        <v>588</v>
      </c>
      <c r="D83" s="6"/>
      <c r="E83" s="6"/>
      <c r="F83" s="6">
        <v>3</v>
      </c>
      <c r="G83" s="6" t="s">
        <v>7</v>
      </c>
      <c r="H83" s="6" t="s">
        <v>228</v>
      </c>
    </row>
    <row r="84" spans="1:8">
      <c r="A84" s="6" t="s">
        <v>186</v>
      </c>
      <c r="B84" s="7"/>
      <c r="C84" s="6"/>
      <c r="D84" s="6"/>
      <c r="E84" s="6"/>
      <c r="F84" s="6">
        <v>2</v>
      </c>
      <c r="G84" s="6" t="s">
        <v>7</v>
      </c>
      <c r="H84" s="6" t="s">
        <v>229</v>
      </c>
    </row>
    <row r="85" spans="1:8">
      <c r="A85" s="6" t="s">
        <v>857</v>
      </c>
      <c r="B85" s="7" t="s">
        <v>1030</v>
      </c>
      <c r="C85" s="6"/>
      <c r="D85" s="6"/>
      <c r="E85" s="6"/>
      <c r="F85" s="6">
        <v>2</v>
      </c>
      <c r="G85" s="6" t="s">
        <v>7</v>
      </c>
      <c r="H85" s="6" t="s">
        <v>229</v>
      </c>
    </row>
    <row r="86" spans="1:8" ht="165">
      <c r="A86" s="6" t="s">
        <v>92</v>
      </c>
      <c r="B86" s="7" t="str">
        <f>bolso("Bolso de altura 1",Table625[])</f>
        <v xml:space="preserve">Bolso de altura 1 Contiene:   Cuerda semiestática (negra) de 40 metros x1,   Arnes Musitani x2,  Cinta tubular de 2 metros x1,  Cinta tubular de 4 metros x1,  Cinta tubular de 6,5 metros x1,  Descensores 8 (1 de aluminio y 1 de acero) x2,  Cordín de 8 mm x1,  Cordines de 7 mm x3,  Mosquetones X de acero x3,  Mosquetón B de acero x1,  Mosquetones X de acero (en arnes) x1,  Mosquetón B de acero (en arnes) x1, </v>
      </c>
      <c r="C86" s="6"/>
      <c r="D86" s="6"/>
      <c r="E86" s="6"/>
      <c r="F86" s="6">
        <v>1</v>
      </c>
      <c r="G86" s="6" t="s">
        <v>7</v>
      </c>
      <c r="H86" s="6" t="s">
        <v>229</v>
      </c>
    </row>
    <row r="87" spans="1:8" ht="30">
      <c r="A87" s="6" t="s">
        <v>92</v>
      </c>
      <c r="B87" s="7" t="str">
        <f>bolso("Bolso de altura 2",Table625[])</f>
        <v xml:space="preserve">Bolso de altura 2 Contiene:   Cuerda semiestática (negra) de 80 metros x1, </v>
      </c>
      <c r="C87" s="6"/>
      <c r="D87" s="6"/>
      <c r="E87" s="6"/>
      <c r="F87" s="6">
        <v>1</v>
      </c>
      <c r="G87" s="6" t="s">
        <v>7</v>
      </c>
      <c r="H87" s="6" t="s">
        <v>229</v>
      </c>
    </row>
    <row r="88" spans="1:8">
      <c r="A88" s="6" t="s">
        <v>35</v>
      </c>
      <c r="B88" s="7" t="s">
        <v>545</v>
      </c>
      <c r="C88" s="6" t="s">
        <v>101</v>
      </c>
      <c r="D88" s="6"/>
      <c r="E88" s="6"/>
      <c r="F88" s="6">
        <v>1</v>
      </c>
      <c r="G88" s="6" t="s">
        <v>36</v>
      </c>
      <c r="H88" s="6" t="s">
        <v>36</v>
      </c>
    </row>
    <row r="89" spans="1:8">
      <c r="A89" s="6" t="s">
        <v>35</v>
      </c>
      <c r="B89" s="7" t="s">
        <v>544</v>
      </c>
      <c r="C89" s="6" t="s">
        <v>37</v>
      </c>
      <c r="D89" s="6"/>
      <c r="E89" s="6"/>
      <c r="F89" s="6">
        <v>1</v>
      </c>
      <c r="G89" s="6" t="s">
        <v>36</v>
      </c>
      <c r="H89" s="6" t="s">
        <v>36</v>
      </c>
    </row>
    <row r="90" spans="1:8">
      <c r="A90" s="6" t="s">
        <v>40</v>
      </c>
      <c r="B90" s="7"/>
      <c r="C90" s="6" t="s">
        <v>41</v>
      </c>
      <c r="D90" s="6"/>
      <c r="E90" s="6"/>
      <c r="F90" s="6">
        <v>2</v>
      </c>
      <c r="G90" s="6" t="s">
        <v>36</v>
      </c>
      <c r="H90" s="6" t="s">
        <v>36</v>
      </c>
    </row>
    <row r="91" spans="1:8">
      <c r="A91" s="6" t="s">
        <v>61</v>
      </c>
      <c r="B91" s="7" t="s">
        <v>546</v>
      </c>
      <c r="C91" s="6" t="s">
        <v>547</v>
      </c>
      <c r="D91" s="6"/>
      <c r="E91" s="6"/>
      <c r="F91" s="6">
        <v>1</v>
      </c>
      <c r="G91" s="6" t="s">
        <v>36</v>
      </c>
      <c r="H91" s="6" t="s">
        <v>36</v>
      </c>
    </row>
    <row r="92" spans="1:8">
      <c r="A92" s="6" t="s">
        <v>152</v>
      </c>
      <c r="B92" s="7" t="s">
        <v>548</v>
      </c>
      <c r="C92" s="6" t="s">
        <v>494</v>
      </c>
      <c r="D92" s="6"/>
      <c r="E92" s="6"/>
      <c r="F92" s="6">
        <v>1</v>
      </c>
      <c r="G92" s="6" t="s">
        <v>36</v>
      </c>
      <c r="H92" s="6" t="s">
        <v>36</v>
      </c>
    </row>
    <row r="93" spans="1:8" ht="75">
      <c r="A93" s="26" t="s">
        <v>363</v>
      </c>
      <c r="B93" s="27" t="str">
        <f>bolso("Cajon de eslingas 1",Table625[])</f>
        <v xml:space="preserve">Cajon de eslingas 1 Contiene:  eslinga 2T 4m x1,  Eslinga 4,8T 2M x1,  Eslinga ilegible 3M x1,  Eslinga ilegible con cricket 10M x1,  Eslinga ilegible con cricket 2,5M x1,  Esling 10T 8,5M x1, </v>
      </c>
      <c r="C93" s="26"/>
      <c r="D93" s="26"/>
      <c r="E93" s="26"/>
      <c r="F93" s="26">
        <v>1</v>
      </c>
      <c r="G93" s="26" t="s">
        <v>8</v>
      </c>
      <c r="H93" s="26">
        <v>1</v>
      </c>
    </row>
    <row r="94" spans="1:8">
      <c r="A94" s="26" t="s">
        <v>363</v>
      </c>
      <c r="B94" s="27" t="str">
        <f>bolso("Cajon de tacos 1",Table625[])</f>
        <v xml:space="preserve">Cajon de tacos 1 Contiene:  tacos x20, </v>
      </c>
      <c r="C94" s="26"/>
      <c r="D94" s="26"/>
      <c r="E94" s="26"/>
      <c r="F94" s="26">
        <v>1</v>
      </c>
      <c r="G94" s="26" t="s">
        <v>8</v>
      </c>
      <c r="H94" s="26">
        <v>1</v>
      </c>
    </row>
    <row r="95" spans="1:8" ht="45">
      <c r="A95" s="26" t="s">
        <v>363</v>
      </c>
      <c r="B95" s="27" t="str">
        <f>bolso("Cajon de hazmat 2",Table625[])</f>
        <v xml:space="preserve">Cajon de hazmat 2 Contiene:  Traje de aproximacion clase "C" x4,  Guantes hazmat biologico x1, </v>
      </c>
      <c r="C95" s="26"/>
      <c r="D95" s="26"/>
      <c r="E95" s="26"/>
      <c r="F95" s="26">
        <v>1</v>
      </c>
      <c r="G95" s="26" t="s">
        <v>8</v>
      </c>
      <c r="H95" s="26">
        <v>1</v>
      </c>
    </row>
    <row r="96" spans="1:8">
      <c r="A96" s="26" t="s">
        <v>311</v>
      </c>
      <c r="B96" s="27" t="s">
        <v>1040</v>
      </c>
      <c r="C96" s="26"/>
      <c r="D96" s="26"/>
      <c r="E96" s="26"/>
      <c r="F96" s="26">
        <v>2</v>
      </c>
      <c r="G96" s="26" t="s">
        <v>8</v>
      </c>
      <c r="H96" s="26">
        <v>1</v>
      </c>
    </row>
    <row r="97" spans="1:8">
      <c r="A97" s="26" t="s">
        <v>107</v>
      </c>
      <c r="B97" s="27"/>
      <c r="C97" s="26" t="s">
        <v>124</v>
      </c>
      <c r="D97" s="26"/>
      <c r="E97" s="26"/>
      <c r="F97" s="26">
        <v>1</v>
      </c>
      <c r="G97" s="26" t="s">
        <v>6</v>
      </c>
      <c r="H97" s="26">
        <v>1</v>
      </c>
    </row>
    <row r="98" spans="1:8" ht="60">
      <c r="A98" s="26" t="s">
        <v>363</v>
      </c>
      <c r="B98" s="27" t="str">
        <f>bolso("Bolso de trauma 1",Table625[])</f>
        <v xml:space="preserve">Bolso de trauma 1 Contiene:  Collar cervical x2,  Collar cervical x1,  bolsa valvula mascara x1,  valvula-mascara  x1,  Disp. Succion manual x1, </v>
      </c>
      <c r="C98" s="26"/>
      <c r="D98" s="26"/>
      <c r="E98" s="26"/>
      <c r="F98" s="26">
        <v>1</v>
      </c>
      <c r="G98" s="26" t="s">
        <v>10</v>
      </c>
      <c r="H98" s="26">
        <v>1</v>
      </c>
    </row>
    <row r="99" spans="1:8" ht="45">
      <c r="A99" s="26" t="s">
        <v>363</v>
      </c>
      <c r="B99" s="27" t="str">
        <f>bolso("Bolso de cadaveres",Table625[])</f>
        <v xml:space="preserve">Bolso de cadaveres Contiene:  Traje de aprox. Clase C x4,  Guantes p cadaver x1,  Lentes de proteccion ocular x1, </v>
      </c>
      <c r="C99" s="26"/>
      <c r="D99" s="26"/>
      <c r="E99" s="26"/>
      <c r="F99" s="26">
        <v>1</v>
      </c>
      <c r="G99" s="26" t="s">
        <v>10</v>
      </c>
      <c r="H99" s="26">
        <v>1</v>
      </c>
    </row>
    <row r="100" spans="1:8">
      <c r="A100" s="26" t="s">
        <v>152</v>
      </c>
      <c r="B100" s="27" t="s">
        <v>1042</v>
      </c>
      <c r="C100" s="26"/>
      <c r="D100" s="26"/>
      <c r="E100" s="26"/>
      <c r="F100" s="26">
        <v>1</v>
      </c>
      <c r="G100" s="26" t="s">
        <v>284</v>
      </c>
      <c r="H100" s="26">
        <v>1</v>
      </c>
    </row>
    <row r="101" spans="1:8">
      <c r="A101" s="26" t="s">
        <v>147</v>
      </c>
      <c r="B101" s="27" t="s">
        <v>1043</v>
      </c>
      <c r="C101" s="26"/>
      <c r="D101" s="26"/>
      <c r="E101" s="26"/>
      <c r="F101" s="26">
        <v>1</v>
      </c>
      <c r="G101" s="26" t="s">
        <v>284</v>
      </c>
      <c r="H101" s="26">
        <v>1</v>
      </c>
    </row>
    <row r="102" spans="1:8" ht="135">
      <c r="A102" s="6" t="s">
        <v>92</v>
      </c>
      <c r="B102" s="7" t="str">
        <f>bolso("Bolso de corte",Table625[])</f>
        <v xml:space="preserve">Bolso de corte Contiene:  guantes dielectricos x1,  juego de llaves alem x1,  Destornillador dielec. Pala x2,  Destornillador dielec. Philliips x1,  Destornillador Philliips x1,  Extractor NH x1,  Cinta de obturacion x3,  Pico de loro x1,  llaves para ascensor x1,  Pinza de punta x3,  alicate x2,  pinza x1,  martillo de goma x1, </v>
      </c>
      <c r="C102" s="6"/>
      <c r="D102" s="6"/>
      <c r="E102" s="6"/>
      <c r="F102" s="6">
        <v>1</v>
      </c>
      <c r="G102" s="6" t="s">
        <v>7</v>
      </c>
      <c r="H102" s="6" t="s">
        <v>226</v>
      </c>
    </row>
    <row r="103" spans="1:8">
      <c r="A103" s="26" t="s">
        <v>703</v>
      </c>
      <c r="B103" s="27" t="s">
        <v>1044</v>
      </c>
      <c r="C103" s="26"/>
      <c r="D103" s="26"/>
      <c r="E103" s="26"/>
      <c r="F103" s="26">
        <v>1</v>
      </c>
      <c r="G103" s="28" t="s">
        <v>7</v>
      </c>
      <c r="H103" s="28" t="s">
        <v>226</v>
      </c>
    </row>
    <row r="104" spans="1:8">
      <c r="A104" s="29" t="s">
        <v>211</v>
      </c>
      <c r="B104" s="27" t="s">
        <v>1045</v>
      </c>
      <c r="C104" s="26"/>
      <c r="D104" s="26" t="s">
        <v>48</v>
      </c>
      <c r="E104" s="26"/>
      <c r="F104" s="26">
        <v>1</v>
      </c>
      <c r="G104" s="28" t="s">
        <v>7</v>
      </c>
      <c r="H104" s="28" t="s">
        <v>226</v>
      </c>
    </row>
    <row r="105" spans="1:8">
      <c r="A105" s="26" t="s">
        <v>32</v>
      </c>
      <c r="B105" s="31" t="s">
        <v>513</v>
      </c>
      <c r="C105" s="26" t="s">
        <v>52</v>
      </c>
      <c r="D105" s="26"/>
      <c r="E105" s="26"/>
      <c r="F105" s="26">
        <v>1</v>
      </c>
      <c r="G105" s="26" t="s">
        <v>6</v>
      </c>
      <c r="H105" s="26">
        <v>1</v>
      </c>
    </row>
    <row r="106" spans="1:8" ht="30">
      <c r="A106" s="29" t="s">
        <v>189</v>
      </c>
      <c r="B106" s="27" t="s">
        <v>1104</v>
      </c>
      <c r="C106" s="26"/>
      <c r="D106" s="26"/>
      <c r="E106" s="26"/>
      <c r="F106" s="26">
        <v>1</v>
      </c>
      <c r="G106" s="28" t="s">
        <v>7</v>
      </c>
      <c r="H106" s="28" t="s">
        <v>226</v>
      </c>
    </row>
    <row r="107" spans="1:8">
      <c r="A107" s="26" t="s">
        <v>628</v>
      </c>
      <c r="B107" s="27" t="s">
        <v>565</v>
      </c>
      <c r="C107" s="26"/>
      <c r="D107" s="26"/>
      <c r="E107" s="26"/>
      <c r="F107" s="26">
        <v>1</v>
      </c>
      <c r="G107" s="28" t="s">
        <v>251</v>
      </c>
      <c r="H107" s="26">
        <v>1</v>
      </c>
    </row>
    <row r="108" spans="1:8">
      <c r="A108" s="26" t="s">
        <v>346</v>
      </c>
      <c r="B108" s="27"/>
      <c r="C108" s="26"/>
      <c r="D108" s="26"/>
      <c r="E108" s="26"/>
      <c r="F108" s="26">
        <v>1</v>
      </c>
      <c r="G108" s="26" t="s">
        <v>10</v>
      </c>
      <c r="H108" s="26">
        <v>1</v>
      </c>
    </row>
    <row r="109" spans="1:8">
      <c r="A109" s="26" t="s">
        <v>147</v>
      </c>
      <c r="B109" s="27" t="s">
        <v>1108</v>
      </c>
      <c r="C109" s="26"/>
      <c r="D109" s="26"/>
      <c r="E109" s="26"/>
      <c r="F109" s="26">
        <v>2</v>
      </c>
      <c r="G109" s="26" t="s">
        <v>10</v>
      </c>
      <c r="H109" s="26">
        <v>1</v>
      </c>
    </row>
    <row r="110" spans="1:8">
      <c r="A110" s="26" t="s">
        <v>150</v>
      </c>
      <c r="B110" s="27" t="s">
        <v>578</v>
      </c>
      <c r="C110" s="26"/>
      <c r="D110" s="26"/>
      <c r="E110" s="26"/>
      <c r="F110" s="26">
        <v>1</v>
      </c>
      <c r="G110" s="28" t="s">
        <v>251</v>
      </c>
      <c r="H110" s="26">
        <v>1</v>
      </c>
    </row>
    <row r="111" spans="1:8">
      <c r="A111" s="26" t="s">
        <v>188</v>
      </c>
      <c r="B111" s="27"/>
      <c r="C111" s="26"/>
      <c r="D111" s="26"/>
      <c r="E111" s="26"/>
      <c r="F111" s="26">
        <v>1</v>
      </c>
      <c r="G111" s="6" t="s">
        <v>7</v>
      </c>
      <c r="H111" s="6" t="s">
        <v>229</v>
      </c>
    </row>
    <row r="112" spans="1:8">
      <c r="A112" s="26" t="s">
        <v>44</v>
      </c>
      <c r="B112" s="27" t="s">
        <v>1135</v>
      </c>
      <c r="C112" s="26" t="s">
        <v>899</v>
      </c>
      <c r="D112" s="26"/>
      <c r="E112" s="26"/>
      <c r="F112" s="26">
        <v>1</v>
      </c>
      <c r="G112" s="26" t="s">
        <v>5</v>
      </c>
      <c r="H112" s="26">
        <v>1</v>
      </c>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26" t="s">
        <v>32</v>
      </c>
      <c r="B125" s="27" t="s">
        <v>1139</v>
      </c>
      <c r="C125" s="26"/>
      <c r="D125" s="26"/>
      <c r="E125" s="26"/>
      <c r="F125" s="26">
        <v>1</v>
      </c>
      <c r="G125" s="28" t="s">
        <v>7</v>
      </c>
      <c r="H125" s="28" t="s">
        <v>226</v>
      </c>
    </row>
    <row r="126" spans="1:8">
      <c r="A126" s="26" t="s">
        <v>11</v>
      </c>
      <c r="B126" s="27"/>
      <c r="C126" s="26" t="s">
        <v>79</v>
      </c>
      <c r="D126" s="26"/>
      <c r="E126" s="26"/>
      <c r="F126" s="26">
        <v>1</v>
      </c>
      <c r="G126" s="28" t="s">
        <v>7</v>
      </c>
      <c r="H126" s="28" t="s">
        <v>226</v>
      </c>
    </row>
    <row r="127" spans="1:8">
      <c r="A127" s="26" t="s">
        <v>355</v>
      </c>
      <c r="B127" s="27"/>
      <c r="C127" s="26" t="s">
        <v>580</v>
      </c>
      <c r="D127" s="26"/>
      <c r="E127" s="26"/>
      <c r="F127" s="26">
        <v>3</v>
      </c>
      <c r="G127" s="28" t="s">
        <v>7</v>
      </c>
      <c r="H127" s="28" t="s">
        <v>226</v>
      </c>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6">
    <dataValidation type="list" allowBlank="1" showInputMessage="1" showErrorMessage="1" sqref="C112">
      <formula1>Configuracion!$K$2:$K$13</formula1>
    </dataValidation>
    <dataValidation type="list" allowBlank="1" showInputMessage="1" showErrorMessage="1" sqref="F107 K32 O30:O31 O33:O45 O4:O27 T14:T15 K27:K28">
      <formula1>INDEX(Medidas,0,MATCH(OFFSET(INDIRECT(ADDRESS(ROW(), COLUMN())),0,-1),categoriasDeMedidas,0))</formula1>
    </dataValidation>
    <dataValidation type="list" allowBlank="1" showInputMessage="1" showErrorMessage="1" sqref="C107 L4:L45">
      <formula1>INDEX(Medidas,0,MATCH(OFFSET(INDIRECT(ADDRESS(ROW(), COLUMN())),0,-2),categoriasDeMedidas,0))</formula1>
    </dataValidation>
    <dataValidation type="list" allowBlank="1" showInputMessage="1" showErrorMessage="1" sqref="A1:A112 J62:J1048576 J4:J60 A125:A1048576">
      <formula1>categorias</formula1>
    </dataValidation>
    <dataValidation type="list" allowBlank="1" showInputMessage="1" showErrorMessage="1" sqref="H1:H112 L1:N3 L101:N1048576 L46:N60 L62:N99 H125:H1048576">
      <formula1>INDEX(Compartimientos,0,MATCH(OFFSET(INDIRECT(ADDRESS(ROW(), COLUMN())),0,-1),Cajoneras,0))</formula1>
    </dataValidation>
    <dataValidation type="list" allowBlank="1" showInputMessage="1" showErrorMessage="1" sqref="G1:G112 I60 G125:G1048576">
      <formula1>$V$4:$AD$4</formula1>
    </dataValidation>
    <dataValidation type="list" allowBlank="1" showInputMessage="1" showErrorMessage="1" sqref="C110 C103">
      <formula1>Configuracion!$AC$2:$AC$18</formula1>
    </dataValidation>
    <dataValidation type="list" allowBlank="1" showInputMessage="1" showErrorMessage="1" sqref="C97">
      <formula1>Configuracion!$Q$2:$Q$9</formula1>
    </dataValidation>
    <dataValidation type="list" allowBlank="1" showInputMessage="1" showErrorMessage="1" sqref="C105">
      <formula1>Configuracion!$G$2:$G$8</formula1>
    </dataValidation>
    <dataValidation type="list" allowBlank="1" showInputMessage="1" showErrorMessage="1" sqref="P1:P1048576">
      <formula1>$T:$T</formula1>
    </dataValidation>
    <dataValidation type="list" allowBlank="1" showInputMessage="1" showErrorMessage="1" sqref="C44">
      <formula1>Configuracion!$AD$2:$AD$18</formula1>
    </dataValidation>
    <dataValidation type="list" allowBlank="1" showInputMessage="1" showErrorMessage="1" sqref="C1">
      <formula1>Medidas</formula1>
    </dataValidation>
    <dataValidation type="list" allowBlank="1" showInputMessage="1" showErrorMessage="1" sqref="C21">
      <formula1>Configuracion!$S$2:$S$4</formula1>
    </dataValidation>
    <dataValidation type="list" allowBlank="1" showInputMessage="1" showErrorMessage="1" sqref="C35 C126">
      <formula1>Configuracion!$F$2:$F$17</formula1>
    </dataValidation>
    <dataValidation type="list" allowBlank="1" showInputMessage="1" showErrorMessage="1" sqref="C125">
      <formula1>Configuracion!$G$2:$G$9</formula1>
    </dataValidation>
    <dataValidation type="list" allowBlank="1" showInputMessage="1" showErrorMessage="1" sqref="C127">
      <formula1>Configuracion!$T$2:$T$8</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60" zoomScale="85" zoomScaleNormal="85" workbookViewId="0">
      <selection activeCell="B70" sqref="B70"/>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235</v>
      </c>
      <c r="G1" s="4" t="s">
        <v>13</v>
      </c>
      <c r="H1" s="4" t="s">
        <v>227</v>
      </c>
    </row>
    <row r="2" spans="1:27">
      <c r="A2" s="6" t="s">
        <v>561</v>
      </c>
      <c r="B2" s="7" t="s">
        <v>1047</v>
      </c>
      <c r="C2" s="6"/>
      <c r="D2" s="6"/>
      <c r="E2" s="6"/>
      <c r="F2" s="6">
        <v>1</v>
      </c>
      <c r="G2" s="6" t="s">
        <v>8</v>
      </c>
      <c r="H2" s="6">
        <v>1</v>
      </c>
    </row>
    <row r="3" spans="1:27">
      <c r="A3" s="6" t="s">
        <v>339</v>
      </c>
      <c r="B3" s="7" t="s">
        <v>340</v>
      </c>
      <c r="C3" s="6"/>
      <c r="D3" s="6"/>
      <c r="E3" s="6"/>
      <c r="F3" s="6">
        <v>7</v>
      </c>
      <c r="G3" s="6" t="s">
        <v>8</v>
      </c>
      <c r="H3" s="6">
        <v>1</v>
      </c>
      <c r="J3" t="s">
        <v>0</v>
      </c>
      <c r="K3" t="s">
        <v>16</v>
      </c>
      <c r="L3" t="s">
        <v>2</v>
      </c>
      <c r="M3" s="4" t="s">
        <v>3</v>
      </c>
      <c r="N3" s="4" t="s">
        <v>4</v>
      </c>
      <c r="O3" t="s">
        <v>18</v>
      </c>
      <c r="P3" t="s">
        <v>14</v>
      </c>
      <c r="R3" t="s">
        <v>28</v>
      </c>
      <c r="T3" s="46" t="s">
        <v>225</v>
      </c>
      <c r="U3" s="46"/>
      <c r="V3" s="46"/>
      <c r="W3" s="46"/>
      <c r="X3" s="46"/>
      <c r="Y3" s="46"/>
    </row>
    <row r="4" spans="1:27">
      <c r="A4" s="6" t="s">
        <v>150</v>
      </c>
      <c r="B4" s="7" t="s">
        <v>151</v>
      </c>
      <c r="C4" s="6"/>
      <c r="D4" s="6"/>
      <c r="E4" s="6"/>
      <c r="F4" s="6">
        <v>1</v>
      </c>
      <c r="G4" s="6" t="s">
        <v>8</v>
      </c>
      <c r="H4" s="6">
        <v>1</v>
      </c>
      <c r="J4" t="s">
        <v>12</v>
      </c>
      <c r="K4" t="s">
        <v>606</v>
      </c>
      <c r="M4" t="s">
        <v>605</v>
      </c>
      <c r="N4" t="s">
        <v>607</v>
      </c>
      <c r="O4">
        <v>1</v>
      </c>
      <c r="P4" t="s">
        <v>255</v>
      </c>
      <c r="R4" t="s">
        <v>260</v>
      </c>
      <c r="T4" t="s">
        <v>8</v>
      </c>
      <c r="U4" t="s">
        <v>5</v>
      </c>
      <c r="V4" t="s">
        <v>6</v>
      </c>
      <c r="W4" t="s">
        <v>9</v>
      </c>
      <c r="X4" t="s">
        <v>10</v>
      </c>
      <c r="Y4" t="s">
        <v>251</v>
      </c>
      <c r="Z4" t="s">
        <v>7</v>
      </c>
      <c r="AA4" t="s">
        <v>36</v>
      </c>
    </row>
    <row r="5" spans="1:27">
      <c r="A5" s="6" t="s">
        <v>53</v>
      </c>
      <c r="B5" s="7" t="s">
        <v>233</v>
      </c>
      <c r="C5" s="6"/>
      <c r="D5" s="6"/>
      <c r="E5" s="6"/>
      <c r="F5" s="6">
        <v>8</v>
      </c>
      <c r="G5" s="6" t="s">
        <v>8</v>
      </c>
      <c r="H5" s="6">
        <v>2</v>
      </c>
      <c r="J5" t="s">
        <v>608</v>
      </c>
      <c r="K5" t="s">
        <v>256</v>
      </c>
      <c r="O5">
        <v>2</v>
      </c>
      <c r="P5" t="s">
        <v>255</v>
      </c>
      <c r="R5" t="s">
        <v>264</v>
      </c>
      <c r="T5">
        <v>1</v>
      </c>
      <c r="U5">
        <v>1</v>
      </c>
      <c r="V5">
        <v>1</v>
      </c>
      <c r="W5">
        <v>1</v>
      </c>
      <c r="X5">
        <v>1</v>
      </c>
      <c r="Y5">
        <v>1</v>
      </c>
      <c r="Z5">
        <v>1</v>
      </c>
      <c r="AA5" t="s">
        <v>36</v>
      </c>
    </row>
    <row r="6" spans="1:27">
      <c r="A6" s="6" t="s">
        <v>342</v>
      </c>
      <c r="B6" s="7" t="s">
        <v>343</v>
      </c>
      <c r="C6" s="6"/>
      <c r="D6" s="6"/>
      <c r="E6" s="6">
        <v>10023961</v>
      </c>
      <c r="F6" s="6">
        <v>1</v>
      </c>
      <c r="G6" s="6" t="s">
        <v>8</v>
      </c>
      <c r="H6" s="6">
        <v>2</v>
      </c>
      <c r="J6" t="s">
        <v>12</v>
      </c>
      <c r="K6" t="s">
        <v>610</v>
      </c>
      <c r="M6" t="s">
        <v>609</v>
      </c>
      <c r="N6">
        <v>580426</v>
      </c>
      <c r="O6">
        <v>1</v>
      </c>
      <c r="P6" t="s">
        <v>260</v>
      </c>
      <c r="R6" t="s">
        <v>266</v>
      </c>
      <c r="T6">
        <v>2</v>
      </c>
      <c r="U6">
        <v>2</v>
      </c>
      <c r="X6" t="s">
        <v>361</v>
      </c>
      <c r="AA6" t="s">
        <v>13</v>
      </c>
    </row>
    <row r="7" spans="1:27">
      <c r="A7" s="6" t="s">
        <v>354</v>
      </c>
      <c r="B7" s="7"/>
      <c r="C7" s="6"/>
      <c r="D7" s="6"/>
      <c r="E7" s="6"/>
      <c r="F7" s="6">
        <v>1</v>
      </c>
      <c r="G7" s="6" t="s">
        <v>8</v>
      </c>
      <c r="H7" s="6">
        <v>2</v>
      </c>
      <c r="J7" t="s">
        <v>613</v>
      </c>
      <c r="K7" t="s">
        <v>611</v>
      </c>
      <c r="M7" t="s">
        <v>612</v>
      </c>
      <c r="O7">
        <v>2</v>
      </c>
      <c r="P7" t="s">
        <v>260</v>
      </c>
      <c r="R7" t="s">
        <v>317</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614</v>
      </c>
      <c r="K8" t="s">
        <v>616</v>
      </c>
      <c r="M8" t="s">
        <v>615</v>
      </c>
      <c r="N8" t="s">
        <v>617</v>
      </c>
      <c r="O8">
        <v>2</v>
      </c>
      <c r="P8" t="s">
        <v>260</v>
      </c>
      <c r="R8" t="s">
        <v>313</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152</v>
      </c>
      <c r="K9" t="s">
        <v>261</v>
      </c>
      <c r="O9">
        <v>2</v>
      </c>
      <c r="P9" t="s">
        <v>260</v>
      </c>
      <c r="R9" t="s">
        <v>255</v>
      </c>
    </row>
    <row r="10" spans="1:27">
      <c r="A10" s="6" t="s">
        <v>92</v>
      </c>
      <c r="B10" s="7" t="str">
        <f>bolso("Cajon de hazmat 3",Table69[] )</f>
        <v xml:space="preserve">Cajon de hazmat 3 Contiene: </v>
      </c>
      <c r="C10" s="6"/>
      <c r="D10" s="6"/>
      <c r="E10" s="6"/>
      <c r="F10" s="6">
        <v>1</v>
      </c>
      <c r="G10" s="6" t="s">
        <v>8</v>
      </c>
      <c r="H10" s="6">
        <v>3</v>
      </c>
      <c r="J10" t="s">
        <v>12</v>
      </c>
      <c r="K10" t="s">
        <v>618</v>
      </c>
      <c r="M10" t="s">
        <v>609</v>
      </c>
      <c r="N10">
        <v>959421</v>
      </c>
      <c r="O10">
        <v>1</v>
      </c>
      <c r="P10" t="s">
        <v>262</v>
      </c>
      <c r="R10" t="s">
        <v>262</v>
      </c>
    </row>
    <row r="11" spans="1:27">
      <c r="A11" s="6" t="s">
        <v>352</v>
      </c>
      <c r="B11" s="7" t="s">
        <v>353</v>
      </c>
      <c r="C11" s="6"/>
      <c r="D11" s="6"/>
      <c r="E11" s="6"/>
      <c r="F11" s="6">
        <v>1</v>
      </c>
      <c r="G11" s="6" t="s">
        <v>8</v>
      </c>
      <c r="H11" s="6">
        <v>3</v>
      </c>
      <c r="J11" t="s">
        <v>613</v>
      </c>
      <c r="K11" t="s">
        <v>611</v>
      </c>
      <c r="M11" t="s">
        <v>612</v>
      </c>
      <c r="O11">
        <v>1</v>
      </c>
      <c r="P11" t="s">
        <v>262</v>
      </c>
      <c r="R11" t="s">
        <v>321</v>
      </c>
    </row>
    <row r="12" spans="1:27">
      <c r="A12" s="6" t="s">
        <v>352</v>
      </c>
      <c r="B12" s="7"/>
      <c r="C12" s="6"/>
      <c r="D12" s="6"/>
      <c r="E12" s="6"/>
      <c r="F12" s="6">
        <v>2</v>
      </c>
      <c r="G12" s="6" t="s">
        <v>8</v>
      </c>
      <c r="H12" s="6">
        <v>3</v>
      </c>
      <c r="J12" t="s">
        <v>152</v>
      </c>
      <c r="K12" t="s">
        <v>19</v>
      </c>
      <c r="O12">
        <v>1</v>
      </c>
      <c r="P12" t="s">
        <v>264</v>
      </c>
      <c r="R12" t="s">
        <v>267</v>
      </c>
    </row>
    <row r="13" spans="1:27">
      <c r="A13" s="28" t="s">
        <v>378</v>
      </c>
      <c r="B13" s="31" t="s">
        <v>380</v>
      </c>
      <c r="C13" s="6" t="s">
        <v>52</v>
      </c>
      <c r="D13" s="28"/>
      <c r="E13" s="28" t="s">
        <v>379</v>
      </c>
      <c r="F13" s="28">
        <v>1</v>
      </c>
      <c r="G13" s="28" t="s">
        <v>9</v>
      </c>
      <c r="H13" s="28">
        <v>1</v>
      </c>
      <c r="J13" t="s">
        <v>152</v>
      </c>
      <c r="K13" t="s">
        <v>265</v>
      </c>
      <c r="O13">
        <v>1</v>
      </c>
      <c r="P13" t="s">
        <v>264</v>
      </c>
      <c r="R13" t="s">
        <v>268</v>
      </c>
    </row>
    <row r="14" spans="1:27">
      <c r="A14" s="28" t="s">
        <v>147</v>
      </c>
      <c r="B14" s="7" t="s">
        <v>1087</v>
      </c>
      <c r="C14" s="28"/>
      <c r="D14" s="28"/>
      <c r="E14" s="28"/>
      <c r="F14" s="28">
        <v>1</v>
      </c>
      <c r="G14" s="28" t="s">
        <v>9</v>
      </c>
      <c r="H14" s="28">
        <v>1</v>
      </c>
      <c r="J14" t="s">
        <v>152</v>
      </c>
      <c r="K14" t="s">
        <v>20</v>
      </c>
      <c r="O14">
        <v>1</v>
      </c>
      <c r="P14" t="s">
        <v>264</v>
      </c>
      <c r="R14" t="s">
        <v>331</v>
      </c>
    </row>
    <row r="15" spans="1:27" ht="30">
      <c r="A15" s="28" t="s">
        <v>147</v>
      </c>
      <c r="B15" s="31" t="s">
        <v>300</v>
      </c>
      <c r="C15" s="28" t="s">
        <v>301</v>
      </c>
      <c r="D15" s="28"/>
      <c r="E15" s="28"/>
      <c r="F15" s="28">
        <v>1</v>
      </c>
      <c r="G15" s="28" t="s">
        <v>9</v>
      </c>
      <c r="H15" s="28">
        <v>1</v>
      </c>
      <c r="J15" t="s">
        <v>152</v>
      </c>
      <c r="K15" t="s">
        <v>19</v>
      </c>
      <c r="O15">
        <v>1</v>
      </c>
      <c r="P15" t="s">
        <v>266</v>
      </c>
      <c r="R15" t="s">
        <v>347</v>
      </c>
    </row>
    <row r="16" spans="1:27" ht="45">
      <c r="A16" s="28" t="s">
        <v>147</v>
      </c>
      <c r="B16" s="31" t="s">
        <v>302</v>
      </c>
      <c r="C16" s="28" t="s">
        <v>303</v>
      </c>
      <c r="D16" s="28"/>
      <c r="E16" s="28"/>
      <c r="F16" s="28">
        <v>1</v>
      </c>
      <c r="G16" s="28" t="s">
        <v>9</v>
      </c>
      <c r="H16" s="28">
        <v>1</v>
      </c>
      <c r="J16" t="s">
        <v>152</v>
      </c>
      <c r="K16" t="s">
        <v>20</v>
      </c>
      <c r="O16">
        <v>1</v>
      </c>
      <c r="P16" t="s">
        <v>266</v>
      </c>
      <c r="R16" t="s">
        <v>348</v>
      </c>
    </row>
    <row r="17" spans="1:18" ht="30">
      <c r="A17" s="28" t="s">
        <v>147</v>
      </c>
      <c r="B17" s="31" t="s">
        <v>304</v>
      </c>
      <c r="C17" s="28" t="s">
        <v>305</v>
      </c>
      <c r="D17" s="28"/>
      <c r="E17" s="28"/>
      <c r="F17" s="28">
        <v>1</v>
      </c>
      <c r="G17" s="28" t="s">
        <v>9</v>
      </c>
      <c r="H17" s="28">
        <v>1</v>
      </c>
      <c r="J17" t="s">
        <v>619</v>
      </c>
      <c r="K17" t="s">
        <v>1100</v>
      </c>
      <c r="O17">
        <v>2</v>
      </c>
      <c r="P17" t="s">
        <v>267</v>
      </c>
      <c r="R17" t="s">
        <v>349</v>
      </c>
    </row>
    <row r="18" spans="1:18" ht="30">
      <c r="A18" s="28" t="s">
        <v>147</v>
      </c>
      <c r="B18" s="31" t="s">
        <v>306</v>
      </c>
      <c r="C18" s="28" t="s">
        <v>307</v>
      </c>
      <c r="D18" s="28"/>
      <c r="E18" s="28"/>
      <c r="F18" s="28">
        <v>1</v>
      </c>
      <c r="G18" s="28" t="s">
        <v>9</v>
      </c>
      <c r="H18" s="28">
        <v>1</v>
      </c>
      <c r="J18" t="s">
        <v>619</v>
      </c>
      <c r="K18" t="s">
        <v>1069</v>
      </c>
      <c r="O18">
        <v>1</v>
      </c>
      <c r="P18" t="s">
        <v>267</v>
      </c>
      <c r="R18" t="s">
        <v>332</v>
      </c>
    </row>
    <row r="19" spans="1:18" ht="45">
      <c r="A19" s="28" t="s">
        <v>147</v>
      </c>
      <c r="B19" s="31" t="s">
        <v>308</v>
      </c>
      <c r="C19" s="28" t="s">
        <v>309</v>
      </c>
      <c r="D19" s="28"/>
      <c r="E19" s="28"/>
      <c r="F19" s="28">
        <v>1</v>
      </c>
      <c r="G19" s="28" t="s">
        <v>9</v>
      </c>
      <c r="H19" s="28">
        <v>1</v>
      </c>
      <c r="J19" t="s">
        <v>619</v>
      </c>
      <c r="K19" t="s">
        <v>1101</v>
      </c>
      <c r="O19">
        <v>1</v>
      </c>
      <c r="P19" t="s">
        <v>267</v>
      </c>
      <c r="R19" t="s">
        <v>334</v>
      </c>
    </row>
    <row r="20" spans="1:18">
      <c r="A20" s="6" t="s">
        <v>152</v>
      </c>
      <c r="B20" s="7" t="s">
        <v>422</v>
      </c>
      <c r="C20" s="28"/>
      <c r="D20" s="28"/>
      <c r="E20" s="28"/>
      <c r="F20" s="28">
        <v>3</v>
      </c>
      <c r="G20" s="28" t="s">
        <v>9</v>
      </c>
      <c r="H20" s="28">
        <v>1</v>
      </c>
      <c r="J20" t="s">
        <v>619</v>
      </c>
      <c r="K20" t="s">
        <v>1096</v>
      </c>
      <c r="O20">
        <v>1</v>
      </c>
      <c r="P20" t="s">
        <v>268</v>
      </c>
      <c r="R20" t="s">
        <v>364</v>
      </c>
    </row>
    <row r="21" spans="1:18">
      <c r="A21" s="28" t="s">
        <v>11</v>
      </c>
      <c r="B21" s="31" t="s">
        <v>377</v>
      </c>
      <c r="C21" s="28" t="s">
        <v>120</v>
      </c>
      <c r="D21" s="28"/>
      <c r="E21" s="28"/>
      <c r="F21" s="28">
        <v>2</v>
      </c>
      <c r="G21" s="28" t="s">
        <v>9</v>
      </c>
      <c r="H21" s="28">
        <v>1</v>
      </c>
      <c r="J21" t="s">
        <v>619</v>
      </c>
      <c r="K21" t="s">
        <v>1097</v>
      </c>
      <c r="O21">
        <v>1</v>
      </c>
      <c r="P21" t="s">
        <v>268</v>
      </c>
      <c r="R21" t="s">
        <v>390</v>
      </c>
    </row>
    <row r="22" spans="1:18" ht="30">
      <c r="A22" s="28" t="s">
        <v>147</v>
      </c>
      <c r="B22" s="31" t="s">
        <v>310</v>
      </c>
      <c r="C22" s="28"/>
      <c r="D22" s="28"/>
      <c r="E22" s="28"/>
      <c r="F22" s="28">
        <v>1</v>
      </c>
      <c r="G22" s="28" t="s">
        <v>9</v>
      </c>
      <c r="H22" s="28">
        <v>2</v>
      </c>
      <c r="J22" t="s">
        <v>619</v>
      </c>
      <c r="K22" t="s">
        <v>1098</v>
      </c>
      <c r="O22">
        <v>1</v>
      </c>
      <c r="P22" t="s">
        <v>268</v>
      </c>
      <c r="R22" t="s">
        <v>392</v>
      </c>
    </row>
    <row r="23" spans="1:18">
      <c r="A23" s="28" t="s">
        <v>342</v>
      </c>
      <c r="B23" s="31" t="s">
        <v>382</v>
      </c>
      <c r="C23" s="28"/>
      <c r="D23" s="28" t="s">
        <v>381</v>
      </c>
      <c r="E23" s="28">
        <v>1043</v>
      </c>
      <c r="F23" s="28">
        <v>1</v>
      </c>
      <c r="G23" s="28" t="s">
        <v>9</v>
      </c>
      <c r="H23" s="28">
        <v>1</v>
      </c>
      <c r="J23" t="s">
        <v>619</v>
      </c>
      <c r="K23" t="s">
        <v>1099</v>
      </c>
      <c r="O23">
        <v>1</v>
      </c>
      <c r="P23" t="s">
        <v>268</v>
      </c>
      <c r="R23" t="s">
        <v>395</v>
      </c>
    </row>
    <row r="24" spans="1:18">
      <c r="A24" s="28" t="s">
        <v>342</v>
      </c>
      <c r="B24" s="31" t="s">
        <v>382</v>
      </c>
      <c r="C24" s="28"/>
      <c r="D24" s="28" t="s">
        <v>381</v>
      </c>
      <c r="E24" s="28">
        <v>4100</v>
      </c>
      <c r="F24" s="28">
        <v>1</v>
      </c>
      <c r="G24" s="28" t="s">
        <v>9</v>
      </c>
      <c r="H24" s="28">
        <v>1</v>
      </c>
      <c r="J24" t="s">
        <v>619</v>
      </c>
      <c r="K24" t="s">
        <v>1099</v>
      </c>
      <c r="O24">
        <v>1</v>
      </c>
      <c r="P24" t="s">
        <v>268</v>
      </c>
      <c r="R24" t="s">
        <v>397</v>
      </c>
    </row>
    <row r="25" spans="1:18">
      <c r="A25" s="28" t="s">
        <v>342</v>
      </c>
      <c r="B25" s="31" t="s">
        <v>383</v>
      </c>
      <c r="C25" s="28"/>
      <c r="D25" s="28"/>
      <c r="E25" s="28"/>
      <c r="F25" s="28">
        <v>2</v>
      </c>
      <c r="G25" s="28" t="s">
        <v>9</v>
      </c>
      <c r="H25" s="28">
        <v>1</v>
      </c>
      <c r="J25" t="s">
        <v>152</v>
      </c>
      <c r="K25" t="s">
        <v>314</v>
      </c>
      <c r="O25">
        <v>1</v>
      </c>
      <c r="P25" t="s">
        <v>313</v>
      </c>
      <c r="R25" t="s">
        <v>399</v>
      </c>
    </row>
    <row r="26" spans="1:18">
      <c r="A26" s="28" t="s">
        <v>342</v>
      </c>
      <c r="B26" s="31" t="s">
        <v>384</v>
      </c>
      <c r="C26" s="28"/>
      <c r="D26" s="28" t="s">
        <v>318</v>
      </c>
      <c r="E26" s="28"/>
      <c r="F26" s="28">
        <v>2</v>
      </c>
      <c r="G26" s="28" t="s">
        <v>9</v>
      </c>
      <c r="H26" s="28">
        <v>1</v>
      </c>
      <c r="J26" t="s">
        <v>152</v>
      </c>
      <c r="K26" t="s">
        <v>315</v>
      </c>
      <c r="O26">
        <v>2</v>
      </c>
      <c r="P26" t="s">
        <v>313</v>
      </c>
      <c r="R26" t="s">
        <v>29</v>
      </c>
    </row>
    <row r="27" spans="1:18">
      <c r="A27" s="28" t="s">
        <v>342</v>
      </c>
      <c r="B27" s="31" t="s">
        <v>385</v>
      </c>
      <c r="C27" s="28"/>
      <c r="D27" s="28"/>
      <c r="E27" s="28"/>
      <c r="F27" s="28">
        <v>2</v>
      </c>
      <c r="G27" s="28" t="s">
        <v>9</v>
      </c>
      <c r="H27" s="28">
        <v>1</v>
      </c>
      <c r="J27" t="s">
        <v>620</v>
      </c>
      <c r="K27" t="s">
        <v>298</v>
      </c>
      <c r="O27">
        <v>1</v>
      </c>
      <c r="P27" t="s">
        <v>317</v>
      </c>
      <c r="R27" t="s">
        <v>933</v>
      </c>
    </row>
    <row r="28" spans="1:18">
      <c r="A28" s="28" t="s">
        <v>98</v>
      </c>
      <c r="B28" s="31" t="s">
        <v>324</v>
      </c>
      <c r="C28" s="28"/>
      <c r="D28" s="28" t="s">
        <v>318</v>
      </c>
      <c r="E28" s="28"/>
      <c r="F28" s="28">
        <v>3</v>
      </c>
      <c r="G28" s="28" t="s">
        <v>10</v>
      </c>
      <c r="H28" s="28">
        <v>1</v>
      </c>
      <c r="J28" t="s">
        <v>620</v>
      </c>
      <c r="K28" t="s">
        <v>299</v>
      </c>
      <c r="O28">
        <v>2</v>
      </c>
      <c r="P28" t="s">
        <v>317</v>
      </c>
      <c r="R28" t="s">
        <v>976</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621</v>
      </c>
      <c r="K29" t="s">
        <v>322</v>
      </c>
      <c r="O29">
        <v>6</v>
      </c>
      <c r="P29" t="s">
        <v>321</v>
      </c>
      <c r="R29" t="s">
        <v>978</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621</v>
      </c>
      <c r="K30" t="s">
        <v>323</v>
      </c>
      <c r="O30">
        <v>6</v>
      </c>
      <c r="P30" t="s">
        <v>321</v>
      </c>
      <c r="R30" t="s">
        <v>981</v>
      </c>
    </row>
    <row r="31" spans="1:18" ht="30">
      <c r="A31" s="28" t="s">
        <v>92</v>
      </c>
      <c r="B31" s="31" t="s">
        <v>319</v>
      </c>
      <c r="C31" s="28"/>
      <c r="D31" s="28"/>
      <c r="E31" s="28"/>
      <c r="F31" s="28">
        <v>1</v>
      </c>
      <c r="G31" s="28" t="s">
        <v>10</v>
      </c>
      <c r="H31" s="28">
        <v>1</v>
      </c>
      <c r="J31" t="s">
        <v>622</v>
      </c>
      <c r="K31" t="s">
        <v>623</v>
      </c>
      <c r="M31" t="s">
        <v>624</v>
      </c>
      <c r="O31">
        <v>4</v>
      </c>
      <c r="P31" t="s">
        <v>331</v>
      </c>
      <c r="R31" t="s">
        <v>996</v>
      </c>
    </row>
    <row r="32" spans="1:18" ht="45">
      <c r="A32" s="28" t="s">
        <v>92</v>
      </c>
      <c r="B32" s="31" t="str">
        <f>bolso("Caja de cubre parantes",Table69[])</f>
        <v xml:space="preserve">Caja de cubre parantes Contiene:  Cubre parantes chico x6,  Cubre parantes grande x6, </v>
      </c>
      <c r="C32" s="28"/>
      <c r="D32" s="28" t="s">
        <v>318</v>
      </c>
      <c r="E32" s="28"/>
      <c r="F32" s="28">
        <v>1</v>
      </c>
      <c r="G32" s="28" t="s">
        <v>10</v>
      </c>
      <c r="H32" s="28">
        <v>1</v>
      </c>
      <c r="J32" t="s">
        <v>622</v>
      </c>
      <c r="K32" t="s">
        <v>625</v>
      </c>
      <c r="M32" t="s">
        <v>626</v>
      </c>
      <c r="O32">
        <v>1</v>
      </c>
      <c r="P32" t="s">
        <v>331</v>
      </c>
      <c r="R32" t="s">
        <v>1003</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627</v>
      </c>
      <c r="K33" t="s">
        <v>333</v>
      </c>
      <c r="O33">
        <v>12</v>
      </c>
      <c r="P33" t="s">
        <v>332</v>
      </c>
      <c r="R33" t="s">
        <v>1008</v>
      </c>
    </row>
    <row r="34" spans="1:18" ht="30">
      <c r="A34" s="28" t="s">
        <v>92</v>
      </c>
      <c r="B34" s="31" t="str">
        <f>bolso("Cajon de tacos 1",Table69[])</f>
        <v xml:space="preserve">Cajon de tacos 1 Contiene:  Tacos varios de madera x12, </v>
      </c>
      <c r="C34" s="28"/>
      <c r="D34" s="28"/>
      <c r="E34" s="28"/>
      <c r="F34" s="28">
        <v>1</v>
      </c>
      <c r="G34" s="28" t="s">
        <v>10</v>
      </c>
      <c r="H34" s="28">
        <v>1</v>
      </c>
      <c r="J34" t="s">
        <v>627</v>
      </c>
      <c r="K34" t="s">
        <v>335</v>
      </c>
      <c r="O34">
        <v>11</v>
      </c>
      <c r="P34" t="s">
        <v>334</v>
      </c>
      <c r="R34" t="s">
        <v>1010</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627</v>
      </c>
      <c r="K35" t="s">
        <v>336</v>
      </c>
      <c r="O35">
        <v>5</v>
      </c>
      <c r="P35" t="s">
        <v>334</v>
      </c>
      <c r="R35" s="30" t="s">
        <v>1058</v>
      </c>
    </row>
    <row r="36" spans="1:18">
      <c r="A36" s="28" t="s">
        <v>326</v>
      </c>
      <c r="B36" s="31" t="s">
        <v>327</v>
      </c>
      <c r="C36" s="28"/>
      <c r="D36" s="28" t="s">
        <v>318</v>
      </c>
      <c r="E36" s="28">
        <v>58115</v>
      </c>
      <c r="F36" s="28">
        <v>1</v>
      </c>
      <c r="G36" s="28" t="s">
        <v>10</v>
      </c>
      <c r="H36" s="28">
        <v>1</v>
      </c>
      <c r="J36" t="s">
        <v>627</v>
      </c>
      <c r="K36" t="s">
        <v>337</v>
      </c>
      <c r="O36">
        <v>6</v>
      </c>
      <c r="P36" t="s">
        <v>334</v>
      </c>
      <c r="R36" s="30" t="s">
        <v>1060</v>
      </c>
    </row>
    <row r="37" spans="1:18">
      <c r="A37" s="28" t="s">
        <v>83</v>
      </c>
      <c r="B37" s="31" t="s">
        <v>327</v>
      </c>
      <c r="C37" s="28"/>
      <c r="D37" s="28" t="s">
        <v>318</v>
      </c>
      <c r="E37" s="28">
        <v>114947</v>
      </c>
      <c r="F37" s="28">
        <v>1</v>
      </c>
      <c r="G37" s="28" t="s">
        <v>10</v>
      </c>
      <c r="H37" s="28">
        <v>1</v>
      </c>
      <c r="J37" t="s">
        <v>90</v>
      </c>
      <c r="K37" t="s">
        <v>344</v>
      </c>
      <c r="O37">
        <v>8</v>
      </c>
      <c r="P37" t="s">
        <v>347</v>
      </c>
      <c r="R37" s="30" t="s">
        <v>1065</v>
      </c>
    </row>
    <row r="38" spans="1:18">
      <c r="A38" s="28" t="s">
        <v>237</v>
      </c>
      <c r="B38" s="31"/>
      <c r="C38" s="28"/>
      <c r="D38" s="28" t="s">
        <v>318</v>
      </c>
      <c r="E38" s="28"/>
      <c r="F38" s="28">
        <v>2</v>
      </c>
      <c r="G38" s="28" t="s">
        <v>10</v>
      </c>
      <c r="H38" s="28">
        <v>1</v>
      </c>
      <c r="J38" t="s">
        <v>90</v>
      </c>
      <c r="K38" t="s">
        <v>1049</v>
      </c>
      <c r="O38">
        <v>2</v>
      </c>
      <c r="P38" t="s">
        <v>347</v>
      </c>
      <c r="R38" s="30" t="s">
        <v>1067</v>
      </c>
    </row>
    <row r="39" spans="1:18">
      <c r="A39" s="28" t="s">
        <v>237</v>
      </c>
      <c r="B39" s="31"/>
      <c r="C39" s="28"/>
      <c r="D39" s="28" t="s">
        <v>320</v>
      </c>
      <c r="E39" s="28"/>
      <c r="F39" s="28">
        <v>2</v>
      </c>
      <c r="G39" s="28" t="s">
        <v>10</v>
      </c>
      <c r="H39" s="28">
        <v>1</v>
      </c>
      <c r="J39" t="s">
        <v>90</v>
      </c>
      <c r="K39" t="s">
        <v>345</v>
      </c>
      <c r="O39">
        <v>1</v>
      </c>
      <c r="P39" t="s">
        <v>348</v>
      </c>
      <c r="R39" s="30" t="s">
        <v>1081</v>
      </c>
    </row>
    <row r="40" spans="1:18">
      <c r="A40" s="28" t="s">
        <v>237</v>
      </c>
      <c r="B40" s="31"/>
      <c r="C40" s="28"/>
      <c r="D40" s="28"/>
      <c r="E40" s="28"/>
      <c r="F40" s="28">
        <v>1</v>
      </c>
      <c r="G40" s="28" t="s">
        <v>10</v>
      </c>
      <c r="H40" s="28">
        <v>1</v>
      </c>
      <c r="J40" t="s">
        <v>90</v>
      </c>
      <c r="K40" t="s">
        <v>344</v>
      </c>
      <c r="O40">
        <v>4</v>
      </c>
      <c r="P40" t="s">
        <v>348</v>
      </c>
      <c r="R40" t="s">
        <v>1094</v>
      </c>
    </row>
    <row r="41" spans="1:18" ht="30">
      <c r="A41" s="28" t="s">
        <v>80</v>
      </c>
      <c r="B41" s="31" t="s">
        <v>330</v>
      </c>
      <c r="C41" s="28"/>
      <c r="D41" s="28" t="s">
        <v>318</v>
      </c>
      <c r="E41" s="28">
        <v>122054</v>
      </c>
      <c r="F41" s="28">
        <v>1</v>
      </c>
      <c r="G41" s="28" t="s">
        <v>10</v>
      </c>
      <c r="H41" s="28">
        <v>1</v>
      </c>
      <c r="J41" t="s">
        <v>360</v>
      </c>
      <c r="K41" t="s">
        <v>360</v>
      </c>
      <c r="O41" s="33">
        <v>6</v>
      </c>
      <c r="P41" s="30" t="s">
        <v>1058</v>
      </c>
    </row>
    <row r="42" spans="1:18">
      <c r="A42" s="28" t="s">
        <v>311</v>
      </c>
      <c r="B42" s="31" t="s">
        <v>312</v>
      </c>
      <c r="C42" s="28"/>
      <c r="D42" s="28"/>
      <c r="E42" s="28"/>
      <c r="F42" s="28">
        <v>4</v>
      </c>
      <c r="G42" s="28" t="s">
        <v>10</v>
      </c>
      <c r="H42" s="28">
        <v>1</v>
      </c>
      <c r="J42" t="s">
        <v>627</v>
      </c>
      <c r="K42" t="s">
        <v>365</v>
      </c>
      <c r="O42">
        <v>9</v>
      </c>
      <c r="P42" t="s">
        <v>364</v>
      </c>
    </row>
    <row r="43" spans="1:18">
      <c r="A43" s="28" t="s">
        <v>329</v>
      </c>
      <c r="B43" s="31" t="s">
        <v>327</v>
      </c>
      <c r="C43" s="28"/>
      <c r="D43" s="28" t="s">
        <v>318</v>
      </c>
      <c r="E43" s="28">
        <v>57523</v>
      </c>
      <c r="F43" s="28">
        <v>1</v>
      </c>
      <c r="G43" s="28" t="s">
        <v>10</v>
      </c>
      <c r="H43" s="28">
        <v>1</v>
      </c>
      <c r="J43" t="s">
        <v>627</v>
      </c>
      <c r="K43" t="s">
        <v>366</v>
      </c>
      <c r="O43">
        <v>4</v>
      </c>
      <c r="P43" t="s">
        <v>364</v>
      </c>
    </row>
    <row r="44" spans="1:18">
      <c r="A44" s="28" t="s">
        <v>252</v>
      </c>
      <c r="B44" s="31" t="s">
        <v>316</v>
      </c>
      <c r="C44" s="28"/>
      <c r="D44" s="28"/>
      <c r="E44" s="28"/>
      <c r="F44" s="28">
        <v>1</v>
      </c>
      <c r="G44" s="28" t="s">
        <v>10</v>
      </c>
      <c r="H44" s="28">
        <v>1</v>
      </c>
      <c r="J44" t="s">
        <v>627</v>
      </c>
      <c r="K44" t="s">
        <v>367</v>
      </c>
      <c r="O44">
        <v>5</v>
      </c>
      <c r="P44" t="s">
        <v>364</v>
      </c>
    </row>
    <row r="45" spans="1:18">
      <c r="A45" s="28" t="s">
        <v>95</v>
      </c>
      <c r="B45" s="31" t="s">
        <v>328</v>
      </c>
      <c r="C45" s="28"/>
      <c r="D45" s="28" t="s">
        <v>318</v>
      </c>
      <c r="E45" s="28" t="s">
        <v>325</v>
      </c>
      <c r="F45" s="28">
        <v>1</v>
      </c>
      <c r="G45" s="28" t="s">
        <v>10</v>
      </c>
      <c r="H45" s="28">
        <v>1</v>
      </c>
      <c r="J45" t="s">
        <v>188</v>
      </c>
      <c r="K45" t="s">
        <v>391</v>
      </c>
      <c r="O45">
        <v>3</v>
      </c>
      <c r="P45" t="s">
        <v>390</v>
      </c>
    </row>
    <row r="46" spans="1:18">
      <c r="A46" s="28" t="s">
        <v>95</v>
      </c>
      <c r="B46" s="31" t="s">
        <v>327</v>
      </c>
      <c r="C46" s="28"/>
      <c r="D46" s="28" t="s">
        <v>318</v>
      </c>
      <c r="E46" s="28">
        <v>54864</v>
      </c>
      <c r="F46" s="28">
        <v>1</v>
      </c>
      <c r="G46" s="28" t="s">
        <v>10</v>
      </c>
      <c r="H46" s="28">
        <v>1</v>
      </c>
      <c r="J46" t="s">
        <v>628</v>
      </c>
      <c r="K46" t="s">
        <v>393</v>
      </c>
      <c r="O46">
        <v>1</v>
      </c>
      <c r="P46" t="s">
        <v>392</v>
      </c>
    </row>
    <row r="47" spans="1:18">
      <c r="A47" s="28" t="s">
        <v>95</v>
      </c>
      <c r="B47" s="31" t="s">
        <v>327</v>
      </c>
      <c r="C47" s="28"/>
      <c r="D47" s="28" t="s">
        <v>318</v>
      </c>
      <c r="E47" s="28">
        <v>88310</v>
      </c>
      <c r="F47" s="28">
        <v>1</v>
      </c>
      <c r="G47" s="28" t="s">
        <v>10</v>
      </c>
      <c r="H47" s="28">
        <v>1</v>
      </c>
      <c r="J47" t="s">
        <v>628</v>
      </c>
      <c r="K47" t="s">
        <v>394</v>
      </c>
      <c r="O47">
        <v>1</v>
      </c>
      <c r="P47" t="s">
        <v>392</v>
      </c>
    </row>
    <row r="48" spans="1:18">
      <c r="A48" s="28" t="s">
        <v>98</v>
      </c>
      <c r="B48" s="31" t="s">
        <v>374</v>
      </c>
      <c r="C48" s="28"/>
      <c r="D48" s="28"/>
      <c r="E48" s="28"/>
      <c r="F48" s="28">
        <v>1</v>
      </c>
      <c r="G48" s="28" t="s">
        <v>10</v>
      </c>
      <c r="H48" s="28" t="s">
        <v>361</v>
      </c>
      <c r="J48" t="s">
        <v>628</v>
      </c>
      <c r="K48" t="s">
        <v>396</v>
      </c>
      <c r="O48">
        <v>2</v>
      </c>
      <c r="P48" t="s">
        <v>395</v>
      </c>
    </row>
    <row r="49" spans="1:16" ht="45">
      <c r="A49" s="28" t="s">
        <v>363</v>
      </c>
      <c r="B49" s="31" t="str">
        <f>bolso("Cajon de tacos 3",Table69[] )</f>
        <v xml:space="preserve">Cajon de tacos 3 Contiene:  Tacos grandes cuadrados x9,  Cuñas grandes x4,  Cuñas chicas x5, </v>
      </c>
      <c r="C49" s="28"/>
      <c r="D49" s="28"/>
      <c r="E49" s="28"/>
      <c r="F49" s="28">
        <v>1</v>
      </c>
      <c r="G49" s="28" t="s">
        <v>10</v>
      </c>
      <c r="H49" s="28" t="s">
        <v>361</v>
      </c>
      <c r="J49" t="s">
        <v>596</v>
      </c>
      <c r="K49" t="s">
        <v>562</v>
      </c>
      <c r="O49">
        <v>8</v>
      </c>
      <c r="P49" t="s">
        <v>398</v>
      </c>
    </row>
    <row r="50" spans="1:16">
      <c r="A50" s="28" t="s">
        <v>311</v>
      </c>
      <c r="B50" s="31" t="s">
        <v>368</v>
      </c>
      <c r="C50" s="28"/>
      <c r="D50" s="28"/>
      <c r="E50" s="28"/>
      <c r="F50" s="28">
        <v>5</v>
      </c>
      <c r="G50" s="28" t="s">
        <v>10</v>
      </c>
      <c r="H50" s="28" t="s">
        <v>361</v>
      </c>
      <c r="J50" t="s">
        <v>561</v>
      </c>
      <c r="K50" t="s">
        <v>1052</v>
      </c>
      <c r="O50">
        <v>4</v>
      </c>
      <c r="P50" t="s">
        <v>399</v>
      </c>
    </row>
    <row r="51" spans="1:16">
      <c r="A51" s="28" t="s">
        <v>221</v>
      </c>
      <c r="B51" s="31" t="s">
        <v>369</v>
      </c>
      <c r="C51" s="28"/>
      <c r="D51" s="28" t="s">
        <v>370</v>
      </c>
      <c r="E51" s="28" t="s">
        <v>371</v>
      </c>
      <c r="F51" s="28">
        <v>1</v>
      </c>
      <c r="G51" s="28" t="s">
        <v>10</v>
      </c>
      <c r="H51" s="28" t="s">
        <v>361</v>
      </c>
      <c r="J51" t="s">
        <v>147</v>
      </c>
      <c r="K51" t="s">
        <v>400</v>
      </c>
      <c r="O51">
        <v>0</v>
      </c>
      <c r="P51" t="s">
        <v>29</v>
      </c>
    </row>
    <row r="52" spans="1:16">
      <c r="A52" s="28" t="s">
        <v>221</v>
      </c>
      <c r="B52" s="31" t="s">
        <v>369</v>
      </c>
      <c r="C52" s="28"/>
      <c r="D52" s="28" t="s">
        <v>372</v>
      </c>
      <c r="E52" s="28" t="s">
        <v>373</v>
      </c>
      <c r="F52" s="28">
        <v>1</v>
      </c>
      <c r="G52" s="28" t="s">
        <v>10</v>
      </c>
      <c r="H52" s="28" t="s">
        <v>361</v>
      </c>
      <c r="J52" t="s">
        <v>216</v>
      </c>
      <c r="K52" t="s">
        <v>196</v>
      </c>
      <c r="O52">
        <v>1</v>
      </c>
      <c r="P52" t="s">
        <v>29</v>
      </c>
    </row>
    <row r="53" spans="1:16">
      <c r="A53" s="28" t="s">
        <v>109</v>
      </c>
      <c r="B53" s="31" t="s">
        <v>362</v>
      </c>
      <c r="C53" s="28"/>
      <c r="D53" s="28"/>
      <c r="E53" s="28"/>
      <c r="F53" s="28">
        <v>4</v>
      </c>
      <c r="G53" s="28" t="s">
        <v>10</v>
      </c>
      <c r="H53" s="28" t="s">
        <v>361</v>
      </c>
      <c r="J53" t="s">
        <v>216</v>
      </c>
      <c r="K53" t="s">
        <v>401</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258</v>
      </c>
      <c r="E54" s="28"/>
      <c r="F54" s="28">
        <v>1</v>
      </c>
      <c r="G54" s="28" t="s">
        <v>251</v>
      </c>
      <c r="H54" s="28">
        <v>1</v>
      </c>
      <c r="J54" t="s">
        <v>216</v>
      </c>
      <c r="K54" t="s">
        <v>402</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251</v>
      </c>
      <c r="H55" s="28">
        <v>1</v>
      </c>
      <c r="J55" t="s">
        <v>216</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251</v>
      </c>
      <c r="H56" s="28">
        <v>1</v>
      </c>
      <c r="J56" t="s">
        <v>216</v>
      </c>
      <c r="K56" t="s">
        <v>403</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251</v>
      </c>
      <c r="H57" s="28">
        <v>1</v>
      </c>
      <c r="J57" t="s">
        <v>216</v>
      </c>
      <c r="K57" t="s">
        <v>404</v>
      </c>
      <c r="O57">
        <v>3</v>
      </c>
      <c r="P57" t="s">
        <v>29</v>
      </c>
    </row>
    <row r="58" spans="1:16" ht="30">
      <c r="A58" s="28" t="s">
        <v>92</v>
      </c>
      <c r="B58" s="31" t="str">
        <f>bolso("Bolso de sierra sable",Table69[])</f>
        <v xml:space="preserve">Bolso de sierra sable Contiene:  Sierra sable  x1,  Bateria  x1, </v>
      </c>
      <c r="C58" s="28"/>
      <c r="D58" s="28" t="s">
        <v>258</v>
      </c>
      <c r="E58" s="28"/>
      <c r="F58" s="28">
        <v>1</v>
      </c>
      <c r="G58" s="28" t="s">
        <v>251</v>
      </c>
      <c r="H58" s="28">
        <v>1</v>
      </c>
      <c r="J58" t="s">
        <v>216</v>
      </c>
      <c r="K58" t="s">
        <v>405</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251</v>
      </c>
      <c r="H59" s="28">
        <v>1</v>
      </c>
      <c r="J59" t="s">
        <v>216</v>
      </c>
      <c r="K59" t="s">
        <v>406</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251</v>
      </c>
      <c r="H60" s="28">
        <v>1</v>
      </c>
      <c r="J60" t="s">
        <v>216</v>
      </c>
      <c r="K60" t="s">
        <v>407</v>
      </c>
      <c r="O60">
        <v>1</v>
      </c>
      <c r="P60" t="s">
        <v>29</v>
      </c>
    </row>
    <row r="61" spans="1:16">
      <c r="A61" s="28" t="s">
        <v>152</v>
      </c>
      <c r="B61" s="31" t="s">
        <v>375</v>
      </c>
      <c r="C61" s="28" t="s">
        <v>154</v>
      </c>
      <c r="D61" s="28"/>
      <c r="E61" s="28"/>
      <c r="F61" s="28">
        <v>3</v>
      </c>
      <c r="G61" s="28" t="s">
        <v>251</v>
      </c>
      <c r="H61" s="28">
        <v>1</v>
      </c>
      <c r="J61" t="s">
        <v>216</v>
      </c>
      <c r="K61" t="s">
        <v>408</v>
      </c>
      <c r="O61">
        <v>1</v>
      </c>
      <c r="P61" t="s">
        <v>29</v>
      </c>
    </row>
    <row r="62" spans="1:16">
      <c r="A62" s="28" t="s">
        <v>152</v>
      </c>
      <c r="B62" s="31" t="s">
        <v>376</v>
      </c>
      <c r="C62" s="28" t="s">
        <v>154</v>
      </c>
      <c r="D62" s="28"/>
      <c r="E62" s="28"/>
      <c r="F62" s="28">
        <v>1</v>
      </c>
      <c r="G62" s="28" t="s">
        <v>251</v>
      </c>
      <c r="H62" s="28">
        <v>1</v>
      </c>
      <c r="J62" t="s">
        <v>216</v>
      </c>
      <c r="K62" t="s">
        <v>409</v>
      </c>
      <c r="O62">
        <v>1</v>
      </c>
      <c r="P62" t="s">
        <v>29</v>
      </c>
    </row>
    <row r="63" spans="1:16">
      <c r="A63" s="28" t="s">
        <v>12</v>
      </c>
      <c r="B63" s="31" t="s">
        <v>257</v>
      </c>
      <c r="C63" s="28"/>
      <c r="D63" s="28" t="s">
        <v>258</v>
      </c>
      <c r="E63" s="32" t="s">
        <v>259</v>
      </c>
      <c r="F63" s="28">
        <v>1</v>
      </c>
      <c r="G63" s="28" t="s">
        <v>251</v>
      </c>
      <c r="H63" s="28">
        <v>1</v>
      </c>
      <c r="J63" t="s">
        <v>216</v>
      </c>
      <c r="K63" t="s">
        <v>410</v>
      </c>
      <c r="O63">
        <v>1</v>
      </c>
      <c r="P63" t="s">
        <v>29</v>
      </c>
    </row>
    <row r="64" spans="1:16" ht="30">
      <c r="A64" s="28" t="s">
        <v>252</v>
      </c>
      <c r="B64" s="31" t="s">
        <v>253</v>
      </c>
      <c r="C64" s="28"/>
      <c r="D64" s="28"/>
      <c r="E64" s="28"/>
      <c r="F64" s="28">
        <v>3</v>
      </c>
      <c r="G64" s="28" t="s">
        <v>251</v>
      </c>
      <c r="H64" s="28">
        <v>1</v>
      </c>
      <c r="J64" t="s">
        <v>216</v>
      </c>
      <c r="K64" t="s">
        <v>411</v>
      </c>
      <c r="O64">
        <v>1</v>
      </c>
      <c r="P64" t="s">
        <v>29</v>
      </c>
    </row>
    <row r="65" spans="1:16">
      <c r="A65" s="28" t="s">
        <v>87</v>
      </c>
      <c r="B65" s="31" t="s">
        <v>254</v>
      </c>
      <c r="C65" s="28"/>
      <c r="D65" s="28"/>
      <c r="E65" s="28"/>
      <c r="F65" s="28">
        <v>9</v>
      </c>
      <c r="G65" s="28" t="s">
        <v>251</v>
      </c>
      <c r="H65" s="28">
        <v>1</v>
      </c>
      <c r="J65" t="s">
        <v>863</v>
      </c>
      <c r="K65" t="s">
        <v>934</v>
      </c>
      <c r="L65" t="s">
        <v>850</v>
      </c>
      <c r="O65">
        <v>3</v>
      </c>
      <c r="P65" t="s">
        <v>933</v>
      </c>
    </row>
    <row r="66" spans="1:16">
      <c r="A66" s="28" t="s">
        <v>87</v>
      </c>
      <c r="B66" s="31" t="s">
        <v>263</v>
      </c>
      <c r="C66" s="28"/>
      <c r="D66" s="28"/>
      <c r="E66" s="28"/>
      <c r="F66" s="28">
        <v>2</v>
      </c>
      <c r="G66" s="28" t="s">
        <v>251</v>
      </c>
      <c r="H66" s="28">
        <v>1</v>
      </c>
      <c r="J66" t="s">
        <v>863</v>
      </c>
      <c r="K66" t="s">
        <v>935</v>
      </c>
      <c r="L66" t="s">
        <v>850</v>
      </c>
      <c r="O66">
        <v>2</v>
      </c>
      <c r="P66" t="s">
        <v>933</v>
      </c>
    </row>
    <row r="67" spans="1:16">
      <c r="A67" s="28" t="s">
        <v>360</v>
      </c>
      <c r="B67" s="31"/>
      <c r="C67" s="28"/>
      <c r="D67" s="28"/>
      <c r="E67" s="28"/>
      <c r="F67" s="28">
        <v>3</v>
      </c>
      <c r="G67" s="28" t="s">
        <v>7</v>
      </c>
      <c r="H67" s="28">
        <v>1</v>
      </c>
      <c r="J67" t="s">
        <v>863</v>
      </c>
      <c r="K67" t="s">
        <v>936</v>
      </c>
      <c r="L67" t="s">
        <v>850</v>
      </c>
      <c r="O67">
        <v>2</v>
      </c>
      <c r="P67" t="s">
        <v>933</v>
      </c>
    </row>
    <row r="68" spans="1:16">
      <c r="A68" s="28" t="s">
        <v>355</v>
      </c>
      <c r="B68" s="31"/>
      <c r="C68" s="28" t="s">
        <v>356</v>
      </c>
      <c r="D68" s="28"/>
      <c r="E68" s="28"/>
      <c r="F68" s="28">
        <v>1</v>
      </c>
      <c r="G68" s="28" t="s">
        <v>7</v>
      </c>
      <c r="H68" s="28">
        <v>1</v>
      </c>
      <c r="J68" t="s">
        <v>863</v>
      </c>
      <c r="K68" t="s">
        <v>937</v>
      </c>
      <c r="L68" t="s">
        <v>850</v>
      </c>
      <c r="O68">
        <v>2</v>
      </c>
      <c r="P68" t="s">
        <v>933</v>
      </c>
    </row>
    <row r="69" spans="1:16">
      <c r="A69" s="28" t="s">
        <v>355</v>
      </c>
      <c r="B69" s="31"/>
      <c r="C69" s="28" t="s">
        <v>357</v>
      </c>
      <c r="D69" s="28"/>
      <c r="E69" s="28"/>
      <c r="F69" s="28">
        <v>1</v>
      </c>
      <c r="G69" s="28" t="s">
        <v>7</v>
      </c>
      <c r="H69" s="28">
        <v>1</v>
      </c>
      <c r="J69" t="s">
        <v>863</v>
      </c>
      <c r="K69" t="s">
        <v>938</v>
      </c>
      <c r="L69" t="s">
        <v>718</v>
      </c>
      <c r="O69">
        <v>1</v>
      </c>
      <c r="P69" t="s">
        <v>933</v>
      </c>
    </row>
    <row r="70" spans="1:16">
      <c r="A70" s="28" t="s">
        <v>184</v>
      </c>
      <c r="B70" s="31" t="s">
        <v>359</v>
      </c>
      <c r="C70" s="28"/>
      <c r="D70" s="28"/>
      <c r="E70" s="28"/>
      <c r="F70" s="28">
        <v>1</v>
      </c>
      <c r="G70" s="28" t="s">
        <v>7</v>
      </c>
      <c r="H70" s="28">
        <v>1</v>
      </c>
      <c r="J70" t="s">
        <v>863</v>
      </c>
      <c r="K70" t="s">
        <v>939</v>
      </c>
      <c r="L70" t="s">
        <v>718</v>
      </c>
      <c r="O70">
        <v>1</v>
      </c>
      <c r="P70" t="s">
        <v>933</v>
      </c>
    </row>
    <row r="71" spans="1:16">
      <c r="A71" s="28" t="s">
        <v>208</v>
      </c>
      <c r="B71" s="31"/>
      <c r="C71" s="28"/>
      <c r="D71" s="28"/>
      <c r="E71" s="28"/>
      <c r="F71" s="28">
        <v>1</v>
      </c>
      <c r="G71" s="28" t="s">
        <v>7</v>
      </c>
      <c r="H71" s="28">
        <v>1</v>
      </c>
      <c r="J71" t="s">
        <v>863</v>
      </c>
      <c r="K71" t="s">
        <v>940</v>
      </c>
      <c r="L71" t="s">
        <v>718</v>
      </c>
      <c r="O71">
        <v>1</v>
      </c>
      <c r="P71" t="s">
        <v>933</v>
      </c>
    </row>
    <row r="72" spans="1:16">
      <c r="A72" s="28" t="s">
        <v>252</v>
      </c>
      <c r="B72" s="31" t="s">
        <v>358</v>
      </c>
      <c r="C72" s="28"/>
      <c r="D72" s="28"/>
      <c r="E72" s="28"/>
      <c r="F72" s="28">
        <v>1</v>
      </c>
      <c r="G72" s="28" t="s">
        <v>7</v>
      </c>
      <c r="H72" s="28">
        <v>1</v>
      </c>
      <c r="J72" t="s">
        <v>863</v>
      </c>
      <c r="K72" t="s">
        <v>941</v>
      </c>
      <c r="L72" t="s">
        <v>718</v>
      </c>
      <c r="O72">
        <v>2</v>
      </c>
      <c r="P72" t="s">
        <v>933</v>
      </c>
    </row>
    <row r="73" spans="1:16">
      <c r="A73" s="28" t="s">
        <v>156</v>
      </c>
      <c r="B73" s="31" t="s">
        <v>386</v>
      </c>
      <c r="C73" s="28" t="s">
        <v>589</v>
      </c>
      <c r="D73" s="28"/>
      <c r="E73" s="28"/>
      <c r="F73" s="28">
        <v>1</v>
      </c>
      <c r="G73" s="28" t="s">
        <v>5</v>
      </c>
      <c r="H73" s="28">
        <v>1</v>
      </c>
      <c r="J73" t="s">
        <v>863</v>
      </c>
      <c r="K73" t="s">
        <v>942</v>
      </c>
      <c r="L73" t="s">
        <v>718</v>
      </c>
      <c r="O73">
        <v>1</v>
      </c>
      <c r="P73" t="s">
        <v>933</v>
      </c>
    </row>
    <row r="74" spans="1:16">
      <c r="A74" s="28" t="s">
        <v>156</v>
      </c>
      <c r="B74" s="7" t="s">
        <v>1054</v>
      </c>
      <c r="C74" s="28" t="s">
        <v>589</v>
      </c>
      <c r="D74" s="28"/>
      <c r="E74" s="28"/>
      <c r="F74" s="28">
        <v>1</v>
      </c>
      <c r="G74" s="28" t="s">
        <v>5</v>
      </c>
      <c r="H74" s="28">
        <v>1</v>
      </c>
      <c r="J74" t="s">
        <v>861</v>
      </c>
      <c r="K74" t="s">
        <v>943</v>
      </c>
      <c r="O74">
        <v>1</v>
      </c>
      <c r="P74" t="s">
        <v>933</v>
      </c>
    </row>
    <row r="75" spans="1:16">
      <c r="A75" s="28" t="s">
        <v>46</v>
      </c>
      <c r="B75" s="31"/>
      <c r="C75" s="28"/>
      <c r="D75" s="28"/>
      <c r="E75" s="28"/>
      <c r="F75" s="28">
        <v>4</v>
      </c>
      <c r="G75" s="28" t="s">
        <v>5</v>
      </c>
      <c r="H75" s="28">
        <v>1</v>
      </c>
      <c r="J75" t="s">
        <v>861</v>
      </c>
      <c r="K75" t="s">
        <v>944</v>
      </c>
      <c r="O75">
        <v>1</v>
      </c>
      <c r="P75" t="s">
        <v>933</v>
      </c>
    </row>
    <row r="76" spans="1:16">
      <c r="A76" s="28" t="s">
        <v>387</v>
      </c>
      <c r="B76" s="31"/>
      <c r="C76" s="28"/>
      <c r="D76" s="28"/>
      <c r="E76" s="28"/>
      <c r="F76" s="28">
        <v>1</v>
      </c>
      <c r="G76" s="28" t="s">
        <v>5</v>
      </c>
      <c r="H76" s="28">
        <v>1</v>
      </c>
      <c r="J76" t="s">
        <v>861</v>
      </c>
      <c r="K76" t="s">
        <v>945</v>
      </c>
      <c r="O76">
        <v>2</v>
      </c>
      <c r="P76" t="s">
        <v>933</v>
      </c>
    </row>
    <row r="77" spans="1:16">
      <c r="A77" s="28" t="s">
        <v>239</v>
      </c>
      <c r="B77" s="31" t="s">
        <v>388</v>
      </c>
      <c r="C77" s="28"/>
      <c r="D77" s="28" t="s">
        <v>389</v>
      </c>
      <c r="E77" s="28"/>
      <c r="F77" s="28">
        <v>1</v>
      </c>
      <c r="G77" s="28" t="s">
        <v>5</v>
      </c>
      <c r="H77" s="28">
        <v>1</v>
      </c>
      <c r="J77" t="s">
        <v>851</v>
      </c>
      <c r="K77" t="s">
        <v>946</v>
      </c>
      <c r="O77">
        <v>1</v>
      </c>
      <c r="P77" t="s">
        <v>933</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851</v>
      </c>
      <c r="K78" t="s">
        <v>947</v>
      </c>
      <c r="O78">
        <v>1</v>
      </c>
      <c r="P78" t="s">
        <v>933</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851</v>
      </c>
      <c r="K79" t="s">
        <v>948</v>
      </c>
      <c r="O79">
        <v>1</v>
      </c>
      <c r="P79" t="s">
        <v>933</v>
      </c>
    </row>
    <row r="80" spans="1:16" ht="30">
      <c r="A80" s="28" t="s">
        <v>92</v>
      </c>
      <c r="B80" s="31" t="str">
        <f>bolso("Cajon de botas wader",Table69[])</f>
        <v xml:space="preserve">Cajon de botas wader Contiene:  Botas wader x2, </v>
      </c>
      <c r="C80" s="28"/>
      <c r="D80" s="28"/>
      <c r="E80" s="28"/>
      <c r="F80" s="28">
        <v>1</v>
      </c>
      <c r="G80" s="28" t="s">
        <v>5</v>
      </c>
      <c r="H80" s="28">
        <v>1</v>
      </c>
      <c r="J80" t="s">
        <v>851</v>
      </c>
      <c r="K80" t="s">
        <v>949</v>
      </c>
      <c r="O80">
        <v>1</v>
      </c>
      <c r="P80" t="s">
        <v>933</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851</v>
      </c>
      <c r="K81" t="s">
        <v>950</v>
      </c>
      <c r="O81">
        <v>1</v>
      </c>
      <c r="P81" t="s">
        <v>933</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852</v>
      </c>
      <c r="K82" t="s">
        <v>951</v>
      </c>
      <c r="O82">
        <v>10</v>
      </c>
      <c r="P82" t="s">
        <v>933</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852</v>
      </c>
      <c r="K83" t="s">
        <v>952</v>
      </c>
      <c r="O83">
        <v>2</v>
      </c>
      <c r="P83" t="s">
        <v>933</v>
      </c>
    </row>
    <row r="84" spans="1:16">
      <c r="A84" s="28" t="s">
        <v>152</v>
      </c>
      <c r="B84" s="31" t="s">
        <v>412</v>
      </c>
      <c r="C84" s="28"/>
      <c r="D84" s="28"/>
      <c r="E84" s="28"/>
      <c r="F84" s="28">
        <v>1</v>
      </c>
      <c r="G84" s="28" t="s">
        <v>6</v>
      </c>
      <c r="H84" s="28">
        <v>1</v>
      </c>
      <c r="J84" t="s">
        <v>852</v>
      </c>
      <c r="K84" t="s">
        <v>953</v>
      </c>
      <c r="O84">
        <v>2</v>
      </c>
      <c r="P84" t="s">
        <v>933</v>
      </c>
    </row>
    <row r="85" spans="1:16">
      <c r="A85" s="28" t="s">
        <v>152</v>
      </c>
      <c r="B85" s="31" t="s">
        <v>413</v>
      </c>
      <c r="C85" s="28"/>
      <c r="D85" s="28"/>
      <c r="E85" s="28"/>
      <c r="F85" s="28">
        <v>1</v>
      </c>
      <c r="G85" s="28" t="s">
        <v>6</v>
      </c>
      <c r="H85" s="28">
        <v>1</v>
      </c>
      <c r="J85" t="s">
        <v>852</v>
      </c>
      <c r="K85" t="s">
        <v>954</v>
      </c>
      <c r="O85">
        <v>6</v>
      </c>
      <c r="P85" t="s">
        <v>933</v>
      </c>
    </row>
    <row r="86" spans="1:16">
      <c r="A86" s="28" t="s">
        <v>152</v>
      </c>
      <c r="B86" s="31" t="s">
        <v>414</v>
      </c>
      <c r="C86" s="28" t="s">
        <v>106</v>
      </c>
      <c r="D86" s="28"/>
      <c r="E86" s="28"/>
      <c r="F86" s="28">
        <v>1</v>
      </c>
      <c r="G86" s="28" t="s">
        <v>6</v>
      </c>
      <c r="H86" s="28">
        <v>1</v>
      </c>
      <c r="J86" t="s">
        <v>852</v>
      </c>
      <c r="K86" t="s">
        <v>955</v>
      </c>
      <c r="O86">
        <v>1</v>
      </c>
      <c r="P86" t="s">
        <v>933</v>
      </c>
    </row>
    <row r="87" spans="1:16">
      <c r="A87" s="28" t="s">
        <v>239</v>
      </c>
      <c r="B87" s="31"/>
      <c r="C87" s="28"/>
      <c r="D87" s="28" t="s">
        <v>415</v>
      </c>
      <c r="E87" s="28"/>
      <c r="F87" s="28">
        <v>1</v>
      </c>
      <c r="G87" s="28" t="s">
        <v>6</v>
      </c>
      <c r="H87" s="28">
        <v>1</v>
      </c>
      <c r="J87" t="s">
        <v>853</v>
      </c>
      <c r="K87" t="s">
        <v>956</v>
      </c>
      <c r="O87">
        <v>1</v>
      </c>
      <c r="P87" t="s">
        <v>933</v>
      </c>
    </row>
    <row r="88" spans="1:16">
      <c r="A88" s="28" t="s">
        <v>152</v>
      </c>
      <c r="B88" s="31" t="s">
        <v>416</v>
      </c>
      <c r="C88" s="28" t="s">
        <v>106</v>
      </c>
      <c r="D88" s="28"/>
      <c r="E88" s="28"/>
      <c r="F88" s="28">
        <v>1</v>
      </c>
      <c r="G88" s="28" t="s">
        <v>6</v>
      </c>
      <c r="H88" s="28">
        <v>2</v>
      </c>
      <c r="J88" t="s">
        <v>853</v>
      </c>
      <c r="K88" t="s">
        <v>957</v>
      </c>
      <c r="O88">
        <v>4</v>
      </c>
      <c r="P88" t="s">
        <v>933</v>
      </c>
    </row>
    <row r="89" spans="1:16">
      <c r="A89" s="28" t="s">
        <v>152</v>
      </c>
      <c r="B89" s="31" t="s">
        <v>417</v>
      </c>
      <c r="C89" s="28"/>
      <c r="D89" s="28"/>
      <c r="E89" s="28"/>
      <c r="F89" s="28">
        <v>1</v>
      </c>
      <c r="G89" s="28" t="s">
        <v>6</v>
      </c>
      <c r="H89" s="28">
        <v>2</v>
      </c>
      <c r="J89" t="s">
        <v>853</v>
      </c>
      <c r="K89" t="s">
        <v>958</v>
      </c>
      <c r="O89">
        <v>4</v>
      </c>
      <c r="P89" t="s">
        <v>933</v>
      </c>
    </row>
    <row r="90" spans="1:16">
      <c r="A90" s="28" t="s">
        <v>152</v>
      </c>
      <c r="B90" s="31" t="s">
        <v>418</v>
      </c>
      <c r="C90" s="28" t="s">
        <v>419</v>
      </c>
      <c r="D90" s="28"/>
      <c r="E90" s="28"/>
      <c r="F90" s="28">
        <v>3</v>
      </c>
      <c r="G90" s="28" t="s">
        <v>6</v>
      </c>
      <c r="H90" s="28">
        <v>2</v>
      </c>
      <c r="J90" t="s">
        <v>853</v>
      </c>
      <c r="K90" t="s">
        <v>959</v>
      </c>
      <c r="O90">
        <v>4</v>
      </c>
      <c r="P90" t="s">
        <v>933</v>
      </c>
    </row>
    <row r="91" spans="1:16">
      <c r="A91" s="28" t="s">
        <v>152</v>
      </c>
      <c r="B91" s="31" t="s">
        <v>173</v>
      </c>
      <c r="C91" s="28"/>
      <c r="D91" s="28"/>
      <c r="E91" s="28"/>
      <c r="F91" s="28">
        <v>3</v>
      </c>
      <c r="G91" s="28" t="s">
        <v>6</v>
      </c>
      <c r="H91" s="28">
        <v>2</v>
      </c>
      <c r="J91" t="s">
        <v>853</v>
      </c>
      <c r="K91" t="s">
        <v>960</v>
      </c>
      <c r="O91">
        <v>1</v>
      </c>
      <c r="P91" t="s">
        <v>933</v>
      </c>
    </row>
    <row r="92" spans="1:16">
      <c r="A92" s="28" t="s">
        <v>152</v>
      </c>
      <c r="B92" s="31" t="s">
        <v>420</v>
      </c>
      <c r="C92" s="28"/>
      <c r="D92" s="28"/>
      <c r="E92" s="28"/>
      <c r="F92" s="28">
        <v>1</v>
      </c>
      <c r="G92" s="28" t="s">
        <v>6</v>
      </c>
      <c r="H92" s="28">
        <v>2</v>
      </c>
      <c r="J92" t="s">
        <v>853</v>
      </c>
      <c r="K92" t="s">
        <v>961</v>
      </c>
      <c r="O92">
        <v>2</v>
      </c>
      <c r="P92" t="s">
        <v>933</v>
      </c>
    </row>
    <row r="93" spans="1:16">
      <c r="A93" s="28" t="s">
        <v>152</v>
      </c>
      <c r="B93" s="31" t="s">
        <v>164</v>
      </c>
      <c r="C93" s="28"/>
      <c r="D93" s="28"/>
      <c r="E93" s="28"/>
      <c r="F93" s="28">
        <v>1</v>
      </c>
      <c r="G93" s="28" t="s">
        <v>6</v>
      </c>
      <c r="H93" s="28">
        <v>2</v>
      </c>
      <c r="J93" t="s">
        <v>853</v>
      </c>
      <c r="K93" t="s">
        <v>962</v>
      </c>
      <c r="O93">
        <v>1</v>
      </c>
      <c r="P93" t="s">
        <v>933</v>
      </c>
    </row>
    <row r="94" spans="1:16">
      <c r="A94" s="28" t="s">
        <v>90</v>
      </c>
      <c r="B94" s="31" t="s">
        <v>421</v>
      </c>
      <c r="C94" s="28"/>
      <c r="D94" s="28"/>
      <c r="E94" s="28"/>
      <c r="F94" s="28">
        <v>2</v>
      </c>
      <c r="G94" s="28" t="s">
        <v>6</v>
      </c>
      <c r="H94" s="28">
        <v>2</v>
      </c>
      <c r="J94" t="s">
        <v>853</v>
      </c>
      <c r="K94" t="s">
        <v>963</v>
      </c>
      <c r="O94">
        <v>2</v>
      </c>
      <c r="P94" t="s">
        <v>933</v>
      </c>
    </row>
    <row r="95" spans="1:16">
      <c r="A95" s="28" t="s">
        <v>89</v>
      </c>
      <c r="B95" s="31"/>
      <c r="C95" s="28"/>
      <c r="D95" s="28"/>
      <c r="E95" s="28"/>
      <c r="F95" s="28">
        <v>3</v>
      </c>
      <c r="G95" s="28" t="s">
        <v>6</v>
      </c>
      <c r="H95" s="28">
        <v>2</v>
      </c>
      <c r="J95" t="s">
        <v>814</v>
      </c>
      <c r="K95" t="s">
        <v>965</v>
      </c>
      <c r="L95" t="s">
        <v>859</v>
      </c>
      <c r="O95">
        <v>2</v>
      </c>
      <c r="P95" t="s">
        <v>933</v>
      </c>
    </row>
    <row r="96" spans="1:16">
      <c r="A96" s="28" t="s">
        <v>103</v>
      </c>
      <c r="B96" s="31"/>
      <c r="C96" s="28" t="s">
        <v>106</v>
      </c>
      <c r="D96" s="28"/>
      <c r="E96" s="28"/>
      <c r="F96" s="28">
        <v>8</v>
      </c>
      <c r="G96" s="28" t="s">
        <v>6</v>
      </c>
      <c r="H96" s="28">
        <v>3</v>
      </c>
      <c r="J96" t="s">
        <v>814</v>
      </c>
      <c r="K96" t="s">
        <v>966</v>
      </c>
      <c r="L96" t="s">
        <v>859</v>
      </c>
      <c r="O96">
        <v>1</v>
      </c>
      <c r="P96" t="s">
        <v>933</v>
      </c>
    </row>
    <row r="97" spans="1:16">
      <c r="A97" s="28" t="s">
        <v>103</v>
      </c>
      <c r="B97" s="31"/>
      <c r="C97" s="28" t="s">
        <v>424</v>
      </c>
      <c r="D97" s="28"/>
      <c r="E97" s="28"/>
      <c r="F97" s="28">
        <v>1</v>
      </c>
      <c r="G97" s="28" t="s">
        <v>6</v>
      </c>
      <c r="H97" s="28">
        <v>3</v>
      </c>
      <c r="J97" t="s">
        <v>814</v>
      </c>
      <c r="K97" t="s">
        <v>967</v>
      </c>
      <c r="L97" t="s">
        <v>859</v>
      </c>
      <c r="O97">
        <v>1</v>
      </c>
      <c r="P97" t="s">
        <v>933</v>
      </c>
    </row>
    <row r="98" spans="1:16">
      <c r="A98" s="28" t="s">
        <v>103</v>
      </c>
      <c r="B98" s="31"/>
      <c r="C98" s="28" t="s">
        <v>105</v>
      </c>
      <c r="D98" s="28"/>
      <c r="E98" s="28"/>
      <c r="F98" s="28">
        <v>1</v>
      </c>
      <c r="G98" s="28" t="s">
        <v>6</v>
      </c>
      <c r="H98" s="28">
        <v>3</v>
      </c>
      <c r="J98" t="s">
        <v>814</v>
      </c>
      <c r="K98" t="s">
        <v>968</v>
      </c>
      <c r="L98" t="s">
        <v>995</v>
      </c>
      <c r="O98">
        <v>1</v>
      </c>
      <c r="P98" t="s">
        <v>933</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814</v>
      </c>
      <c r="K99" t="s">
        <v>969</v>
      </c>
      <c r="O99">
        <v>1</v>
      </c>
      <c r="P99" t="s">
        <v>933</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287</v>
      </c>
      <c r="K100" t="s">
        <v>970</v>
      </c>
      <c r="O100">
        <v>1</v>
      </c>
      <c r="P100" t="s">
        <v>933</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964</v>
      </c>
      <c r="K101" t="s">
        <v>971</v>
      </c>
      <c r="O101">
        <v>1</v>
      </c>
      <c r="P101" t="s">
        <v>933</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816</v>
      </c>
      <c r="K102" t="s">
        <v>972</v>
      </c>
      <c r="O102">
        <v>3</v>
      </c>
      <c r="P102" t="s">
        <v>933</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812</v>
      </c>
      <c r="K103" t="s">
        <v>973</v>
      </c>
      <c r="O103">
        <v>1</v>
      </c>
      <c r="P103" t="s">
        <v>933</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812</v>
      </c>
      <c r="K104" t="s">
        <v>974</v>
      </c>
      <c r="O104">
        <v>1</v>
      </c>
      <c r="P104" t="s">
        <v>933</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109</v>
      </c>
      <c r="K105" t="s">
        <v>975</v>
      </c>
      <c r="O105">
        <v>1</v>
      </c>
      <c r="P105" t="s">
        <v>933</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809</v>
      </c>
      <c r="K106" t="s">
        <v>977</v>
      </c>
      <c r="L106" t="s">
        <v>741</v>
      </c>
      <c r="O106">
        <v>3</v>
      </c>
      <c r="P106" t="s">
        <v>976</v>
      </c>
    </row>
    <row r="107" spans="1:16">
      <c r="A107" s="28" t="s">
        <v>156</v>
      </c>
      <c r="B107" s="7" t="s">
        <v>1055</v>
      </c>
      <c r="C107" s="28" t="s">
        <v>589</v>
      </c>
      <c r="D107" s="28"/>
      <c r="E107" s="28"/>
      <c r="F107" s="28">
        <v>1</v>
      </c>
      <c r="G107" s="28" t="s">
        <v>5</v>
      </c>
      <c r="H107" s="28">
        <v>1</v>
      </c>
      <c r="J107" t="s">
        <v>809</v>
      </c>
      <c r="K107" t="s">
        <v>982</v>
      </c>
      <c r="L107" t="s">
        <v>741</v>
      </c>
      <c r="O107">
        <v>1</v>
      </c>
      <c r="P107" t="s">
        <v>976</v>
      </c>
    </row>
    <row r="108" spans="1:16">
      <c r="A108" s="6" t="s">
        <v>136</v>
      </c>
      <c r="B108" s="7" t="s">
        <v>1056</v>
      </c>
      <c r="C108" s="6"/>
      <c r="D108" s="6"/>
      <c r="E108" s="6"/>
      <c r="F108" s="6">
        <v>1</v>
      </c>
      <c r="G108" s="28" t="s">
        <v>5</v>
      </c>
      <c r="H108" s="26">
        <v>1</v>
      </c>
      <c r="J108" t="s">
        <v>812</v>
      </c>
      <c r="K108" t="s">
        <v>983</v>
      </c>
      <c r="O108">
        <v>1</v>
      </c>
      <c r="P108" t="s">
        <v>976</v>
      </c>
    </row>
    <row r="109" spans="1:16">
      <c r="A109" s="26" t="s">
        <v>338</v>
      </c>
      <c r="B109" s="27" t="s">
        <v>1048</v>
      </c>
      <c r="C109" s="26"/>
      <c r="D109" s="26"/>
      <c r="E109" s="26"/>
      <c r="F109" s="26">
        <v>4</v>
      </c>
      <c r="G109" s="6" t="s">
        <v>8</v>
      </c>
      <c r="H109" s="6">
        <v>2</v>
      </c>
      <c r="J109" t="s">
        <v>287</v>
      </c>
      <c r="K109" t="s">
        <v>984</v>
      </c>
      <c r="O109">
        <v>1</v>
      </c>
      <c r="P109" t="s">
        <v>976</v>
      </c>
    </row>
    <row r="110" spans="1:16">
      <c r="A110" s="26" t="s">
        <v>1050</v>
      </c>
      <c r="B110" s="27"/>
      <c r="C110" s="26"/>
      <c r="D110" s="26" t="s">
        <v>1051</v>
      </c>
      <c r="E110" s="26">
        <v>164042207</v>
      </c>
      <c r="F110" s="28">
        <v>1</v>
      </c>
      <c r="G110" s="28" t="s">
        <v>5</v>
      </c>
      <c r="H110" s="26">
        <v>1</v>
      </c>
      <c r="J110" t="s">
        <v>855</v>
      </c>
      <c r="K110" t="s">
        <v>985</v>
      </c>
      <c r="O110">
        <v>1</v>
      </c>
      <c r="P110" t="s">
        <v>976</v>
      </c>
    </row>
    <row r="111" spans="1:16" ht="45">
      <c r="A111" s="6" t="s">
        <v>363</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855</v>
      </c>
      <c r="K111" t="s">
        <v>986</v>
      </c>
      <c r="O111">
        <v>12</v>
      </c>
      <c r="P111" t="s">
        <v>976</v>
      </c>
    </row>
    <row r="112" spans="1:16" ht="75">
      <c r="A112" s="6" t="s">
        <v>363</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816</v>
      </c>
      <c r="K112" t="s">
        <v>987</v>
      </c>
      <c r="O112">
        <v>1</v>
      </c>
      <c r="P112" t="s">
        <v>976</v>
      </c>
    </row>
    <row r="113" spans="1:16" ht="30">
      <c r="A113" s="26" t="s">
        <v>363</v>
      </c>
      <c r="B113" s="27" t="str">
        <f>bolso("Cajon de mantas para victima",Table69[])</f>
        <v xml:space="preserve">Cajon de mantas para victima Contiene:  Mantas para victima x2, </v>
      </c>
      <c r="C113" s="26"/>
      <c r="D113" s="26"/>
      <c r="E113" s="26"/>
      <c r="F113" s="26">
        <v>1</v>
      </c>
      <c r="G113" s="29" t="s">
        <v>5</v>
      </c>
      <c r="H113" s="26">
        <v>1</v>
      </c>
      <c r="J113" t="s">
        <v>857</v>
      </c>
      <c r="K113" t="s">
        <v>988</v>
      </c>
      <c r="O113">
        <v>1</v>
      </c>
      <c r="P113" t="s">
        <v>976</v>
      </c>
    </row>
    <row r="114" spans="1:16" ht="60">
      <c r="A114" s="26" t="s">
        <v>363</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812</v>
      </c>
      <c r="K114" t="s">
        <v>989</v>
      </c>
      <c r="O114">
        <v>2</v>
      </c>
      <c r="P114" t="s">
        <v>976</v>
      </c>
    </row>
    <row r="115" spans="1:16">
      <c r="A115" s="29" t="s">
        <v>152</v>
      </c>
      <c r="B115" s="34" t="s">
        <v>205</v>
      </c>
      <c r="C115" s="26"/>
      <c r="D115" s="26"/>
      <c r="E115" s="26"/>
      <c r="F115" s="26">
        <v>1</v>
      </c>
      <c r="G115" s="28" t="s">
        <v>6</v>
      </c>
      <c r="H115" s="28">
        <v>1</v>
      </c>
      <c r="J115" t="s">
        <v>855</v>
      </c>
      <c r="K115" t="s">
        <v>990</v>
      </c>
      <c r="O115">
        <v>2</v>
      </c>
      <c r="P115" t="s">
        <v>978</v>
      </c>
    </row>
    <row r="116" spans="1:16">
      <c r="A116" s="26" t="s">
        <v>1074</v>
      </c>
      <c r="B116" s="27" t="s">
        <v>1075</v>
      </c>
      <c r="C116" s="26"/>
      <c r="D116" s="26"/>
      <c r="E116" s="26"/>
      <c r="F116" s="26">
        <v>1</v>
      </c>
      <c r="G116" s="28" t="s">
        <v>6</v>
      </c>
      <c r="H116" s="28">
        <v>1</v>
      </c>
      <c r="J116" t="s">
        <v>855</v>
      </c>
      <c r="K116" t="s">
        <v>979</v>
      </c>
      <c r="O116">
        <v>1</v>
      </c>
      <c r="P116" t="s">
        <v>978</v>
      </c>
    </row>
    <row r="117" spans="1:16">
      <c r="A117" s="26" t="s">
        <v>252</v>
      </c>
      <c r="B117" s="27" t="s">
        <v>1076</v>
      </c>
      <c r="C117" s="26"/>
      <c r="D117" s="26"/>
      <c r="E117" s="26"/>
      <c r="F117" s="26">
        <v>1</v>
      </c>
      <c r="G117" s="26" t="s">
        <v>36</v>
      </c>
      <c r="H117" s="26" t="s">
        <v>36</v>
      </c>
      <c r="J117" t="s">
        <v>855</v>
      </c>
      <c r="K117" t="s">
        <v>980</v>
      </c>
      <c r="O117">
        <v>1</v>
      </c>
      <c r="P117" t="s">
        <v>978</v>
      </c>
    </row>
    <row r="118" spans="1:16" ht="44.25" customHeight="1">
      <c r="A118" s="26" t="s">
        <v>252</v>
      </c>
      <c r="B118" s="27" t="s">
        <v>1077</v>
      </c>
      <c r="C118" s="26"/>
      <c r="D118" s="26"/>
      <c r="E118" s="26"/>
      <c r="F118" s="26">
        <v>1</v>
      </c>
      <c r="G118" s="26" t="s">
        <v>36</v>
      </c>
      <c r="H118" s="26" t="s">
        <v>36</v>
      </c>
      <c r="J118" t="s">
        <v>855</v>
      </c>
      <c r="K118" t="s">
        <v>991</v>
      </c>
      <c r="O118">
        <v>2</v>
      </c>
      <c r="P118" t="s">
        <v>978</v>
      </c>
    </row>
    <row r="119" spans="1:16">
      <c r="A119" s="29" t="s">
        <v>152</v>
      </c>
      <c r="B119" s="27" t="s">
        <v>1078</v>
      </c>
      <c r="C119" s="26"/>
      <c r="D119" s="26"/>
      <c r="E119" s="26"/>
      <c r="F119" s="26">
        <v>1</v>
      </c>
      <c r="G119" s="26" t="s">
        <v>36</v>
      </c>
      <c r="H119" s="26" t="s">
        <v>13</v>
      </c>
      <c r="J119" t="s">
        <v>809</v>
      </c>
      <c r="K119" t="s">
        <v>992</v>
      </c>
      <c r="L119" t="s">
        <v>856</v>
      </c>
      <c r="O119">
        <v>1</v>
      </c>
      <c r="P119" t="s">
        <v>981</v>
      </c>
    </row>
    <row r="120" spans="1:16">
      <c r="A120" s="29" t="s">
        <v>152</v>
      </c>
      <c r="B120" s="27" t="s">
        <v>155</v>
      </c>
      <c r="C120" s="26"/>
      <c r="D120" s="26"/>
      <c r="E120" s="26"/>
      <c r="F120" s="26">
        <v>2</v>
      </c>
      <c r="G120" s="26" t="s">
        <v>36</v>
      </c>
      <c r="H120" s="26" t="s">
        <v>13</v>
      </c>
      <c r="J120" t="s">
        <v>809</v>
      </c>
      <c r="K120" t="s">
        <v>993</v>
      </c>
      <c r="L120" t="s">
        <v>856</v>
      </c>
      <c r="O120">
        <v>1</v>
      </c>
      <c r="P120" t="s">
        <v>981</v>
      </c>
    </row>
    <row r="121" spans="1:16">
      <c r="A121" s="26" t="s">
        <v>135</v>
      </c>
      <c r="B121" s="27"/>
      <c r="C121" s="26"/>
      <c r="D121" s="27"/>
      <c r="E121" s="26"/>
      <c r="F121" s="26">
        <v>1</v>
      </c>
      <c r="G121" s="26" t="s">
        <v>36</v>
      </c>
      <c r="H121" s="26" t="s">
        <v>13</v>
      </c>
      <c r="J121" t="s">
        <v>809</v>
      </c>
      <c r="K121" t="s">
        <v>994</v>
      </c>
      <c r="L121" t="s">
        <v>856</v>
      </c>
      <c r="O121">
        <v>2</v>
      </c>
      <c r="P121" t="s">
        <v>981</v>
      </c>
    </row>
    <row r="122" spans="1:16">
      <c r="A122" s="29" t="s">
        <v>152</v>
      </c>
      <c r="B122" s="27" t="s">
        <v>1079</v>
      </c>
      <c r="C122" s="26"/>
      <c r="D122" s="26"/>
      <c r="E122" s="26"/>
      <c r="F122" s="26">
        <v>2</v>
      </c>
      <c r="G122" s="26" t="s">
        <v>36</v>
      </c>
      <c r="H122" s="26" t="s">
        <v>13</v>
      </c>
      <c r="J122" t="s">
        <v>809</v>
      </c>
      <c r="K122" t="s">
        <v>997</v>
      </c>
      <c r="L122" t="s">
        <v>856</v>
      </c>
      <c r="O122">
        <v>1</v>
      </c>
      <c r="P122" t="s">
        <v>996</v>
      </c>
    </row>
    <row r="123" spans="1:16">
      <c r="A123" s="29" t="s">
        <v>152</v>
      </c>
      <c r="B123" s="35" t="s">
        <v>1080</v>
      </c>
      <c r="C123" s="26"/>
      <c r="D123" s="26"/>
      <c r="E123" s="26"/>
      <c r="F123" s="26">
        <v>2</v>
      </c>
      <c r="G123" s="26" t="s">
        <v>36</v>
      </c>
      <c r="H123" s="26" t="s">
        <v>13</v>
      </c>
      <c r="J123" t="s">
        <v>860</v>
      </c>
      <c r="K123" t="s">
        <v>998</v>
      </c>
      <c r="O123">
        <v>2</v>
      </c>
      <c r="P123" t="s">
        <v>996</v>
      </c>
    </row>
    <row r="124" spans="1:16">
      <c r="A124" s="26" t="s">
        <v>697</v>
      </c>
      <c r="B124" s="27"/>
      <c r="C124" s="26"/>
      <c r="D124" s="26"/>
      <c r="E124" s="26"/>
      <c r="F124" s="26">
        <v>1</v>
      </c>
      <c r="G124" s="26" t="s">
        <v>36</v>
      </c>
      <c r="H124" s="26" t="s">
        <v>13</v>
      </c>
      <c r="J124" t="s">
        <v>860</v>
      </c>
      <c r="K124" t="s">
        <v>999</v>
      </c>
      <c r="O124">
        <v>1</v>
      </c>
      <c r="P124" t="s">
        <v>996</v>
      </c>
    </row>
    <row r="125" spans="1:16">
      <c r="A125" s="26" t="s">
        <v>88</v>
      </c>
      <c r="B125" s="27" t="s">
        <v>495</v>
      </c>
      <c r="C125" s="26"/>
      <c r="D125" s="26"/>
      <c r="E125" s="26"/>
      <c r="F125" s="26">
        <v>1</v>
      </c>
      <c r="G125" s="26" t="s">
        <v>36</v>
      </c>
      <c r="H125" s="26" t="s">
        <v>13</v>
      </c>
      <c r="J125" t="s">
        <v>814</v>
      </c>
      <c r="K125" t="s">
        <v>1000</v>
      </c>
      <c r="L125" t="s">
        <v>859</v>
      </c>
      <c r="O125">
        <v>1</v>
      </c>
      <c r="P125" t="s">
        <v>996</v>
      </c>
    </row>
    <row r="126" spans="1:16">
      <c r="A126" s="26" t="s">
        <v>88</v>
      </c>
      <c r="B126" s="27" t="s">
        <v>478</v>
      </c>
      <c r="C126" s="26"/>
      <c r="D126" s="26"/>
      <c r="E126" s="26"/>
      <c r="F126" s="26">
        <v>1</v>
      </c>
      <c r="G126" s="26" t="s">
        <v>36</v>
      </c>
      <c r="H126" s="26" t="s">
        <v>13</v>
      </c>
      <c r="J126" t="s">
        <v>814</v>
      </c>
      <c r="K126" t="s">
        <v>1001</v>
      </c>
      <c r="L126" t="s">
        <v>859</v>
      </c>
      <c r="O126">
        <v>1</v>
      </c>
      <c r="P126" t="s">
        <v>996</v>
      </c>
    </row>
    <row r="127" spans="1:16">
      <c r="A127" s="26" t="s">
        <v>785</v>
      </c>
      <c r="B127" s="27"/>
      <c r="C127" s="27"/>
      <c r="D127" s="26"/>
      <c r="E127" s="26"/>
      <c r="F127" s="26">
        <v>1</v>
      </c>
      <c r="G127" s="26" t="s">
        <v>36</v>
      </c>
      <c r="H127" s="26" t="s">
        <v>13</v>
      </c>
      <c r="J127" t="s">
        <v>812</v>
      </c>
      <c r="K127" t="s">
        <v>1002</v>
      </c>
      <c r="O127">
        <v>5</v>
      </c>
      <c r="P127" t="s">
        <v>996</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809</v>
      </c>
      <c r="K128" t="s">
        <v>1004</v>
      </c>
      <c r="L128" t="s">
        <v>856</v>
      </c>
      <c r="O128">
        <v>1</v>
      </c>
      <c r="P128" t="s">
        <v>1003</v>
      </c>
    </row>
    <row r="129" spans="1:16">
      <c r="A129" s="29" t="s">
        <v>107</v>
      </c>
      <c r="B129" s="37" t="s">
        <v>1086</v>
      </c>
      <c r="C129" s="29" t="s">
        <v>125</v>
      </c>
      <c r="D129" s="29"/>
      <c r="E129" s="29"/>
      <c r="F129" s="29">
        <v>1</v>
      </c>
      <c r="G129" s="28" t="s">
        <v>6</v>
      </c>
      <c r="H129" s="28">
        <v>3</v>
      </c>
      <c r="J129" t="s">
        <v>287</v>
      </c>
      <c r="K129" t="s">
        <v>1005</v>
      </c>
      <c r="M129" t="s">
        <v>1007</v>
      </c>
      <c r="O129">
        <v>1</v>
      </c>
      <c r="P129" t="s">
        <v>1003</v>
      </c>
    </row>
    <row r="130" spans="1:16">
      <c r="A130" s="29" t="s">
        <v>188</v>
      </c>
      <c r="B130" s="37"/>
      <c r="C130" s="29"/>
      <c r="D130" s="29"/>
      <c r="E130" s="29"/>
      <c r="F130" s="29">
        <v>1</v>
      </c>
      <c r="G130" s="28" t="s">
        <v>9</v>
      </c>
      <c r="H130" s="28">
        <v>1</v>
      </c>
      <c r="J130" t="s">
        <v>287</v>
      </c>
      <c r="K130" t="s">
        <v>1006</v>
      </c>
      <c r="M130" t="s">
        <v>289</v>
      </c>
      <c r="O130">
        <v>1</v>
      </c>
      <c r="P130" t="s">
        <v>1003</v>
      </c>
    </row>
    <row r="131" spans="1:16">
      <c r="A131" s="29" t="s">
        <v>1088</v>
      </c>
      <c r="B131" s="37" t="s">
        <v>1088</v>
      </c>
      <c r="C131" s="29"/>
      <c r="D131" s="29"/>
      <c r="E131" s="29"/>
      <c r="F131" s="29">
        <v>1</v>
      </c>
      <c r="G131" s="28" t="s">
        <v>9</v>
      </c>
      <c r="H131" s="28">
        <v>1</v>
      </c>
      <c r="J131" t="s">
        <v>809</v>
      </c>
      <c r="K131" t="s">
        <v>1009</v>
      </c>
      <c r="L131" t="s">
        <v>856</v>
      </c>
      <c r="O131">
        <v>1</v>
      </c>
      <c r="P131" t="s">
        <v>1008</v>
      </c>
    </row>
    <row r="132" spans="1:16">
      <c r="A132" s="29" t="s">
        <v>216</v>
      </c>
      <c r="B132" s="37" t="s">
        <v>1089</v>
      </c>
      <c r="C132" s="29"/>
      <c r="D132" s="29"/>
      <c r="E132" s="29"/>
      <c r="F132" s="29">
        <v>1</v>
      </c>
      <c r="G132" s="28" t="s">
        <v>9</v>
      </c>
      <c r="H132" s="28">
        <v>1</v>
      </c>
      <c r="J132" t="s">
        <v>287</v>
      </c>
      <c r="K132" t="s">
        <v>1011</v>
      </c>
      <c r="O132">
        <v>1</v>
      </c>
      <c r="P132" t="s">
        <v>1010</v>
      </c>
    </row>
    <row r="133" spans="1:16">
      <c r="A133" s="29" t="s">
        <v>216</v>
      </c>
      <c r="B133" s="37" t="s">
        <v>1090</v>
      </c>
      <c r="C133" s="29"/>
      <c r="D133" s="29"/>
      <c r="E133" s="29"/>
      <c r="F133" s="29">
        <v>1</v>
      </c>
      <c r="G133" s="28" t="s">
        <v>9</v>
      </c>
      <c r="H133" s="28">
        <v>1</v>
      </c>
      <c r="J133" t="s">
        <v>857</v>
      </c>
      <c r="K133" t="s">
        <v>1012</v>
      </c>
      <c r="O133">
        <v>2</v>
      </c>
      <c r="P133" t="s">
        <v>1010</v>
      </c>
    </row>
    <row r="134" spans="1:16">
      <c r="A134" s="29" t="s">
        <v>216</v>
      </c>
      <c r="B134" s="37" t="s">
        <v>1091</v>
      </c>
      <c r="C134" s="29"/>
      <c r="D134" s="29"/>
      <c r="E134" s="29"/>
      <c r="F134" s="29">
        <v>1</v>
      </c>
      <c r="G134" s="28" t="s">
        <v>9</v>
      </c>
      <c r="H134" s="28">
        <v>1</v>
      </c>
      <c r="J134" t="s">
        <v>809</v>
      </c>
      <c r="K134" t="s">
        <v>1013</v>
      </c>
      <c r="L134" t="s">
        <v>856</v>
      </c>
      <c r="O134">
        <v>1</v>
      </c>
      <c r="P134" t="s">
        <v>1010</v>
      </c>
    </row>
    <row r="135" spans="1:16" ht="30">
      <c r="A135" s="28" t="s">
        <v>363</v>
      </c>
      <c r="B135" s="31" t="str">
        <f>bolso("Cajon material de altura 1",Table69[])</f>
        <v xml:space="preserve">Cajon material de altura 1 Contiene:  Sistema anti-caidas x3,  arnes x1, </v>
      </c>
      <c r="C135" s="28"/>
      <c r="D135" s="28"/>
      <c r="E135" s="28"/>
      <c r="F135" s="28">
        <v>1</v>
      </c>
      <c r="G135" s="28" t="s">
        <v>10</v>
      </c>
      <c r="H135" s="28">
        <v>1</v>
      </c>
      <c r="J135" t="s">
        <v>809</v>
      </c>
      <c r="K135" t="s">
        <v>1014</v>
      </c>
      <c r="L135" t="s">
        <v>856</v>
      </c>
      <c r="O135">
        <v>1</v>
      </c>
      <c r="P135" t="s">
        <v>1010</v>
      </c>
    </row>
    <row r="136" spans="1:16">
      <c r="A136" s="29" t="s">
        <v>1102</v>
      </c>
      <c r="B136" s="37" t="s">
        <v>1103</v>
      </c>
      <c r="C136" s="29"/>
      <c r="D136" s="29"/>
      <c r="E136" s="29"/>
      <c r="F136" s="29">
        <v>1</v>
      </c>
      <c r="G136" s="28" t="s">
        <v>7</v>
      </c>
      <c r="H136" s="28">
        <v>1</v>
      </c>
      <c r="J136" t="s">
        <v>851</v>
      </c>
      <c r="K136" t="s">
        <v>1037</v>
      </c>
      <c r="M136" t="s">
        <v>1038</v>
      </c>
      <c r="O136">
        <v>1</v>
      </c>
      <c r="P136" t="s">
        <v>933</v>
      </c>
    </row>
    <row r="137" spans="1:16">
      <c r="A137" s="6"/>
      <c r="B137" s="7"/>
      <c r="C137" s="6"/>
      <c r="D137" s="6"/>
      <c r="E137" s="6"/>
      <c r="F137" s="6"/>
      <c r="G137" s="6"/>
      <c r="H137" s="6"/>
      <c r="J137" t="s">
        <v>860</v>
      </c>
      <c r="K137" t="s">
        <v>1039</v>
      </c>
      <c r="O137">
        <v>1</v>
      </c>
      <c r="P137" t="s">
        <v>933</v>
      </c>
    </row>
    <row r="138" spans="1:16">
      <c r="A138" s="6"/>
      <c r="B138" s="7"/>
      <c r="C138" s="6"/>
      <c r="D138" s="6"/>
      <c r="E138" s="6"/>
      <c r="F138" s="6"/>
      <c r="G138" s="6"/>
      <c r="H138" s="6"/>
      <c r="J138" s="30" t="s">
        <v>90</v>
      </c>
      <c r="K138" t="s">
        <v>345</v>
      </c>
      <c r="L138" s="30"/>
      <c r="M138" s="30"/>
      <c r="N138" s="30"/>
      <c r="O138" s="30">
        <v>1</v>
      </c>
      <c r="P138" t="s">
        <v>347</v>
      </c>
    </row>
    <row r="139" spans="1:16">
      <c r="A139" s="6"/>
      <c r="B139" s="7"/>
      <c r="C139" s="6"/>
      <c r="D139" s="6"/>
      <c r="E139" s="6"/>
      <c r="F139" s="6"/>
      <c r="G139" s="6"/>
      <c r="H139" s="6"/>
      <c r="J139" s="30" t="s">
        <v>152</v>
      </c>
      <c r="K139" s="30" t="s">
        <v>1053</v>
      </c>
      <c r="L139" s="30"/>
      <c r="M139" s="30"/>
      <c r="N139" s="30"/>
      <c r="O139" s="30">
        <v>1</v>
      </c>
      <c r="P139" s="30" t="s">
        <v>29</v>
      </c>
    </row>
    <row r="140" spans="1:16">
      <c r="A140" s="6"/>
      <c r="B140" s="7"/>
      <c r="C140" s="6"/>
      <c r="D140" s="6"/>
      <c r="E140" s="6"/>
      <c r="F140" s="6"/>
      <c r="G140" s="6"/>
      <c r="H140" s="6"/>
      <c r="J140" s="30" t="s">
        <v>628</v>
      </c>
      <c r="K140" s="30" t="s">
        <v>1057</v>
      </c>
      <c r="L140" s="30"/>
      <c r="M140" s="30"/>
      <c r="N140" s="30"/>
      <c r="O140" s="30">
        <v>2</v>
      </c>
      <c r="P140" s="30" t="s">
        <v>398</v>
      </c>
    </row>
    <row r="141" spans="1:16">
      <c r="A141" s="6"/>
      <c r="B141" s="7"/>
      <c r="C141" s="6"/>
      <c r="D141" s="6"/>
      <c r="E141" s="6"/>
      <c r="F141" s="6"/>
      <c r="G141" s="6"/>
      <c r="H141" s="6"/>
      <c r="J141" s="30" t="s">
        <v>136</v>
      </c>
      <c r="K141" s="30" t="s">
        <v>192</v>
      </c>
      <c r="L141" s="30"/>
      <c r="M141" s="30"/>
      <c r="N141" s="30"/>
      <c r="O141" s="30">
        <v>1</v>
      </c>
      <c r="P141" s="30" t="s">
        <v>398</v>
      </c>
    </row>
    <row r="142" spans="1:16">
      <c r="A142" s="6"/>
      <c r="B142" s="7"/>
      <c r="C142" s="6"/>
      <c r="D142" s="6"/>
      <c r="E142" s="6"/>
      <c r="F142" s="6"/>
      <c r="G142" s="6"/>
      <c r="H142" s="6"/>
      <c r="J142" s="30" t="s">
        <v>628</v>
      </c>
      <c r="K142" s="30" t="s">
        <v>1059</v>
      </c>
      <c r="L142" s="30"/>
      <c r="M142" s="30"/>
      <c r="N142" s="30"/>
      <c r="O142" s="30">
        <v>4</v>
      </c>
      <c r="P142" s="30" t="s">
        <v>1058</v>
      </c>
    </row>
    <row r="143" spans="1:16">
      <c r="A143" s="6"/>
      <c r="B143" s="7"/>
      <c r="C143" s="6"/>
      <c r="D143" s="6"/>
      <c r="E143" s="6"/>
      <c r="F143" s="6"/>
      <c r="G143" s="6"/>
      <c r="H143" s="6"/>
      <c r="J143" s="30" t="s">
        <v>561</v>
      </c>
      <c r="K143" s="30" t="s">
        <v>1061</v>
      </c>
      <c r="L143" s="30"/>
      <c r="M143" s="30"/>
      <c r="N143" s="30"/>
      <c r="O143" s="30">
        <v>7</v>
      </c>
      <c r="P143" s="30" t="s">
        <v>1060</v>
      </c>
    </row>
    <row r="144" spans="1:16">
      <c r="A144" s="6"/>
      <c r="B144" s="7"/>
      <c r="C144" s="6"/>
      <c r="D144" s="6"/>
      <c r="E144" s="6"/>
      <c r="F144" s="6"/>
      <c r="G144" s="6"/>
      <c r="H144" s="6"/>
      <c r="J144" s="30" t="s">
        <v>561</v>
      </c>
      <c r="K144" s="30" t="s">
        <v>1062</v>
      </c>
      <c r="L144" s="30"/>
      <c r="M144" s="30"/>
      <c r="N144" s="30"/>
      <c r="O144" s="30">
        <v>7</v>
      </c>
      <c r="P144" s="30" t="s">
        <v>1060</v>
      </c>
    </row>
    <row r="145" spans="1:16">
      <c r="A145" s="6"/>
      <c r="B145" s="7"/>
      <c r="C145" s="6"/>
      <c r="D145" s="6"/>
      <c r="E145" s="6"/>
      <c r="F145" s="6"/>
      <c r="G145" s="6"/>
      <c r="H145" s="6"/>
      <c r="J145" s="30" t="s">
        <v>561</v>
      </c>
      <c r="K145" s="30" t="s">
        <v>1063</v>
      </c>
      <c r="L145" s="30"/>
      <c r="M145" s="30"/>
      <c r="N145" s="30"/>
      <c r="O145" s="30">
        <v>10</v>
      </c>
      <c r="P145" s="30" t="s">
        <v>1060</v>
      </c>
    </row>
    <row r="146" spans="1:16">
      <c r="A146" s="6"/>
      <c r="B146" s="7"/>
      <c r="C146" s="6"/>
      <c r="D146" s="6"/>
      <c r="E146" s="6"/>
      <c r="F146" s="6"/>
      <c r="G146" s="6"/>
      <c r="H146" s="6"/>
      <c r="J146" s="30" t="s">
        <v>152</v>
      </c>
      <c r="K146" s="30" t="s">
        <v>1064</v>
      </c>
      <c r="L146" s="30"/>
      <c r="M146" s="30"/>
      <c r="N146" s="30"/>
      <c r="O146" s="30">
        <v>1</v>
      </c>
      <c r="P146" s="30" t="s">
        <v>1060</v>
      </c>
    </row>
    <row r="147" spans="1:16">
      <c r="A147" s="6"/>
      <c r="B147" s="7"/>
      <c r="C147" s="6"/>
      <c r="D147" s="6"/>
      <c r="E147" s="6"/>
      <c r="F147" s="6"/>
      <c r="G147" s="6"/>
      <c r="H147" s="6"/>
      <c r="J147" s="30" t="s">
        <v>628</v>
      </c>
      <c r="K147" s="30" t="s">
        <v>1066</v>
      </c>
      <c r="L147" s="30"/>
      <c r="M147" s="30"/>
      <c r="N147" s="30"/>
      <c r="O147" s="30">
        <v>2</v>
      </c>
      <c r="P147" s="30" t="s">
        <v>1065</v>
      </c>
    </row>
    <row r="148" spans="1:16">
      <c r="B148" s="36"/>
      <c r="J148" s="30" t="s">
        <v>619</v>
      </c>
      <c r="K148" s="30" t="s">
        <v>1069</v>
      </c>
      <c r="L148" s="30"/>
      <c r="M148" s="30"/>
      <c r="N148" s="30"/>
      <c r="O148" s="30">
        <v>4</v>
      </c>
      <c r="P148" s="30" t="s">
        <v>1067</v>
      </c>
    </row>
    <row r="149" spans="1:16">
      <c r="J149" s="30" t="s">
        <v>619</v>
      </c>
      <c r="K149" s="30" t="s">
        <v>1068</v>
      </c>
      <c r="L149" s="30"/>
      <c r="M149" s="30"/>
      <c r="N149" s="30"/>
      <c r="O149" s="30">
        <v>1</v>
      </c>
      <c r="P149" s="30" t="s">
        <v>1067</v>
      </c>
    </row>
    <row r="150" spans="1:16">
      <c r="J150" s="30" t="s">
        <v>619</v>
      </c>
      <c r="K150" s="30" t="s">
        <v>1070</v>
      </c>
      <c r="L150" s="30"/>
      <c r="M150" s="30"/>
      <c r="N150" s="30"/>
      <c r="O150" s="30">
        <v>1</v>
      </c>
      <c r="P150" s="30" t="s">
        <v>1067</v>
      </c>
    </row>
    <row r="151" spans="1:16">
      <c r="J151" s="30" t="s">
        <v>1071</v>
      </c>
      <c r="K151" s="30" t="s">
        <v>1072</v>
      </c>
      <c r="L151" s="30"/>
      <c r="M151" s="30"/>
      <c r="N151" s="30"/>
      <c r="O151" s="30">
        <v>4</v>
      </c>
      <c r="P151" s="30" t="s">
        <v>1067</v>
      </c>
    </row>
    <row r="152" spans="1:16">
      <c r="J152" s="30" t="s">
        <v>1071</v>
      </c>
      <c r="K152" s="30" t="s">
        <v>1073</v>
      </c>
      <c r="L152" s="30"/>
      <c r="M152" s="30"/>
      <c r="N152" s="30"/>
      <c r="O152" s="30">
        <v>4</v>
      </c>
      <c r="P152" s="30" t="s">
        <v>1067</v>
      </c>
    </row>
    <row r="153" spans="1:16">
      <c r="J153" s="30" t="s">
        <v>782</v>
      </c>
      <c r="K153" s="30" t="s">
        <v>1082</v>
      </c>
      <c r="L153" s="30"/>
      <c r="M153" s="30"/>
      <c r="N153" s="30"/>
      <c r="O153" s="30">
        <v>1</v>
      </c>
      <c r="P153" s="30" t="s">
        <v>1081</v>
      </c>
    </row>
    <row r="154" spans="1:16">
      <c r="J154" s="30" t="s">
        <v>44</v>
      </c>
      <c r="K154" s="30" t="s">
        <v>1083</v>
      </c>
      <c r="L154" s="30" t="s">
        <v>67</v>
      </c>
      <c r="M154" s="30"/>
      <c r="N154" s="30"/>
      <c r="O154" s="30">
        <v>1</v>
      </c>
      <c r="P154" s="30" t="s">
        <v>1081</v>
      </c>
    </row>
    <row r="155" spans="1:16">
      <c r="J155" s="30" t="s">
        <v>782</v>
      </c>
      <c r="K155" s="30" t="s">
        <v>1084</v>
      </c>
      <c r="L155" s="30"/>
      <c r="M155" s="30"/>
      <c r="N155" s="30"/>
      <c r="O155" s="30">
        <v>1</v>
      </c>
      <c r="P155" s="30" t="s">
        <v>1081</v>
      </c>
    </row>
    <row r="156" spans="1:16">
      <c r="J156" s="30" t="s">
        <v>782</v>
      </c>
      <c r="K156" s="30" t="s">
        <v>1085</v>
      </c>
      <c r="L156" s="30"/>
      <c r="M156" s="30"/>
      <c r="N156" s="30"/>
      <c r="O156" s="30">
        <v>1</v>
      </c>
      <c r="P156" s="30" t="s">
        <v>1081</v>
      </c>
    </row>
    <row r="157" spans="1:16">
      <c r="J157" t="s">
        <v>860</v>
      </c>
      <c r="K157" s="38" t="s">
        <v>860</v>
      </c>
      <c r="O157">
        <v>3</v>
      </c>
      <c r="P157" t="s">
        <v>1094</v>
      </c>
    </row>
    <row r="158" spans="1:16">
      <c r="J158" t="s">
        <v>1095</v>
      </c>
      <c r="K158" s="38" t="s">
        <v>1095</v>
      </c>
      <c r="O158">
        <v>1</v>
      </c>
      <c r="P158" t="s">
        <v>1094</v>
      </c>
    </row>
    <row r="159" spans="1:16">
      <c r="J159" s="30" t="s">
        <v>620</v>
      </c>
      <c r="K159" s="30" t="s">
        <v>1092</v>
      </c>
      <c r="L159" s="30"/>
      <c r="M159" s="30"/>
      <c r="N159" s="30"/>
      <c r="O159" s="30">
        <v>2</v>
      </c>
      <c r="P159" t="s">
        <v>317</v>
      </c>
    </row>
    <row r="160" spans="1:16">
      <c r="J160" s="30" t="s">
        <v>620</v>
      </c>
      <c r="K160" s="30" t="s">
        <v>1093</v>
      </c>
      <c r="L160" s="30"/>
      <c r="M160" s="30"/>
      <c r="N160" s="30"/>
      <c r="O160" s="30">
        <v>2</v>
      </c>
      <c r="P160" t="s">
        <v>317</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235</v>
      </c>
      <c r="G1" s="4" t="s">
        <v>13</v>
      </c>
      <c r="H1" s="4" t="s">
        <v>227</v>
      </c>
    </row>
    <row r="2" spans="1:25">
      <c r="A2" t="s">
        <v>32</v>
      </c>
      <c r="B2" s="7"/>
      <c r="C2" t="s">
        <v>269</v>
      </c>
      <c r="D2" s="6"/>
      <c r="E2" s="6" t="s">
        <v>270</v>
      </c>
      <c r="F2" s="6">
        <v>1</v>
      </c>
      <c r="G2" s="6" t="s">
        <v>8</v>
      </c>
      <c r="H2" s="6">
        <v>1</v>
      </c>
    </row>
    <row r="3" spans="1:25">
      <c r="A3" s="6" t="s">
        <v>11</v>
      </c>
      <c r="B3" s="7"/>
      <c r="C3" t="s">
        <v>271</v>
      </c>
      <c r="D3" s="6"/>
      <c r="E3" s="6"/>
      <c r="F3" s="6">
        <v>5</v>
      </c>
      <c r="G3" s="6" t="s">
        <v>8</v>
      </c>
      <c r="H3" s="6">
        <v>1</v>
      </c>
      <c r="J3" t="s">
        <v>0</v>
      </c>
      <c r="K3" t="s">
        <v>16</v>
      </c>
      <c r="L3" t="s">
        <v>2</v>
      </c>
      <c r="M3" s="4" t="s">
        <v>3</v>
      </c>
      <c r="N3" s="4" t="s">
        <v>4</v>
      </c>
      <c r="O3" t="s">
        <v>18</v>
      </c>
      <c r="P3" t="s">
        <v>14</v>
      </c>
      <c r="R3" t="s">
        <v>28</v>
      </c>
      <c r="T3" s="46" t="s">
        <v>225</v>
      </c>
      <c r="U3" s="46"/>
      <c r="V3" s="46"/>
      <c r="W3" s="46"/>
      <c r="X3" s="46"/>
      <c r="Y3" s="46"/>
    </row>
    <row r="4" spans="1:25">
      <c r="A4" s="6" t="s">
        <v>169</v>
      </c>
      <c r="B4" s="7"/>
      <c r="C4" s="6" t="s">
        <v>272</v>
      </c>
      <c r="D4" s="6"/>
      <c r="E4" s="6"/>
      <c r="F4" s="6">
        <v>1</v>
      </c>
      <c r="G4" s="6" t="s">
        <v>273</v>
      </c>
      <c r="H4" s="6">
        <v>1</v>
      </c>
      <c r="T4" t="s">
        <v>8</v>
      </c>
      <c r="U4" t="s">
        <v>5</v>
      </c>
      <c r="V4" t="s">
        <v>273</v>
      </c>
      <c r="W4" t="s">
        <v>36</v>
      </c>
      <c r="X4" t="s">
        <v>7</v>
      </c>
    </row>
    <row r="5" spans="1:25">
      <c r="A5" s="6" t="s">
        <v>35</v>
      </c>
      <c r="B5" s="7" t="s">
        <v>274</v>
      </c>
      <c r="C5" s="6" t="s">
        <v>275</v>
      </c>
      <c r="D5" s="6"/>
      <c r="E5" s="6"/>
      <c r="F5" s="6">
        <v>1</v>
      </c>
      <c r="G5" s="6" t="s">
        <v>36</v>
      </c>
      <c r="H5" s="6">
        <v>1</v>
      </c>
      <c r="T5">
        <v>1</v>
      </c>
      <c r="U5">
        <v>1</v>
      </c>
      <c r="V5">
        <v>1</v>
      </c>
      <c r="W5">
        <v>1</v>
      </c>
      <c r="X5">
        <v>1</v>
      </c>
    </row>
    <row r="6" spans="1:25">
      <c r="A6" s="6" t="s">
        <v>40</v>
      </c>
      <c r="B6" s="7" t="s">
        <v>276</v>
      </c>
      <c r="C6" s="6" t="s">
        <v>41</v>
      </c>
      <c r="D6" s="6"/>
      <c r="E6" s="9"/>
      <c r="F6" s="6">
        <v>1</v>
      </c>
      <c r="G6" s="6" t="s">
        <v>36</v>
      </c>
      <c r="H6" s="6">
        <v>1</v>
      </c>
    </row>
    <row r="7" spans="1:25">
      <c r="A7" s="6" t="s">
        <v>135</v>
      </c>
      <c r="B7" s="7"/>
      <c r="C7" s="6"/>
      <c r="D7" s="6"/>
      <c r="E7" s="6"/>
      <c r="F7" s="6">
        <v>2</v>
      </c>
      <c r="G7" s="6" t="s">
        <v>36</v>
      </c>
      <c r="H7" s="6">
        <v>1</v>
      </c>
    </row>
    <row r="8" spans="1:25">
      <c r="A8" s="6" t="s">
        <v>32</v>
      </c>
      <c r="B8" s="7"/>
      <c r="C8" s="6" t="s">
        <v>52</v>
      </c>
      <c r="D8" s="6" t="s">
        <v>277</v>
      </c>
      <c r="E8" s="6"/>
      <c r="F8" s="6">
        <v>1</v>
      </c>
      <c r="G8" s="6" t="s">
        <v>5</v>
      </c>
      <c r="H8" s="6">
        <v>1</v>
      </c>
    </row>
    <row r="9" spans="1:25">
      <c r="A9" s="6" t="s">
        <v>11</v>
      </c>
      <c r="B9" s="7" t="s">
        <v>278</v>
      </c>
      <c r="C9" s="6" t="s">
        <v>120</v>
      </c>
      <c r="D9" s="6"/>
      <c r="E9" s="6"/>
      <c r="F9" s="6">
        <v>2</v>
      </c>
      <c r="G9" s="6" t="s">
        <v>5</v>
      </c>
      <c r="H9" s="6">
        <v>1</v>
      </c>
    </row>
    <row r="10" spans="1:25">
      <c r="A10" s="6" t="s">
        <v>32</v>
      </c>
      <c r="B10" s="7" t="s">
        <v>280</v>
      </c>
      <c r="C10" s="6" t="s">
        <v>52</v>
      </c>
      <c r="D10" s="6" t="s">
        <v>279</v>
      </c>
      <c r="E10" s="6"/>
      <c r="F10" s="6">
        <v>2</v>
      </c>
      <c r="G10" s="6" t="s">
        <v>7</v>
      </c>
      <c r="H10" s="6">
        <v>1</v>
      </c>
    </row>
    <row r="11" spans="1:25">
      <c r="A11" s="6" t="s">
        <v>152</v>
      </c>
      <c r="B11" s="7" t="s">
        <v>26</v>
      </c>
      <c r="C11" s="6"/>
      <c r="D11" s="6"/>
      <c r="E11" s="6"/>
      <c r="F11" s="6">
        <v>1</v>
      </c>
      <c r="G11" s="6" t="s">
        <v>7</v>
      </c>
      <c r="H11" s="6">
        <v>1</v>
      </c>
    </row>
    <row r="12" spans="1:25">
      <c r="A12" s="6" t="s">
        <v>206</v>
      </c>
      <c r="B12" s="7" t="s">
        <v>281</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283</v>
      </c>
      <c r="C15" s="6" t="s">
        <v>282</v>
      </c>
      <c r="D15" s="6"/>
      <c r="E15" s="6"/>
      <c r="F15" s="6">
        <v>1</v>
      </c>
      <c r="G15" s="6" t="s">
        <v>7</v>
      </c>
      <c r="H15" s="6">
        <v>1</v>
      </c>
    </row>
    <row r="16" spans="1:25">
      <c r="A16" s="6" t="s">
        <v>43</v>
      </c>
      <c r="B16" s="7" t="s">
        <v>242</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3" sqref="B13"/>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235</v>
      </c>
      <c r="G1" s="4" t="s">
        <v>13</v>
      </c>
      <c r="H1" s="4" t="s">
        <v>227</v>
      </c>
    </row>
    <row r="2" spans="1:25">
      <c r="A2" t="s">
        <v>152</v>
      </c>
      <c r="B2" s="7" t="s">
        <v>521</v>
      </c>
      <c r="D2" s="6"/>
      <c r="E2" s="6"/>
      <c r="F2" s="6">
        <v>3</v>
      </c>
      <c r="G2" s="6" t="s">
        <v>8</v>
      </c>
      <c r="H2" s="6">
        <v>1</v>
      </c>
    </row>
    <row r="3" spans="1:25">
      <c r="A3" s="6" t="s">
        <v>44</v>
      </c>
      <c r="B3" s="7"/>
      <c r="C3" s="6" t="s">
        <v>67</v>
      </c>
      <c r="D3" s="6"/>
      <c r="E3" s="6"/>
      <c r="F3" s="6">
        <v>3</v>
      </c>
      <c r="G3" s="6" t="s">
        <v>8</v>
      </c>
      <c r="H3" s="6">
        <v>1</v>
      </c>
      <c r="J3" t="s">
        <v>0</v>
      </c>
      <c r="K3" t="s">
        <v>16</v>
      </c>
      <c r="L3" t="s">
        <v>2</v>
      </c>
      <c r="M3" s="4" t="s">
        <v>3</v>
      </c>
      <c r="N3" s="4" t="s">
        <v>4</v>
      </c>
      <c r="O3" t="s">
        <v>18</v>
      </c>
      <c r="P3" t="s">
        <v>14</v>
      </c>
      <c r="R3" t="s">
        <v>28</v>
      </c>
      <c r="T3" s="46" t="s">
        <v>225</v>
      </c>
      <c r="U3" s="46"/>
      <c r="V3" s="46"/>
      <c r="W3" s="46"/>
      <c r="X3" s="46"/>
      <c r="Y3" s="46"/>
    </row>
    <row r="4" spans="1:25">
      <c r="A4" s="6" t="s">
        <v>32</v>
      </c>
      <c r="B4" s="7" t="s">
        <v>601</v>
      </c>
      <c r="C4" s="6" t="s">
        <v>52</v>
      </c>
      <c r="D4" s="6"/>
      <c r="E4" s="6"/>
      <c r="F4" s="6">
        <v>3</v>
      </c>
      <c r="G4" s="6" t="s">
        <v>8</v>
      </c>
      <c r="H4" s="6">
        <v>1</v>
      </c>
      <c r="T4" t="s">
        <v>8</v>
      </c>
      <c r="U4" t="s">
        <v>5</v>
      </c>
      <c r="V4" t="s">
        <v>7</v>
      </c>
    </row>
    <row r="5" spans="1:25">
      <c r="A5" s="6" t="s">
        <v>32</v>
      </c>
      <c r="B5" s="7" t="s">
        <v>280</v>
      </c>
      <c r="C5" s="6" t="s">
        <v>33</v>
      </c>
      <c r="D5" s="6" t="s">
        <v>279</v>
      </c>
      <c r="E5" s="9"/>
      <c r="F5" s="6">
        <v>1</v>
      </c>
      <c r="G5" s="6" t="s">
        <v>8</v>
      </c>
      <c r="H5" s="6">
        <v>1</v>
      </c>
      <c r="T5">
        <v>1</v>
      </c>
      <c r="U5">
        <v>1</v>
      </c>
      <c r="V5">
        <v>1</v>
      </c>
    </row>
    <row r="6" spans="1:25">
      <c r="A6" s="6" t="s">
        <v>32</v>
      </c>
      <c r="B6" s="7" t="s">
        <v>602</v>
      </c>
      <c r="C6" s="6" t="s">
        <v>52</v>
      </c>
      <c r="D6" s="6"/>
      <c r="E6" s="6"/>
      <c r="F6" s="6">
        <v>1</v>
      </c>
      <c r="G6" s="6" t="s">
        <v>8</v>
      </c>
      <c r="H6" s="6">
        <v>1</v>
      </c>
    </row>
    <row r="7" spans="1:25">
      <c r="A7" s="6" t="s">
        <v>32</v>
      </c>
      <c r="B7" s="7" t="s">
        <v>603</v>
      </c>
      <c r="C7" s="6" t="s">
        <v>33</v>
      </c>
      <c r="D7" s="6"/>
      <c r="E7" s="6"/>
      <c r="F7" s="6">
        <v>1</v>
      </c>
      <c r="G7" s="6" t="s">
        <v>8</v>
      </c>
      <c r="H7" s="6">
        <v>1</v>
      </c>
    </row>
    <row r="8" spans="1:25">
      <c r="A8" s="6" t="s">
        <v>11</v>
      </c>
      <c r="B8" s="7"/>
      <c r="C8" s="6" t="s">
        <v>120</v>
      </c>
      <c r="D8" s="6"/>
      <c r="E8" s="6"/>
      <c r="F8" s="6">
        <v>3</v>
      </c>
      <c r="G8" s="6" t="s">
        <v>5</v>
      </c>
      <c r="H8" s="6">
        <v>1</v>
      </c>
    </row>
    <row r="9" spans="1:25">
      <c r="A9" s="26" t="s">
        <v>43</v>
      </c>
      <c r="B9" s="27"/>
      <c r="C9" s="26" t="s">
        <v>65</v>
      </c>
      <c r="D9" s="26"/>
      <c r="E9" s="26"/>
      <c r="F9" s="26">
        <v>1</v>
      </c>
      <c r="G9" s="6" t="s">
        <v>8</v>
      </c>
      <c r="H9" s="26">
        <v>1</v>
      </c>
    </row>
    <row r="10" spans="1:25">
      <c r="A10" s="26" t="s">
        <v>11</v>
      </c>
      <c r="B10" s="27"/>
      <c r="C10" s="26" t="s">
        <v>120</v>
      </c>
      <c r="D10" s="26"/>
      <c r="E10" s="26"/>
      <c r="F10" s="26">
        <v>1</v>
      </c>
      <c r="G10" s="26" t="s">
        <v>7</v>
      </c>
      <c r="H10" s="26">
        <v>1</v>
      </c>
    </row>
    <row r="11" spans="1:25">
      <c r="A11" s="26" t="s">
        <v>187</v>
      </c>
      <c r="B11" s="27"/>
      <c r="C11" s="26"/>
      <c r="D11" s="26"/>
      <c r="E11" s="26"/>
      <c r="F11" s="26">
        <v>2</v>
      </c>
      <c r="G11" s="26" t="s">
        <v>7</v>
      </c>
      <c r="H11" s="26">
        <v>1</v>
      </c>
    </row>
    <row r="12" spans="1:25">
      <c r="A12" s="6"/>
      <c r="B12" s="7"/>
      <c r="C12" s="6"/>
      <c r="D12" s="6"/>
      <c r="E12" s="6"/>
      <c r="F12" s="6"/>
      <c r="G12" s="6"/>
      <c r="H12" s="6"/>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9">
      <formula1>Configuracion!$J$2:$J$7</formula1>
    </dataValidation>
    <dataValidation type="list" allowBlank="1" showInputMessage="1" showErrorMessage="1" sqref="C5">
      <formula1>Configuracion!$G$2:$G$8</formula1>
    </dataValidation>
    <dataValidation type="list" allowBlank="1" showInputMessage="1" showErrorMessage="1" sqref="C6 C4">
      <formula1>Configuracion!$G$2:$G$9</formula1>
    </dataValidation>
    <dataValidation type="list" allowBlank="1" showInputMessage="1" showErrorMessage="1" sqref="C10">
      <formula1>Configuracion!$F$2:$F$17</formula1>
    </dataValidation>
    <dataValidation type="list" allowBlank="1" showInputMessage="1" showErrorMessage="1" sqref="C1">
      <formula1>Medidas</formula1>
    </dataValidation>
    <dataValidation type="list" allowBlank="1" showInputMessage="1" showErrorMessage="1" sqref="J4 A13:A1048576 A1:A11">
      <formula1>categorias</formula1>
    </dataValidation>
    <dataValidation type="list" allowBlank="1" showInputMessage="1" showErrorMessage="1" sqref="G1:G11 G13:G1048576">
      <formula1>CajonerasM39</formula1>
    </dataValidation>
    <dataValidation type="list" allowBlank="1" showInputMessage="1" showErrorMessage="1" sqref="H1:H11 H13:H1048576">
      <formula1>INDEX(CompartimientosM39,0,MATCH(OFFSET(INDIRECT(ADDRESS(ROW(), COLUMN())),0,-1),CajonerasM39,0))</formula1>
    </dataValidation>
    <dataValidation type="list" allowBlank="1" showInputMessage="1" showErrorMessage="1" sqref="P31:P1048576 P5:P8 P1:P2 P18:P19 P13:P14">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8"/>
  <sheetViews>
    <sheetView workbookViewId="0">
      <selection activeCell="B7" sqref="B7"/>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235</v>
      </c>
      <c r="G1" s="4" t="s">
        <v>13</v>
      </c>
      <c r="H1" s="4" t="s">
        <v>227</v>
      </c>
    </row>
    <row r="2" spans="1:28" ht="45">
      <c r="A2" t="s">
        <v>252</v>
      </c>
      <c r="B2" s="7" t="s">
        <v>286</v>
      </c>
      <c r="D2" s="6"/>
      <c r="E2" s="6"/>
      <c r="F2" s="6">
        <v>4</v>
      </c>
      <c r="G2" s="6" t="s">
        <v>8</v>
      </c>
      <c r="H2" s="6">
        <v>1</v>
      </c>
    </row>
    <row r="3" spans="1:28">
      <c r="A3" s="6" t="s">
        <v>287</v>
      </c>
      <c r="B3" s="7" t="s">
        <v>1121</v>
      </c>
      <c r="C3" s="6"/>
      <c r="D3" s="6" t="s">
        <v>289</v>
      </c>
      <c r="E3" s="6"/>
      <c r="F3" s="6">
        <v>2</v>
      </c>
      <c r="G3" s="6" t="s">
        <v>6</v>
      </c>
      <c r="H3" s="6">
        <v>1</v>
      </c>
      <c r="J3" t="s">
        <v>0</v>
      </c>
      <c r="K3" t="s">
        <v>16</v>
      </c>
      <c r="L3" t="s">
        <v>2</v>
      </c>
      <c r="M3" s="4" t="s">
        <v>3</v>
      </c>
      <c r="N3" s="4" t="s">
        <v>4</v>
      </c>
      <c r="O3" t="s">
        <v>18</v>
      </c>
      <c r="P3" t="s">
        <v>14</v>
      </c>
      <c r="R3" t="s">
        <v>28</v>
      </c>
      <c r="T3" s="46" t="s">
        <v>225</v>
      </c>
      <c r="U3" s="46"/>
      <c r="V3" s="46"/>
      <c r="W3" s="46"/>
      <c r="X3" s="46"/>
      <c r="Y3" s="46"/>
    </row>
    <row r="4" spans="1:28">
      <c r="A4" s="6" t="s">
        <v>287</v>
      </c>
      <c r="B4" s="7" t="s">
        <v>1122</v>
      </c>
      <c r="C4" s="6"/>
      <c r="D4" s="6" t="s">
        <v>288</v>
      </c>
      <c r="E4" s="6"/>
      <c r="F4" s="6">
        <v>1</v>
      </c>
      <c r="G4" s="6" t="s">
        <v>6</v>
      </c>
      <c r="H4" s="6">
        <v>1</v>
      </c>
      <c r="J4" t="s">
        <v>855</v>
      </c>
      <c r="K4" t="s">
        <v>1118</v>
      </c>
      <c r="L4" t="s">
        <v>741</v>
      </c>
      <c r="M4" t="s">
        <v>1109</v>
      </c>
      <c r="O4">
        <v>1</v>
      </c>
      <c r="P4" t="s">
        <v>1015</v>
      </c>
      <c r="R4" t="s">
        <v>1015</v>
      </c>
      <c r="T4" t="s">
        <v>8</v>
      </c>
      <c r="U4" t="s">
        <v>5</v>
      </c>
      <c r="V4" t="s">
        <v>6</v>
      </c>
      <c r="W4" t="s">
        <v>9</v>
      </c>
      <c r="X4" t="s">
        <v>10</v>
      </c>
      <c r="Y4" t="s">
        <v>251</v>
      </c>
      <c r="Z4" t="s">
        <v>284</v>
      </c>
      <c r="AA4" t="s">
        <v>285</v>
      </c>
      <c r="AB4" t="s">
        <v>7</v>
      </c>
    </row>
    <row r="5" spans="1:28">
      <c r="A5" s="6" t="s">
        <v>11</v>
      </c>
      <c r="B5" s="7" t="s">
        <v>291</v>
      </c>
      <c r="C5" s="6" t="s">
        <v>120</v>
      </c>
      <c r="D5" s="6"/>
      <c r="E5" s="6"/>
      <c r="F5" s="6">
        <v>4</v>
      </c>
      <c r="G5" s="6" t="s">
        <v>9</v>
      </c>
      <c r="H5" s="6">
        <v>1</v>
      </c>
      <c r="J5" t="s">
        <v>287</v>
      </c>
      <c r="K5" t="s">
        <v>1117</v>
      </c>
      <c r="O5">
        <v>1</v>
      </c>
      <c r="P5" t="s">
        <v>1016</v>
      </c>
      <c r="R5" t="s">
        <v>1016</v>
      </c>
      <c r="T5">
        <v>1</v>
      </c>
      <c r="U5">
        <v>1</v>
      </c>
      <c r="V5">
        <v>1</v>
      </c>
      <c r="W5">
        <v>1</v>
      </c>
      <c r="X5">
        <v>1</v>
      </c>
      <c r="Y5">
        <v>1</v>
      </c>
      <c r="Z5">
        <v>1</v>
      </c>
      <c r="AA5">
        <v>1</v>
      </c>
      <c r="AB5">
        <v>1</v>
      </c>
    </row>
    <row r="6" spans="1:28">
      <c r="A6" s="6" t="s">
        <v>11</v>
      </c>
      <c r="B6" s="7" t="s">
        <v>1119</v>
      </c>
      <c r="C6" s="6" t="s">
        <v>118</v>
      </c>
      <c r="D6" s="6"/>
      <c r="E6" s="6"/>
      <c r="F6" s="6">
        <v>1</v>
      </c>
      <c r="G6" s="6" t="s">
        <v>9</v>
      </c>
      <c r="H6" s="6">
        <v>1</v>
      </c>
      <c r="J6" s="30" t="s">
        <v>1110</v>
      </c>
      <c r="K6" s="30" t="s">
        <v>1111</v>
      </c>
      <c r="L6" s="30"/>
      <c r="M6" s="30"/>
      <c r="N6" s="30"/>
      <c r="O6" s="30">
        <v>1</v>
      </c>
      <c r="P6" s="30" t="s">
        <v>1015</v>
      </c>
      <c r="R6" s="30" t="s">
        <v>1113</v>
      </c>
    </row>
    <row r="7" spans="1:28" ht="30">
      <c r="A7" s="6" t="s">
        <v>32</v>
      </c>
      <c r="B7" s="7" t="s">
        <v>292</v>
      </c>
      <c r="C7" s="6" t="s">
        <v>72</v>
      </c>
      <c r="D7" s="6"/>
      <c r="E7" s="6"/>
      <c r="F7" s="6">
        <v>1</v>
      </c>
      <c r="G7" s="6" t="s">
        <v>251</v>
      </c>
      <c r="H7" s="6">
        <v>1</v>
      </c>
      <c r="J7" s="30" t="s">
        <v>852</v>
      </c>
      <c r="K7" s="30" t="s">
        <v>1112</v>
      </c>
      <c r="L7" s="30"/>
      <c r="M7" s="30"/>
      <c r="N7" s="30"/>
      <c r="O7" s="30">
        <v>1</v>
      </c>
      <c r="P7" s="30" t="s">
        <v>1015</v>
      </c>
      <c r="R7" s="30" t="s">
        <v>1113</v>
      </c>
    </row>
    <row r="8" spans="1:28">
      <c r="A8" s="6" t="s">
        <v>11</v>
      </c>
      <c r="B8" s="7" t="s">
        <v>291</v>
      </c>
      <c r="C8" s="6" t="s">
        <v>79</v>
      </c>
      <c r="D8" s="6"/>
      <c r="E8" s="6"/>
      <c r="F8" s="6">
        <v>1</v>
      </c>
      <c r="G8" s="6" t="s">
        <v>251</v>
      </c>
      <c r="H8" s="6">
        <v>1</v>
      </c>
      <c r="J8" s="30" t="s">
        <v>851</v>
      </c>
      <c r="K8" s="30" t="s">
        <v>1115</v>
      </c>
      <c r="L8" s="30"/>
      <c r="M8" s="30" t="s">
        <v>1114</v>
      </c>
      <c r="N8" s="30"/>
      <c r="O8" s="30">
        <v>2</v>
      </c>
      <c r="P8" s="30" t="s">
        <v>1113</v>
      </c>
    </row>
    <row r="9" spans="1:28">
      <c r="A9" s="6" t="s">
        <v>170</v>
      </c>
      <c r="B9" s="7"/>
      <c r="C9" s="6" t="s">
        <v>231</v>
      </c>
      <c r="D9" s="6"/>
      <c r="E9" s="6"/>
      <c r="F9" s="6">
        <v>1</v>
      </c>
      <c r="G9" s="6" t="s">
        <v>284</v>
      </c>
      <c r="H9" s="6">
        <v>1</v>
      </c>
      <c r="J9" s="30" t="s">
        <v>851</v>
      </c>
      <c r="K9" s="30" t="s">
        <v>1116</v>
      </c>
      <c r="L9" s="30"/>
      <c r="M9" s="30" t="s">
        <v>289</v>
      </c>
      <c r="N9" s="30"/>
      <c r="O9" s="30">
        <v>3</v>
      </c>
      <c r="P9" s="30" t="s">
        <v>1113</v>
      </c>
    </row>
    <row r="10" spans="1:28">
      <c r="A10" s="6" t="s">
        <v>88</v>
      </c>
      <c r="B10" s="7" t="s">
        <v>293</v>
      </c>
      <c r="C10" s="6"/>
      <c r="D10" s="6"/>
      <c r="E10" s="6"/>
      <c r="F10" s="6">
        <v>1</v>
      </c>
      <c r="G10" s="6" t="s">
        <v>284</v>
      </c>
      <c r="H10" s="6">
        <v>1</v>
      </c>
    </row>
    <row r="11" spans="1:28" ht="30">
      <c r="A11" s="6" t="s">
        <v>294</v>
      </c>
      <c r="B11" s="7" t="s">
        <v>295</v>
      </c>
      <c r="C11" s="6"/>
      <c r="D11" s="6" t="s">
        <v>296</v>
      </c>
      <c r="E11" s="6"/>
      <c r="F11" s="6">
        <v>1</v>
      </c>
      <c r="G11" s="6" t="s">
        <v>5</v>
      </c>
      <c r="H11" s="6">
        <v>1</v>
      </c>
    </row>
    <row r="12" spans="1:28">
      <c r="A12" s="6" t="s">
        <v>88</v>
      </c>
      <c r="B12" s="7" t="s">
        <v>495</v>
      </c>
      <c r="C12" s="6"/>
      <c r="D12" s="6"/>
      <c r="E12" s="6"/>
      <c r="F12" s="6">
        <v>1</v>
      </c>
      <c r="G12" s="6" t="s">
        <v>284</v>
      </c>
      <c r="H12" s="6">
        <v>1</v>
      </c>
    </row>
    <row r="13" spans="1:28">
      <c r="A13" s="6" t="s">
        <v>156</v>
      </c>
      <c r="B13" s="7" t="s">
        <v>297</v>
      </c>
      <c r="C13" s="6" t="s">
        <v>588</v>
      </c>
      <c r="D13" s="6"/>
      <c r="E13" s="6"/>
      <c r="F13" s="6">
        <v>2</v>
      </c>
      <c r="G13" s="6" t="s">
        <v>285</v>
      </c>
      <c r="H13" s="6">
        <v>1</v>
      </c>
    </row>
    <row r="14" spans="1:28">
      <c r="A14" s="6" t="s">
        <v>53</v>
      </c>
      <c r="B14" s="7" t="s">
        <v>233</v>
      </c>
      <c r="C14" s="6"/>
      <c r="D14" s="6"/>
      <c r="E14" s="6"/>
      <c r="F14" s="6">
        <v>6</v>
      </c>
      <c r="G14" s="6" t="s">
        <v>285</v>
      </c>
      <c r="H14" s="6">
        <v>1</v>
      </c>
    </row>
    <row r="15" spans="1:28" ht="75">
      <c r="A15" s="6" t="s">
        <v>92</v>
      </c>
      <c r="B15" s="7" t="str">
        <f>bolso("Bolso altura 1",Table69132932[])</f>
        <v xml:space="preserve">Bolso altura 1 Contiene:  Conector de anclaje elingar x1,  cuerda de altura 50mts x1,  Conector para altura petzel modelo vulcan x1, </v>
      </c>
      <c r="C15" s="6"/>
      <c r="D15" s="6"/>
      <c r="E15" s="6"/>
      <c r="F15" s="6">
        <v>1</v>
      </c>
      <c r="G15" s="6" t="s">
        <v>6</v>
      </c>
      <c r="H15" s="6">
        <v>1</v>
      </c>
    </row>
    <row r="16" spans="1:28" ht="30">
      <c r="A16" s="6" t="s">
        <v>92</v>
      </c>
      <c r="B16" s="7" t="str">
        <f>bolso("Bolso de altura 2 petzl",Table69132932[])</f>
        <v xml:space="preserve">Bolso de altura 2 petzl Contiene:  Arnes Petzl x1, </v>
      </c>
      <c r="C16" s="6"/>
      <c r="D16" s="6"/>
      <c r="E16" s="6"/>
      <c r="F16" s="6">
        <v>1</v>
      </c>
      <c r="G16" s="6" t="s">
        <v>6</v>
      </c>
      <c r="H16" s="6">
        <v>1</v>
      </c>
    </row>
    <row r="17" spans="1:8" ht="45">
      <c r="A17" s="26" t="s">
        <v>92</v>
      </c>
      <c r="B17" s="7" t="str">
        <f>bolso("Bolso de altura 3 nexxt",Table69132932[])</f>
        <v xml:space="preserve">Bolso de altura 3 nexxt Contiene:  salvacaidas cresto typo 3551 x2,  Salvacaidas caran x3, </v>
      </c>
      <c r="C17" s="26"/>
      <c r="D17" s="26"/>
      <c r="E17" s="26"/>
      <c r="F17" s="26">
        <v>1</v>
      </c>
      <c r="G17" s="6" t="s">
        <v>6</v>
      </c>
      <c r="H17" s="26">
        <v>1</v>
      </c>
    </row>
    <row r="18" spans="1:8">
      <c r="A18" s="26" t="s">
        <v>11</v>
      </c>
      <c r="B18" s="27" t="s">
        <v>1119</v>
      </c>
      <c r="C18" s="26" t="s">
        <v>31</v>
      </c>
      <c r="D18" s="26"/>
      <c r="E18" s="26"/>
      <c r="F18" s="26">
        <v>1</v>
      </c>
      <c r="G18" s="26" t="s">
        <v>9</v>
      </c>
      <c r="H18" s="26">
        <v>1</v>
      </c>
    </row>
    <row r="19" spans="1:8" ht="90">
      <c r="A19" s="26" t="s">
        <v>252</v>
      </c>
      <c r="B19" s="27" t="s">
        <v>1120</v>
      </c>
      <c r="C19" s="26"/>
      <c r="D19" s="26"/>
      <c r="E19" s="26"/>
      <c r="F19" s="26">
        <v>1</v>
      </c>
      <c r="G19" s="6" t="s">
        <v>10</v>
      </c>
      <c r="H19" s="26">
        <v>1</v>
      </c>
    </row>
    <row r="20" spans="1:8">
      <c r="A20" s="26" t="s">
        <v>44</v>
      </c>
      <c r="B20" s="27"/>
      <c r="C20" s="26" t="s">
        <v>45</v>
      </c>
      <c r="D20" s="26"/>
      <c r="E20" s="26"/>
      <c r="F20" s="26">
        <v>1</v>
      </c>
      <c r="G20" s="6" t="s">
        <v>251</v>
      </c>
      <c r="H20" s="26">
        <v>1</v>
      </c>
    </row>
    <row r="21" spans="1:8">
      <c r="A21" s="26" t="s">
        <v>152</v>
      </c>
      <c r="B21" s="27" t="s">
        <v>26</v>
      </c>
      <c r="C21" s="26"/>
      <c r="D21" s="26"/>
      <c r="E21" s="26"/>
      <c r="F21" s="26">
        <v>1</v>
      </c>
      <c r="G21" s="6" t="s">
        <v>284</v>
      </c>
      <c r="H21" s="26">
        <v>1</v>
      </c>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sheetData>
  <mergeCells count="1">
    <mergeCell ref="T3:Y3"/>
  </mergeCells>
  <dataValidations count="10">
    <dataValidation type="list" allowBlank="1" showInputMessage="1" showErrorMessage="1" sqref="C18 C8 C6">
      <formula1>Configuracion!$F$2:$F$17</formula1>
    </dataValidation>
    <dataValidation type="list" allowBlank="1" showInputMessage="1" showErrorMessage="1" sqref="C20">
      <formula1>Configuracion!$K$2:$K$13</formula1>
    </dataValidation>
    <dataValidation type="list" allowBlank="1" showInputMessage="1" showErrorMessage="1" sqref="A1:A21 J12:J1048576 A29:A1048576 J1:J9">
      <formula1>categorias</formula1>
    </dataValidation>
    <dataValidation type="list" allowBlank="1" showInputMessage="1" showErrorMessage="1" sqref="G1:G21 G29:G1048576">
      <formula1>CajonerasM52</formula1>
    </dataValidation>
    <dataValidation type="list" allowBlank="1" showInputMessage="1" showErrorMessage="1" sqref="H1:H21 H29:H1048576">
      <formula1>INDEX(CompartimientosM52,0,MATCH(OFFSET(INDIRECT(ADDRESS(ROW(), COLUMN())),0,-1),CajonerasM52,0))</formula1>
    </dataValidation>
    <dataValidation type="list" allowBlank="1" showInputMessage="1" showErrorMessage="1" sqref="C1">
      <formula1>Medidas</formula1>
    </dataValidation>
    <dataValidation type="list" allowBlank="1" showInputMessage="1" showErrorMessage="1" sqref="O6:O7 O1:P2 O14:P15">
      <formula1>BolsosM52</formula1>
    </dataValidation>
    <dataValidation type="list" allowBlank="1" showInputMessage="1" showErrorMessage="1" sqref="L4:L9">
      <formula1>INDEX(Medidas,0,MATCH(OFFSET(INDIRECT(ADDRESS(ROW(), COLUMN())),0,-2),categoriasDeMedidas,0))</formula1>
    </dataValidation>
    <dataValidation type="list" allowBlank="1" showInputMessage="1" showErrorMessage="1" sqref="P4:P9">
      <formula1>$R$4:$R$1048576</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E1" workbookViewId="0">
      <pane ySplit="1" topLeftCell="A2" activePane="bottomLeft" state="frozen"/>
      <selection pane="bottomLeft" activeCell="K10" sqref="K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235</v>
      </c>
      <c r="G1" s="4" t="s">
        <v>13</v>
      </c>
      <c r="H1" s="4" t="s">
        <v>227</v>
      </c>
    </row>
    <row r="2" spans="1:27">
      <c r="A2" s="4" t="s">
        <v>360</v>
      </c>
      <c r="B2" s="7"/>
      <c r="C2" s="6"/>
      <c r="D2" s="6"/>
      <c r="E2" s="6"/>
      <c r="F2" s="6">
        <v>3</v>
      </c>
      <c r="G2" s="6" t="s">
        <v>230</v>
      </c>
      <c r="H2" s="6" t="s">
        <v>430</v>
      </c>
    </row>
    <row r="3" spans="1:27">
      <c r="A3" s="6" t="s">
        <v>431</v>
      </c>
      <c r="B3" s="7" t="s">
        <v>432</v>
      </c>
      <c r="C3" s="6"/>
      <c r="D3" s="6"/>
      <c r="E3" s="6"/>
      <c r="F3" s="6">
        <v>1</v>
      </c>
      <c r="G3" s="6" t="s">
        <v>230</v>
      </c>
      <c r="H3" s="6" t="s">
        <v>430</v>
      </c>
      <c r="J3" t="s">
        <v>0</v>
      </c>
      <c r="K3" t="s">
        <v>1</v>
      </c>
      <c r="L3" t="s">
        <v>2</v>
      </c>
      <c r="M3" s="4" t="s">
        <v>3</v>
      </c>
      <c r="N3" s="4" t="s">
        <v>4</v>
      </c>
      <c r="O3" s="4" t="s">
        <v>235</v>
      </c>
      <c r="P3" t="s">
        <v>14</v>
      </c>
      <c r="Q3" t="s">
        <v>629</v>
      </c>
      <c r="R3" t="s">
        <v>630</v>
      </c>
      <c r="T3" t="s">
        <v>28</v>
      </c>
      <c r="V3" s="46" t="s">
        <v>225</v>
      </c>
      <c r="W3" s="46"/>
      <c r="X3" s="46"/>
      <c r="Y3" s="46"/>
      <c r="Z3" s="46"/>
      <c r="AA3" s="46"/>
    </row>
    <row r="4" spans="1:27">
      <c r="A4" s="6" t="s">
        <v>92</v>
      </c>
      <c r="B4" s="7" t="str">
        <f>bolso("Bolso de RCP",Table621[])</f>
        <v xml:space="preserve">Bolso de RCP Contiene:  BVM x1, </v>
      </c>
      <c r="C4" s="6"/>
      <c r="D4" s="6"/>
      <c r="E4" s="6"/>
      <c r="F4" s="6">
        <v>1</v>
      </c>
      <c r="G4" t="s">
        <v>444</v>
      </c>
      <c r="H4" s="6" t="s">
        <v>430</v>
      </c>
      <c r="J4" t="s">
        <v>425</v>
      </c>
      <c r="K4" t="s">
        <v>435</v>
      </c>
      <c r="O4">
        <v>1</v>
      </c>
      <c r="P4" t="s">
        <v>433</v>
      </c>
      <c r="T4" t="s">
        <v>433</v>
      </c>
      <c r="V4" t="s">
        <v>444</v>
      </c>
      <c r="W4" t="s">
        <v>230</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444</v>
      </c>
      <c r="H5" s="6" t="s">
        <v>430</v>
      </c>
      <c r="J5" t="s">
        <v>425</v>
      </c>
      <c r="K5" t="s">
        <v>435</v>
      </c>
      <c r="O5">
        <v>1</v>
      </c>
      <c r="P5" t="s">
        <v>434</v>
      </c>
      <c r="T5" t="s">
        <v>434</v>
      </c>
      <c r="V5">
        <v>1</v>
      </c>
      <c r="W5" t="s">
        <v>430</v>
      </c>
      <c r="X5">
        <v>1</v>
      </c>
      <c r="Y5">
        <v>1</v>
      </c>
    </row>
    <row r="6" spans="1:27" ht="30">
      <c r="A6" s="6" t="s">
        <v>92</v>
      </c>
      <c r="B6" s="7" t="str">
        <f>bolso("Bolso trauma liviano",Table621[])</f>
        <v xml:space="preserve">Bolso trauma liviano Contiene:  Mascara oxigeno x1,  Mascara rcp x1, </v>
      </c>
      <c r="C6" s="6"/>
      <c r="D6" s="6"/>
      <c r="E6" s="6"/>
      <c r="F6" s="6">
        <v>1</v>
      </c>
      <c r="G6" t="s">
        <v>444</v>
      </c>
      <c r="H6" s="6" t="s">
        <v>430</v>
      </c>
      <c r="J6" t="s">
        <v>436</v>
      </c>
      <c r="K6" t="s">
        <v>437</v>
      </c>
      <c r="O6">
        <v>5</v>
      </c>
      <c r="P6" t="s">
        <v>434</v>
      </c>
      <c r="T6" t="s">
        <v>441</v>
      </c>
      <c r="V6">
        <v>2</v>
      </c>
    </row>
    <row r="7" spans="1:27">
      <c r="A7" s="6" t="s">
        <v>360</v>
      </c>
      <c r="B7" s="7"/>
      <c r="C7" s="6"/>
      <c r="D7" s="6"/>
      <c r="E7" s="6"/>
      <c r="F7" s="6">
        <v>1</v>
      </c>
      <c r="G7" t="s">
        <v>444</v>
      </c>
      <c r="H7" s="6" t="s">
        <v>430</v>
      </c>
      <c r="J7" t="s">
        <v>438</v>
      </c>
      <c r="K7" t="s">
        <v>438</v>
      </c>
      <c r="O7">
        <v>1</v>
      </c>
      <c r="P7" t="s">
        <v>434</v>
      </c>
      <c r="T7" t="s">
        <v>463</v>
      </c>
      <c r="V7">
        <v>3</v>
      </c>
    </row>
    <row r="8" spans="1:27">
      <c r="A8" s="6" t="s">
        <v>425</v>
      </c>
      <c r="B8" s="7"/>
      <c r="C8" s="6"/>
      <c r="D8" s="6"/>
      <c r="E8" s="6"/>
      <c r="F8" s="6">
        <v>2</v>
      </c>
      <c r="G8" t="s">
        <v>444</v>
      </c>
      <c r="H8" s="6">
        <v>1</v>
      </c>
      <c r="J8" t="s">
        <v>439</v>
      </c>
      <c r="K8" t="s">
        <v>440</v>
      </c>
      <c r="O8">
        <v>1</v>
      </c>
      <c r="P8" t="s">
        <v>434</v>
      </c>
      <c r="T8" t="s">
        <v>465</v>
      </c>
      <c r="V8">
        <v>4</v>
      </c>
    </row>
    <row r="9" spans="1:27">
      <c r="A9" s="6" t="s">
        <v>206</v>
      </c>
      <c r="B9" s="7">
        <v>2008</v>
      </c>
      <c r="C9" s="6"/>
      <c r="D9" s="6"/>
      <c r="E9" s="6"/>
      <c r="F9" s="6">
        <v>1</v>
      </c>
      <c r="G9" t="s">
        <v>444</v>
      </c>
      <c r="H9" s="6">
        <v>1</v>
      </c>
      <c r="J9" t="s">
        <v>427</v>
      </c>
      <c r="K9" t="s">
        <v>442</v>
      </c>
      <c r="O9">
        <v>1</v>
      </c>
      <c r="P9" t="s">
        <v>441</v>
      </c>
      <c r="T9" t="s">
        <v>474</v>
      </c>
      <c r="V9">
        <v>5</v>
      </c>
    </row>
    <row r="10" spans="1:27">
      <c r="A10" s="6" t="s">
        <v>426</v>
      </c>
      <c r="B10" s="7" t="s">
        <v>445</v>
      </c>
      <c r="C10" s="6"/>
      <c r="D10" s="6"/>
      <c r="E10" s="6"/>
      <c r="F10" s="6">
        <v>1</v>
      </c>
      <c r="G10" t="s">
        <v>444</v>
      </c>
      <c r="H10" s="6">
        <v>1</v>
      </c>
      <c r="J10" t="s">
        <v>443</v>
      </c>
      <c r="K10" t="s">
        <v>443</v>
      </c>
      <c r="O10">
        <v>1</v>
      </c>
      <c r="P10" t="s">
        <v>441</v>
      </c>
      <c r="T10" t="s">
        <v>93</v>
      </c>
      <c r="V10">
        <v>6</v>
      </c>
    </row>
    <row r="11" spans="1:27">
      <c r="A11" s="6" t="s">
        <v>427</v>
      </c>
      <c r="B11" s="7" t="s">
        <v>446</v>
      </c>
      <c r="C11" s="6"/>
      <c r="D11" s="6"/>
      <c r="E11" s="6"/>
      <c r="F11" s="6">
        <v>1</v>
      </c>
      <c r="G11" t="s">
        <v>444</v>
      </c>
      <c r="H11" s="6">
        <v>1</v>
      </c>
      <c r="J11" t="s">
        <v>436</v>
      </c>
      <c r="K11" t="s">
        <v>466</v>
      </c>
      <c r="O11">
        <v>1</v>
      </c>
      <c r="P11" t="s">
        <v>465</v>
      </c>
      <c r="V11">
        <v>7</v>
      </c>
    </row>
    <row r="12" spans="1:27">
      <c r="A12" s="6" t="s">
        <v>427</v>
      </c>
      <c r="B12" s="7" t="s">
        <v>447</v>
      </c>
      <c r="C12" s="6"/>
      <c r="D12" s="6"/>
      <c r="E12" s="6"/>
      <c r="F12" s="6">
        <v>1</v>
      </c>
      <c r="G12" s="6" t="s">
        <v>444</v>
      </c>
      <c r="H12" s="6">
        <v>1</v>
      </c>
      <c r="J12" t="s">
        <v>355</v>
      </c>
      <c r="K12" t="s">
        <v>355</v>
      </c>
      <c r="L12" t="s">
        <v>529</v>
      </c>
      <c r="O12">
        <v>3</v>
      </c>
      <c r="P12" t="s">
        <v>465</v>
      </c>
      <c r="V12" t="s">
        <v>430</v>
      </c>
    </row>
    <row r="13" spans="1:27">
      <c r="A13" s="6" t="s">
        <v>448</v>
      </c>
      <c r="B13" s="7"/>
      <c r="C13" s="6"/>
      <c r="D13" s="6"/>
      <c r="E13" s="6"/>
      <c r="F13" s="6">
        <v>5</v>
      </c>
      <c r="G13" s="6" t="s">
        <v>444</v>
      </c>
      <c r="H13" s="6">
        <v>1</v>
      </c>
      <c r="J13" t="s">
        <v>425</v>
      </c>
      <c r="K13" t="s">
        <v>631</v>
      </c>
      <c r="O13">
        <v>2</v>
      </c>
      <c r="P13" t="s">
        <v>465</v>
      </c>
    </row>
    <row r="14" spans="1:27">
      <c r="A14" s="6" t="s">
        <v>449</v>
      </c>
      <c r="B14" s="7"/>
      <c r="C14" s="6"/>
      <c r="D14" s="6"/>
      <c r="E14" s="6"/>
      <c r="F14" s="6">
        <v>1</v>
      </c>
      <c r="G14" s="6" t="s">
        <v>444</v>
      </c>
      <c r="H14" s="6">
        <v>2</v>
      </c>
      <c r="J14" t="s">
        <v>467</v>
      </c>
      <c r="K14" t="s">
        <v>468</v>
      </c>
      <c r="O14">
        <v>5</v>
      </c>
      <c r="P14" t="s">
        <v>465</v>
      </c>
    </row>
    <row r="15" spans="1:27">
      <c r="A15" s="6" t="s">
        <v>450</v>
      </c>
      <c r="B15" s="7"/>
      <c r="C15" s="6"/>
      <c r="D15" s="6"/>
      <c r="E15" s="6"/>
      <c r="F15" s="6">
        <v>1</v>
      </c>
      <c r="G15" s="6" t="s">
        <v>444</v>
      </c>
      <c r="H15" s="6">
        <v>2</v>
      </c>
      <c r="J15" t="s">
        <v>469</v>
      </c>
      <c r="K15" t="s">
        <v>470</v>
      </c>
      <c r="O15">
        <v>1</v>
      </c>
      <c r="P15" t="s">
        <v>465</v>
      </c>
    </row>
    <row r="16" spans="1:27">
      <c r="A16" s="6" t="s">
        <v>452</v>
      </c>
      <c r="B16" s="7"/>
      <c r="C16" s="6"/>
      <c r="D16" s="6" t="s">
        <v>453</v>
      </c>
      <c r="E16" s="6" t="s">
        <v>454</v>
      </c>
      <c r="F16" s="6">
        <v>1</v>
      </c>
      <c r="G16" s="6" t="s">
        <v>444</v>
      </c>
      <c r="H16" s="6">
        <v>2</v>
      </c>
      <c r="J16" t="s">
        <v>426</v>
      </c>
      <c r="K16" t="s">
        <v>471</v>
      </c>
      <c r="O16">
        <v>1</v>
      </c>
      <c r="P16" t="s">
        <v>465</v>
      </c>
    </row>
    <row r="17" spans="1:16">
      <c r="A17" s="6" t="s">
        <v>207</v>
      </c>
      <c r="B17" s="7" t="s">
        <v>455</v>
      </c>
      <c r="C17" s="6"/>
      <c r="D17" s="6"/>
      <c r="E17" s="6"/>
      <c r="F17" s="6">
        <v>1</v>
      </c>
      <c r="G17" s="6" t="s">
        <v>444</v>
      </c>
      <c r="H17" s="6">
        <v>2</v>
      </c>
      <c r="J17" t="s">
        <v>143</v>
      </c>
      <c r="K17" t="s">
        <v>143</v>
      </c>
      <c r="O17">
        <v>1</v>
      </c>
      <c r="P17" t="s">
        <v>465</v>
      </c>
    </row>
    <row r="18" spans="1:16">
      <c r="A18" s="6" t="s">
        <v>456</v>
      </c>
      <c r="B18" s="7"/>
      <c r="C18" s="6"/>
      <c r="D18" s="6" t="s">
        <v>457</v>
      </c>
      <c r="E18" s="6" t="s">
        <v>458</v>
      </c>
      <c r="F18" s="6">
        <v>1</v>
      </c>
      <c r="G18" s="6" t="s">
        <v>444</v>
      </c>
      <c r="H18" s="6">
        <v>2</v>
      </c>
      <c r="J18" t="s">
        <v>449</v>
      </c>
      <c r="K18" t="s">
        <v>472</v>
      </c>
      <c r="O18">
        <v>1</v>
      </c>
      <c r="P18" t="s">
        <v>465</v>
      </c>
    </row>
    <row r="19" spans="1:16">
      <c r="A19" s="6" t="s">
        <v>459</v>
      </c>
      <c r="B19" s="7"/>
      <c r="C19" s="6"/>
      <c r="D19" s="6"/>
      <c r="E19" s="6"/>
      <c r="F19" s="6">
        <v>1</v>
      </c>
      <c r="G19" s="6" t="s">
        <v>444</v>
      </c>
      <c r="H19" s="6">
        <v>4</v>
      </c>
      <c r="J19" t="s">
        <v>443</v>
      </c>
      <c r="K19" t="s">
        <v>142</v>
      </c>
      <c r="O19">
        <v>1</v>
      </c>
      <c r="P19" t="s">
        <v>474</v>
      </c>
    </row>
    <row r="20" spans="1:16">
      <c r="A20" s="6" t="s">
        <v>460</v>
      </c>
      <c r="B20" s="7"/>
      <c r="C20" s="6"/>
      <c r="D20" s="6"/>
      <c r="E20" s="6"/>
      <c r="F20" s="6">
        <v>1</v>
      </c>
      <c r="G20" s="6" t="s">
        <v>444</v>
      </c>
      <c r="H20" s="6">
        <v>5</v>
      </c>
      <c r="J20" t="s">
        <v>355</v>
      </c>
      <c r="K20" t="s">
        <v>355</v>
      </c>
      <c r="L20" t="s">
        <v>529</v>
      </c>
      <c r="O20">
        <v>3</v>
      </c>
      <c r="P20" t="s">
        <v>93</v>
      </c>
    </row>
    <row r="21" spans="1:16">
      <c r="A21" s="6" t="s">
        <v>461</v>
      </c>
      <c r="B21" s="7"/>
      <c r="C21" s="6"/>
      <c r="D21" s="6"/>
      <c r="E21" s="6"/>
      <c r="F21" s="6">
        <v>4</v>
      </c>
      <c r="G21" s="6" t="s">
        <v>444</v>
      </c>
      <c r="H21" s="6">
        <v>5</v>
      </c>
      <c r="J21" t="s">
        <v>355</v>
      </c>
      <c r="K21" t="s">
        <v>355</v>
      </c>
      <c r="L21" t="s">
        <v>480</v>
      </c>
      <c r="O21">
        <v>2</v>
      </c>
      <c r="P21" t="s">
        <v>93</v>
      </c>
    </row>
    <row r="22" spans="1:16">
      <c r="A22" s="6" t="s">
        <v>462</v>
      </c>
      <c r="B22" s="7"/>
      <c r="C22" s="6"/>
      <c r="D22" s="6"/>
      <c r="E22" s="6"/>
      <c r="F22" s="6">
        <v>12</v>
      </c>
      <c r="G22" s="6" t="s">
        <v>444</v>
      </c>
      <c r="H22" s="6">
        <v>6</v>
      </c>
      <c r="J22" t="s">
        <v>355</v>
      </c>
      <c r="K22" t="s">
        <v>481</v>
      </c>
      <c r="L22" t="s">
        <v>482</v>
      </c>
      <c r="O22">
        <v>1</v>
      </c>
      <c r="P22" t="s">
        <v>93</v>
      </c>
    </row>
    <row r="23" spans="1:16">
      <c r="A23" s="6" t="s">
        <v>360</v>
      </c>
      <c r="B23" s="7"/>
      <c r="C23" s="6"/>
      <c r="D23" s="6"/>
      <c r="E23" s="6"/>
      <c r="F23" s="6">
        <v>1</v>
      </c>
      <c r="G23" s="6" t="s">
        <v>444</v>
      </c>
      <c r="H23" s="6">
        <v>7</v>
      </c>
      <c r="J23" t="s">
        <v>355</v>
      </c>
      <c r="K23" t="s">
        <v>483</v>
      </c>
      <c r="L23" t="s">
        <v>356</v>
      </c>
      <c r="O23">
        <v>1</v>
      </c>
      <c r="P23" t="s">
        <v>93</v>
      </c>
    </row>
    <row r="24" spans="1:16">
      <c r="A24" s="6" t="s">
        <v>92</v>
      </c>
      <c r="B24" s="7" t="s">
        <v>464</v>
      </c>
      <c r="C24" s="6"/>
      <c r="D24" s="6"/>
      <c r="E24" s="6"/>
      <c r="F24" s="6">
        <v>1</v>
      </c>
      <c r="G24" s="6" t="s">
        <v>444</v>
      </c>
      <c r="H24" s="6">
        <v>7</v>
      </c>
      <c r="J24" t="s">
        <v>355</v>
      </c>
      <c r="K24" t="s">
        <v>484</v>
      </c>
      <c r="L24" t="s">
        <v>357</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425</v>
      </c>
      <c r="K25" t="s">
        <v>425</v>
      </c>
      <c r="O25">
        <v>1</v>
      </c>
      <c r="P25" t="s">
        <v>835</v>
      </c>
    </row>
    <row r="26" spans="1:16">
      <c r="A26" s="6" t="s">
        <v>88</v>
      </c>
      <c r="B26" s="7" t="s">
        <v>473</v>
      </c>
      <c r="C26" s="6"/>
      <c r="D26" s="6"/>
      <c r="E26" s="6"/>
      <c r="F26" s="6">
        <v>2</v>
      </c>
      <c r="G26" s="6" t="s">
        <v>8</v>
      </c>
      <c r="H26" s="6">
        <v>1</v>
      </c>
      <c r="J26" t="s">
        <v>836</v>
      </c>
      <c r="K26" t="s">
        <v>836</v>
      </c>
      <c r="L26" t="s">
        <v>741</v>
      </c>
      <c r="O26">
        <v>1</v>
      </c>
      <c r="P26" t="s">
        <v>835</v>
      </c>
    </row>
    <row r="27" spans="1:16">
      <c r="A27" s="6" t="s">
        <v>139</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475</v>
      </c>
      <c r="B30" s="7" t="s">
        <v>476</v>
      </c>
      <c r="C30" s="6"/>
      <c r="D30" s="6"/>
      <c r="E30" s="6"/>
      <c r="F30" s="6">
        <v>1</v>
      </c>
      <c r="G30" s="6" t="s">
        <v>5</v>
      </c>
      <c r="H30" s="6">
        <v>1</v>
      </c>
    </row>
    <row r="31" spans="1:16">
      <c r="A31" s="6" t="s">
        <v>475</v>
      </c>
      <c r="B31" s="7" t="s">
        <v>477</v>
      </c>
      <c r="C31" s="6"/>
      <c r="D31" s="6"/>
      <c r="E31" s="6"/>
      <c r="F31" s="6">
        <v>1</v>
      </c>
      <c r="G31" s="6" t="s">
        <v>5</v>
      </c>
      <c r="H31" s="6">
        <v>1</v>
      </c>
    </row>
    <row r="32" spans="1:16">
      <c r="A32" s="6" t="s">
        <v>475</v>
      </c>
      <c r="B32" s="7" t="s">
        <v>478</v>
      </c>
      <c r="C32" s="6"/>
      <c r="D32" s="6"/>
      <c r="E32" s="6"/>
      <c r="F32" s="6">
        <v>5</v>
      </c>
      <c r="G32" s="6" t="s">
        <v>5</v>
      </c>
      <c r="H32" s="6">
        <v>1</v>
      </c>
    </row>
    <row r="33" spans="1:8">
      <c r="A33" s="6" t="s">
        <v>475</v>
      </c>
      <c r="B33" s="7" t="s">
        <v>479</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A13" workbookViewId="0">
      <selection activeCell="A22" sqref="A2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235</v>
      </c>
      <c r="G1" s="4" t="s">
        <v>13</v>
      </c>
      <c r="H1" s="4" t="s">
        <v>227</v>
      </c>
    </row>
    <row r="2" spans="1:27">
      <c r="A2" s="4" t="s">
        <v>35</v>
      </c>
      <c r="B2" s="7" t="s">
        <v>633</v>
      </c>
      <c r="C2" s="6" t="s">
        <v>38</v>
      </c>
      <c r="D2" s="6"/>
      <c r="E2" s="6"/>
      <c r="F2" s="6">
        <v>1</v>
      </c>
      <c r="G2" s="13" t="s">
        <v>634</v>
      </c>
      <c r="H2" s="13" t="s">
        <v>430</v>
      </c>
    </row>
    <row r="3" spans="1:27">
      <c r="A3" s="6" t="s">
        <v>150</v>
      </c>
      <c r="B3" s="7" t="s">
        <v>151</v>
      </c>
      <c r="C3" s="6"/>
      <c r="D3" s="6"/>
      <c r="E3" s="6"/>
      <c r="F3" s="6">
        <v>1</v>
      </c>
      <c r="G3" s="13" t="s">
        <v>634</v>
      </c>
      <c r="H3" s="13" t="s">
        <v>430</v>
      </c>
      <c r="J3" t="s">
        <v>0</v>
      </c>
      <c r="K3" t="s">
        <v>1</v>
      </c>
      <c r="L3" t="s">
        <v>2</v>
      </c>
      <c r="M3" s="4" t="s">
        <v>3</v>
      </c>
      <c r="N3" s="4" t="s">
        <v>4</v>
      </c>
      <c r="O3" s="4" t="s">
        <v>235</v>
      </c>
      <c r="P3" t="s">
        <v>14</v>
      </c>
      <c r="T3" t="s">
        <v>28</v>
      </c>
      <c r="V3" s="46" t="s">
        <v>225</v>
      </c>
      <c r="W3" s="46"/>
      <c r="X3" s="46"/>
      <c r="Y3" s="46"/>
      <c r="Z3" s="46"/>
      <c r="AA3" s="46"/>
    </row>
    <row r="4" spans="1:27">
      <c r="A4" s="6" t="s">
        <v>248</v>
      </c>
      <c r="B4" s="7"/>
      <c r="C4" s="6"/>
      <c r="D4" s="6"/>
      <c r="E4" s="6"/>
      <c r="F4" s="6">
        <v>3</v>
      </c>
      <c r="G4" s="13"/>
      <c r="H4" s="13"/>
      <c r="V4" t="s">
        <v>634</v>
      </c>
      <c r="W4" t="s">
        <v>230</v>
      </c>
      <c r="X4" t="s">
        <v>8</v>
      </c>
      <c r="Y4" t="s">
        <v>5</v>
      </c>
    </row>
    <row r="5" spans="1:27">
      <c r="A5" s="6" t="s">
        <v>206</v>
      </c>
      <c r="B5" s="7">
        <v>2012</v>
      </c>
      <c r="C5" s="6"/>
      <c r="D5" s="6"/>
      <c r="E5" s="6"/>
      <c r="F5" s="6">
        <v>1</v>
      </c>
      <c r="G5" s="13"/>
      <c r="H5" s="13"/>
      <c r="V5" t="s">
        <v>634</v>
      </c>
    </row>
    <row r="6" spans="1:27">
      <c r="A6" s="6" t="s">
        <v>208</v>
      </c>
      <c r="B6" s="7"/>
      <c r="C6" s="6" t="s">
        <v>419</v>
      </c>
      <c r="D6" s="6" t="s">
        <v>635</v>
      </c>
      <c r="E6" s="6"/>
      <c r="F6" s="6">
        <v>1</v>
      </c>
      <c r="G6" s="13"/>
      <c r="H6" s="13"/>
    </row>
    <row r="7" spans="1:27">
      <c r="A7" s="6" t="s">
        <v>541</v>
      </c>
      <c r="B7" s="7"/>
      <c r="C7" s="6"/>
      <c r="D7" s="6" t="s">
        <v>636</v>
      </c>
      <c r="E7" s="6"/>
      <c r="F7" s="6">
        <v>1</v>
      </c>
      <c r="G7" s="13"/>
      <c r="H7" s="13"/>
    </row>
    <row r="8" spans="1:27">
      <c r="A8" s="6" t="s">
        <v>637</v>
      </c>
      <c r="B8" s="7"/>
      <c r="C8" s="6"/>
      <c r="D8" s="6" t="s">
        <v>638</v>
      </c>
      <c r="E8" s="6" t="s">
        <v>639</v>
      </c>
      <c r="F8" s="6">
        <v>1</v>
      </c>
      <c r="G8" s="13"/>
      <c r="H8" s="13"/>
    </row>
    <row r="9" spans="1:27">
      <c r="A9" s="6" t="s">
        <v>88</v>
      </c>
      <c r="B9" s="7" t="s">
        <v>478</v>
      </c>
      <c r="C9" s="6"/>
      <c r="D9" s="6"/>
      <c r="E9" s="6"/>
      <c r="F9" s="6">
        <v>3</v>
      </c>
      <c r="G9" s="13"/>
      <c r="H9" s="13"/>
    </row>
    <row r="10" spans="1:27">
      <c r="A10" s="6" t="s">
        <v>135</v>
      </c>
      <c r="B10" s="7"/>
      <c r="C10" s="6"/>
      <c r="D10" s="6"/>
      <c r="E10" s="6"/>
      <c r="F10" s="6">
        <v>3</v>
      </c>
      <c r="G10" s="13"/>
      <c r="H10" s="13"/>
    </row>
    <row r="11" spans="1:27">
      <c r="A11" s="6" t="s">
        <v>152</v>
      </c>
      <c r="B11" s="7" t="s">
        <v>640</v>
      </c>
      <c r="C11" s="6"/>
      <c r="D11" s="6"/>
      <c r="E11" s="6"/>
      <c r="F11" s="6">
        <v>1</v>
      </c>
      <c r="G11" s="13"/>
      <c r="H11" s="13"/>
    </row>
    <row r="12" spans="1:27">
      <c r="A12" s="6" t="s">
        <v>53</v>
      </c>
      <c r="B12" s="7"/>
      <c r="C12" s="6"/>
      <c r="D12" s="6"/>
      <c r="E12" s="6"/>
      <c r="F12" s="6">
        <v>5</v>
      </c>
      <c r="G12" s="13"/>
      <c r="H12" s="13"/>
    </row>
    <row r="13" spans="1:27">
      <c r="A13" s="6" t="s">
        <v>152</v>
      </c>
      <c r="B13" s="7" t="s">
        <v>641</v>
      </c>
      <c r="C13" s="6"/>
      <c r="D13" s="6"/>
      <c r="E13" s="6"/>
      <c r="F13" s="6">
        <v>1</v>
      </c>
      <c r="G13" s="13"/>
      <c r="H13" s="13"/>
    </row>
    <row r="14" spans="1:27">
      <c r="A14" s="6" t="s">
        <v>152</v>
      </c>
      <c r="B14" s="7" t="s">
        <v>642</v>
      </c>
      <c r="C14" s="6"/>
      <c r="D14" s="6"/>
      <c r="E14" s="6"/>
      <c r="F14" s="6">
        <v>1</v>
      </c>
      <c r="G14" s="13"/>
      <c r="H14" s="13"/>
    </row>
    <row r="15" spans="1:27">
      <c r="A15" s="6" t="s">
        <v>152</v>
      </c>
      <c r="B15" s="7" t="s">
        <v>643</v>
      </c>
      <c r="C15" s="6"/>
      <c r="D15" s="6"/>
      <c r="E15" s="6"/>
      <c r="F15" s="6">
        <v>1</v>
      </c>
      <c r="G15" s="13"/>
      <c r="H15" s="13"/>
    </row>
    <row r="16" spans="1:27">
      <c r="A16" s="6" t="s">
        <v>152</v>
      </c>
      <c r="B16" s="7" t="s">
        <v>644</v>
      </c>
      <c r="C16" s="6"/>
      <c r="D16" s="6"/>
      <c r="E16" s="6"/>
      <c r="F16" s="6">
        <v>1</v>
      </c>
      <c r="G16" s="13"/>
      <c r="H16" s="13"/>
    </row>
    <row r="17" spans="1:8">
      <c r="A17" s="6" t="s">
        <v>152</v>
      </c>
      <c r="B17" s="7" t="s">
        <v>645</v>
      </c>
      <c r="C17" s="6"/>
      <c r="D17" s="6"/>
      <c r="E17" s="6"/>
      <c r="F17" s="6">
        <v>1</v>
      </c>
      <c r="G17" s="13"/>
      <c r="H17" s="13"/>
    </row>
    <row r="18" spans="1:8">
      <c r="A18" s="6" t="s">
        <v>152</v>
      </c>
      <c r="B18" s="7" t="s">
        <v>402</v>
      </c>
      <c r="C18" s="6"/>
      <c r="D18" s="6"/>
      <c r="E18" s="6"/>
      <c r="F18" s="6">
        <v>1</v>
      </c>
      <c r="G18" s="13"/>
      <c r="H18" s="13"/>
    </row>
    <row r="19" spans="1:8">
      <c r="A19" s="6" t="s">
        <v>152</v>
      </c>
      <c r="B19" s="7" t="s">
        <v>401</v>
      </c>
      <c r="C19" s="6"/>
      <c r="D19" s="6"/>
      <c r="E19" s="6"/>
      <c r="F19" s="6">
        <v>1</v>
      </c>
      <c r="G19" s="13"/>
      <c r="H19" s="13"/>
    </row>
    <row r="20" spans="1:8">
      <c r="A20" s="6" t="s">
        <v>136</v>
      </c>
      <c r="B20" s="7" t="s">
        <v>192</v>
      </c>
      <c r="C20" s="6"/>
      <c r="D20" s="6"/>
      <c r="E20" s="6"/>
      <c r="F20" s="6">
        <v>1</v>
      </c>
      <c r="G20" s="13"/>
      <c r="H20" s="13"/>
    </row>
    <row r="21" spans="1:8">
      <c r="A21" s="6" t="s">
        <v>425</v>
      </c>
      <c r="B21" s="7"/>
      <c r="C21" s="6"/>
      <c r="D21" s="6"/>
      <c r="E21" s="6"/>
      <c r="F21" s="6">
        <v>1</v>
      </c>
      <c r="G21" s="13"/>
      <c r="H21" s="13"/>
    </row>
    <row r="22" spans="1:8">
      <c r="A22" s="6" t="s">
        <v>142</v>
      </c>
      <c r="B22" s="7"/>
      <c r="C22" s="6"/>
      <c r="D22" s="6"/>
      <c r="E22" s="6"/>
      <c r="F22" s="6">
        <v>1</v>
      </c>
      <c r="G22" s="13"/>
      <c r="H22" s="13"/>
    </row>
    <row r="23" spans="1:8" ht="30">
      <c r="A23" s="13" t="s">
        <v>646</v>
      </c>
      <c r="B23" s="12" t="s">
        <v>758</v>
      </c>
      <c r="C23" s="13"/>
      <c r="D23" s="13"/>
      <c r="E23" s="13"/>
      <c r="F23" s="13">
        <v>4</v>
      </c>
      <c r="G23" s="13"/>
      <c r="H23" s="13"/>
    </row>
    <row r="24" spans="1:8">
      <c r="A24" s="6" t="s">
        <v>647</v>
      </c>
      <c r="B24" s="7"/>
      <c r="C24" s="6"/>
      <c r="D24" s="6"/>
      <c r="E24" s="6"/>
      <c r="F24" s="6">
        <v>1</v>
      </c>
      <c r="G24" s="13"/>
      <c r="H24" s="13"/>
    </row>
    <row r="25" spans="1:8">
      <c r="A25" s="6" t="s">
        <v>355</v>
      </c>
      <c r="B25" s="7"/>
      <c r="C25" s="6" t="s">
        <v>634</v>
      </c>
      <c r="D25" s="6"/>
      <c r="E25" s="6"/>
      <c r="F25" s="6">
        <v>6</v>
      </c>
      <c r="G25" s="13"/>
      <c r="H25" s="13"/>
    </row>
    <row r="26" spans="1:8">
      <c r="A26" s="6" t="s">
        <v>462</v>
      </c>
      <c r="B26" s="7"/>
      <c r="C26" s="6"/>
      <c r="D26" s="6"/>
      <c r="E26" s="6"/>
      <c r="F26" s="6">
        <v>2</v>
      </c>
      <c r="G26" s="13"/>
      <c r="H26" s="13"/>
    </row>
    <row r="27" spans="1:8" ht="30">
      <c r="A27" s="13" t="s">
        <v>90</v>
      </c>
      <c r="B27" s="12" t="s">
        <v>759</v>
      </c>
      <c r="C27" s="13"/>
      <c r="D27" s="13"/>
      <c r="E27" s="13"/>
      <c r="F27" s="13">
        <v>6</v>
      </c>
      <c r="G27" s="13"/>
      <c r="H27" s="13"/>
    </row>
    <row r="28" spans="1:8">
      <c r="A28" s="6" t="s">
        <v>429</v>
      </c>
      <c r="B28" s="7"/>
      <c r="C28" s="6"/>
      <c r="D28" s="6"/>
      <c r="E28" s="6"/>
      <c r="F28" s="6">
        <v>2</v>
      </c>
      <c r="G28" s="13"/>
      <c r="H28" s="13"/>
    </row>
    <row r="29" spans="1:8">
      <c r="A29" s="11" t="s">
        <v>11</v>
      </c>
      <c r="B29" s="12" t="s">
        <v>760</v>
      </c>
      <c r="C29" s="13" t="s">
        <v>116</v>
      </c>
      <c r="D29" s="13"/>
      <c r="E29" s="13"/>
      <c r="F29" s="13">
        <v>3</v>
      </c>
      <c r="G29" s="13"/>
      <c r="H29" s="13"/>
    </row>
    <row r="30" spans="1:8">
      <c r="A30" s="6" t="s">
        <v>152</v>
      </c>
      <c r="B30" s="7" t="s">
        <v>599</v>
      </c>
      <c r="C30" s="6"/>
      <c r="D30" s="6"/>
      <c r="E30" s="6"/>
      <c r="F30" s="6">
        <v>1</v>
      </c>
      <c r="G30" s="13"/>
      <c r="H30" s="13"/>
    </row>
    <row r="31" spans="1:8">
      <c r="A31" s="6" t="s">
        <v>32</v>
      </c>
      <c r="B31" s="7" t="s">
        <v>648</v>
      </c>
      <c r="C31" s="6" t="s">
        <v>220</v>
      </c>
      <c r="D31" s="6"/>
      <c r="E31" s="6"/>
      <c r="F31" s="6">
        <v>1</v>
      </c>
      <c r="G31" s="13"/>
      <c r="H31" s="13"/>
    </row>
    <row r="32" spans="1:8">
      <c r="A32" s="13" t="s">
        <v>128</v>
      </c>
      <c r="B32" s="12"/>
      <c r="C32" s="13"/>
      <c r="D32" s="13" t="s">
        <v>741</v>
      </c>
      <c r="E32" s="13" t="s">
        <v>741</v>
      </c>
      <c r="F32" s="13">
        <v>1</v>
      </c>
      <c r="G32" s="13"/>
      <c r="H32" s="13"/>
    </row>
    <row r="33" spans="1:8">
      <c r="A33" s="6" t="s">
        <v>252</v>
      </c>
      <c r="B33" s="7" t="s">
        <v>649</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J4" sqref="J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235</v>
      </c>
      <c r="G1" s="4" t="s">
        <v>13</v>
      </c>
      <c r="H1" s="4" t="s">
        <v>227</v>
      </c>
    </row>
    <row r="2" spans="1:27">
      <c r="A2" s="4" t="s">
        <v>11</v>
      </c>
      <c r="B2" s="7"/>
      <c r="C2" s="6" t="s">
        <v>116</v>
      </c>
      <c r="D2" s="6"/>
      <c r="E2" s="6"/>
      <c r="F2" s="6">
        <v>1</v>
      </c>
      <c r="G2" s="13" t="s">
        <v>634</v>
      </c>
      <c r="H2" s="13" t="s">
        <v>634</v>
      </c>
    </row>
    <row r="3" spans="1:27">
      <c r="A3" s="6" t="s">
        <v>650</v>
      </c>
      <c r="B3" s="7"/>
      <c r="C3" s="6"/>
      <c r="D3" s="13" t="s">
        <v>741</v>
      </c>
      <c r="E3" s="13" t="s">
        <v>741</v>
      </c>
      <c r="F3" s="6">
        <v>1</v>
      </c>
      <c r="G3" s="13" t="s">
        <v>634</v>
      </c>
      <c r="H3" s="13" t="s">
        <v>634</v>
      </c>
      <c r="J3" t="s">
        <v>0</v>
      </c>
      <c r="K3" t="s">
        <v>1</v>
      </c>
      <c r="L3" t="s">
        <v>2</v>
      </c>
      <c r="M3" s="4" t="s">
        <v>3</v>
      </c>
      <c r="N3" s="4" t="s">
        <v>4</v>
      </c>
      <c r="O3" s="4" t="s">
        <v>235</v>
      </c>
      <c r="P3" t="s">
        <v>14</v>
      </c>
      <c r="T3" t="s">
        <v>28</v>
      </c>
      <c r="V3" s="46" t="s">
        <v>225</v>
      </c>
      <c r="W3" s="46"/>
      <c r="X3" s="46"/>
      <c r="Y3" s="46"/>
      <c r="Z3" s="46"/>
      <c r="AA3" s="46"/>
    </row>
    <row r="4" spans="1:27">
      <c r="A4" s="6" t="s">
        <v>252</v>
      </c>
      <c r="B4" s="7" t="s">
        <v>651</v>
      </c>
      <c r="C4" s="6"/>
      <c r="D4" s="6"/>
      <c r="E4" s="6"/>
      <c r="F4" s="6">
        <v>1</v>
      </c>
      <c r="G4" s="13" t="s">
        <v>634</v>
      </c>
      <c r="H4" s="13" t="s">
        <v>634</v>
      </c>
      <c r="J4" t="s">
        <v>425</v>
      </c>
      <c r="K4" t="s">
        <v>435</v>
      </c>
      <c r="O4">
        <v>1</v>
      </c>
      <c r="P4" t="s">
        <v>433</v>
      </c>
      <c r="V4" t="s">
        <v>634</v>
      </c>
      <c r="W4" t="s">
        <v>230</v>
      </c>
      <c r="X4" t="s">
        <v>8</v>
      </c>
      <c r="Y4" t="s">
        <v>5</v>
      </c>
    </row>
    <row r="5" spans="1:27">
      <c r="A5" s="6" t="s">
        <v>135</v>
      </c>
      <c r="B5" s="7"/>
      <c r="C5" s="6"/>
      <c r="D5" s="6"/>
      <c r="E5" s="6"/>
      <c r="F5" s="6">
        <v>1</v>
      </c>
      <c r="G5" s="13" t="s">
        <v>634</v>
      </c>
      <c r="H5" s="13" t="s">
        <v>634</v>
      </c>
      <c r="V5" t="s">
        <v>634</v>
      </c>
    </row>
    <row r="6" spans="1:27">
      <c r="A6" s="6" t="s">
        <v>53</v>
      </c>
      <c r="B6" s="7"/>
      <c r="C6" s="6"/>
      <c r="D6" s="6"/>
      <c r="E6" s="6"/>
      <c r="F6" s="6">
        <v>4</v>
      </c>
      <c r="G6" s="13" t="s">
        <v>634</v>
      </c>
      <c r="H6" s="13" t="s">
        <v>634</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workbookViewId="0">
      <selection activeCell="A21" sqref="A21"/>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235</v>
      </c>
      <c r="G1" s="4" t="s">
        <v>13</v>
      </c>
      <c r="H1" s="4" t="s">
        <v>227</v>
      </c>
    </row>
    <row r="2" spans="1:27">
      <c r="A2" s="15" t="s">
        <v>673</v>
      </c>
      <c r="B2" s="15" t="s">
        <v>671</v>
      </c>
      <c r="C2" s="4" t="s">
        <v>674</v>
      </c>
      <c r="D2" s="6"/>
      <c r="E2" s="6"/>
      <c r="F2" s="15">
        <v>1</v>
      </c>
      <c r="G2" s="6"/>
      <c r="H2" s="6"/>
    </row>
    <row r="3" spans="1:27">
      <c r="A3" s="15" t="s">
        <v>673</v>
      </c>
      <c r="B3" s="15" t="s">
        <v>671</v>
      </c>
      <c r="C3" s="4" t="s">
        <v>675</v>
      </c>
      <c r="D3" s="6"/>
      <c r="E3" s="6"/>
      <c r="F3" s="15">
        <v>1</v>
      </c>
      <c r="G3" s="6"/>
      <c r="H3" s="6"/>
      <c r="J3" t="s">
        <v>0</v>
      </c>
      <c r="K3" t="s">
        <v>1</v>
      </c>
      <c r="L3" t="s">
        <v>2</v>
      </c>
      <c r="M3" s="4" t="s">
        <v>3</v>
      </c>
      <c r="N3" s="4" t="s">
        <v>4</v>
      </c>
      <c r="O3" s="4" t="s">
        <v>235</v>
      </c>
      <c r="P3" t="s">
        <v>14</v>
      </c>
      <c r="T3" t="s">
        <v>28</v>
      </c>
      <c r="V3" s="46" t="s">
        <v>225</v>
      </c>
      <c r="W3" s="46"/>
      <c r="X3" s="46"/>
      <c r="Y3" s="46"/>
      <c r="Z3" s="46"/>
      <c r="AA3" s="46"/>
    </row>
    <row r="4" spans="1:27">
      <c r="A4" s="15" t="s">
        <v>673</v>
      </c>
      <c r="B4" s="15" t="s">
        <v>672</v>
      </c>
      <c r="C4" s="4" t="s">
        <v>675</v>
      </c>
      <c r="D4" s="6"/>
      <c r="E4" s="6"/>
      <c r="F4" s="15">
        <v>2</v>
      </c>
      <c r="G4" s="6"/>
      <c r="H4" s="6"/>
      <c r="V4" t="s">
        <v>634</v>
      </c>
      <c r="W4" t="s">
        <v>230</v>
      </c>
      <c r="X4" t="s">
        <v>8</v>
      </c>
      <c r="Y4" t="s">
        <v>5</v>
      </c>
    </row>
    <row r="5" spans="1:27">
      <c r="A5" s="15" t="s">
        <v>673</v>
      </c>
      <c r="B5" s="15" t="s">
        <v>672</v>
      </c>
      <c r="C5" s="4" t="s">
        <v>675</v>
      </c>
      <c r="D5" s="6"/>
      <c r="E5" s="6"/>
      <c r="F5" s="15">
        <v>3</v>
      </c>
      <c r="G5" s="6"/>
      <c r="H5" s="6"/>
    </row>
    <row r="6" spans="1:27">
      <c r="A6" s="15" t="s">
        <v>673</v>
      </c>
      <c r="B6" s="15" t="s">
        <v>242</v>
      </c>
      <c r="C6" t="s">
        <v>63</v>
      </c>
      <c r="D6" s="6"/>
      <c r="E6" s="6"/>
      <c r="F6" s="15">
        <v>5</v>
      </c>
      <c r="G6" s="6"/>
      <c r="H6" s="6"/>
    </row>
    <row r="7" spans="1:27">
      <c r="A7" s="15" t="s">
        <v>673</v>
      </c>
      <c r="B7" s="15" t="s">
        <v>678</v>
      </c>
      <c r="C7" s="4" t="s">
        <v>677</v>
      </c>
      <c r="D7" s="6"/>
      <c r="E7" s="6"/>
      <c r="F7" s="15">
        <v>4</v>
      </c>
      <c r="G7" s="6"/>
      <c r="H7" s="6"/>
    </row>
    <row r="8" spans="1:27">
      <c r="A8" s="15" t="s">
        <v>673</v>
      </c>
      <c r="B8" s="15"/>
      <c r="C8" s="4" t="s">
        <v>33</v>
      </c>
      <c r="D8" s="6"/>
      <c r="E8" s="6"/>
      <c r="F8" s="15">
        <v>9</v>
      </c>
      <c r="G8" s="6"/>
      <c r="H8" s="6"/>
    </row>
    <row r="9" spans="1:27">
      <c r="A9" s="15" t="s">
        <v>673</v>
      </c>
      <c r="B9" s="15"/>
      <c r="C9" s="4" t="s">
        <v>52</v>
      </c>
      <c r="D9" s="6"/>
      <c r="E9" s="6"/>
      <c r="F9" s="15">
        <v>12</v>
      </c>
      <c r="G9" s="6"/>
      <c r="H9" s="6"/>
    </row>
    <row r="10" spans="1:27">
      <c r="A10" s="15" t="s">
        <v>673</v>
      </c>
      <c r="B10" s="15" t="s">
        <v>68</v>
      </c>
      <c r="C10" s="4" t="s">
        <v>63</v>
      </c>
      <c r="D10" s="6"/>
      <c r="E10" s="6"/>
      <c r="F10" s="15">
        <v>5</v>
      </c>
      <c r="G10" s="6"/>
      <c r="H10" s="6"/>
    </row>
    <row r="11" spans="1:27">
      <c r="A11" s="15" t="s">
        <v>673</v>
      </c>
      <c r="B11" s="15"/>
      <c r="C11" s="4" t="s">
        <v>72</v>
      </c>
      <c r="D11" s="6"/>
      <c r="E11" s="6"/>
      <c r="F11" s="15">
        <v>6</v>
      </c>
      <c r="G11" s="6"/>
      <c r="H11" s="6"/>
    </row>
    <row r="12" spans="1:27">
      <c r="A12" s="15" t="s">
        <v>673</v>
      </c>
      <c r="B12" s="15" t="s">
        <v>68</v>
      </c>
      <c r="C12" s="4" t="s">
        <v>676</v>
      </c>
      <c r="D12" s="6"/>
      <c r="E12" s="6"/>
      <c r="F12" s="15">
        <v>2</v>
      </c>
      <c r="G12" s="6"/>
      <c r="H12" s="6"/>
    </row>
    <row r="13" spans="1:27">
      <c r="A13" s="15" t="s">
        <v>673</v>
      </c>
      <c r="B13" s="15" t="s">
        <v>242</v>
      </c>
      <c r="C13" s="4" t="s">
        <v>676</v>
      </c>
      <c r="D13" s="6"/>
      <c r="E13" s="6"/>
      <c r="F13" s="15">
        <v>1</v>
      </c>
      <c r="G13" s="6"/>
      <c r="H13" s="6"/>
    </row>
    <row r="14" spans="1:27">
      <c r="A14" s="15" t="s">
        <v>673</v>
      </c>
      <c r="B14" s="15" t="s">
        <v>242</v>
      </c>
      <c r="C14" s="4" t="s">
        <v>677</v>
      </c>
      <c r="D14" s="6"/>
      <c r="E14" s="6"/>
      <c r="F14" s="15">
        <v>2</v>
      </c>
      <c r="G14" s="6"/>
      <c r="H14" s="6"/>
    </row>
    <row r="15" spans="1:27">
      <c r="A15" s="15" t="s">
        <v>11</v>
      </c>
      <c r="B15" s="15" t="s">
        <v>680</v>
      </c>
      <c r="C15" s="4" t="s">
        <v>679</v>
      </c>
      <c r="D15" s="6"/>
      <c r="E15" s="6"/>
      <c r="F15" s="15">
        <v>1</v>
      </c>
      <c r="G15" s="6"/>
      <c r="H15" s="6"/>
    </row>
    <row r="16" spans="1:27">
      <c r="A16" s="15" t="s">
        <v>53</v>
      </c>
      <c r="B16" s="15" t="s">
        <v>244</v>
      </c>
      <c r="D16" s="6"/>
      <c r="E16" s="6"/>
      <c r="F16" s="15">
        <v>2</v>
      </c>
      <c r="G16" s="6"/>
      <c r="H16" s="6"/>
    </row>
    <row r="17" spans="1:8">
      <c r="A17" s="15" t="s">
        <v>152</v>
      </c>
      <c r="B17" s="15" t="s">
        <v>652</v>
      </c>
      <c r="D17" s="6"/>
      <c r="E17" s="6"/>
      <c r="F17" s="15">
        <v>2</v>
      </c>
      <c r="G17" s="6"/>
      <c r="H17" s="6"/>
    </row>
    <row r="18" spans="1:8">
      <c r="A18" s="17" t="s">
        <v>92</v>
      </c>
      <c r="B18" s="17" t="s">
        <v>653</v>
      </c>
      <c r="C18" s="18"/>
      <c r="D18" s="13"/>
      <c r="E18" s="13"/>
      <c r="F18" s="17">
        <v>1</v>
      </c>
      <c r="G18" s="6"/>
      <c r="H18" s="6"/>
    </row>
    <row r="19" spans="1:8">
      <c r="A19" t="s">
        <v>654</v>
      </c>
      <c r="B19" s="16"/>
      <c r="D19" s="6"/>
      <c r="E19" s="6"/>
      <c r="F19" s="15">
        <v>1</v>
      </c>
      <c r="G19" s="6"/>
      <c r="H19" s="6"/>
    </row>
    <row r="20" spans="1:8">
      <c r="A20" t="s">
        <v>622</v>
      </c>
      <c r="B20" s="15" t="s">
        <v>655</v>
      </c>
      <c r="D20" s="13" t="s">
        <v>741</v>
      </c>
      <c r="E20" s="13" t="s">
        <v>741</v>
      </c>
      <c r="F20" s="15">
        <v>15</v>
      </c>
      <c r="G20" s="6"/>
      <c r="H20" s="6"/>
    </row>
    <row r="21" spans="1:8">
      <c r="A21" s="19" t="s">
        <v>681</v>
      </c>
      <c r="B21" s="15" t="s">
        <v>656</v>
      </c>
      <c r="D21" s="6"/>
      <c r="E21" s="6"/>
      <c r="F21" s="15">
        <v>5</v>
      </c>
      <c r="G21" s="6"/>
      <c r="H21" s="6"/>
    </row>
    <row r="22" spans="1:8">
      <c r="A22" s="19" t="s">
        <v>681</v>
      </c>
      <c r="B22" s="15" t="s">
        <v>657</v>
      </c>
      <c r="D22" s="6"/>
      <c r="E22" s="6"/>
      <c r="F22" s="15">
        <v>2</v>
      </c>
      <c r="G22" s="6"/>
      <c r="H22" s="6"/>
    </row>
    <row r="23" spans="1:8">
      <c r="A23" t="s">
        <v>142</v>
      </c>
      <c r="B23" s="15" t="s">
        <v>658</v>
      </c>
      <c r="D23" s="6"/>
      <c r="E23" s="6"/>
      <c r="F23" s="15">
        <v>5</v>
      </c>
      <c r="G23" s="6"/>
      <c r="H23" s="6"/>
    </row>
    <row r="24" spans="1:8">
      <c r="A24" t="s">
        <v>448</v>
      </c>
      <c r="B24" s="16"/>
      <c r="D24" s="6"/>
      <c r="E24" s="6"/>
      <c r="F24" s="15">
        <v>7</v>
      </c>
      <c r="G24" s="6"/>
      <c r="H24" s="6"/>
    </row>
    <row r="25" spans="1:8">
      <c r="A25" s="15" t="s">
        <v>109</v>
      </c>
      <c r="B25" s="16" t="s">
        <v>682</v>
      </c>
      <c r="D25" s="6"/>
      <c r="E25" s="6"/>
      <c r="F25" s="15">
        <v>2</v>
      </c>
      <c r="G25" s="6"/>
      <c r="H25" s="6"/>
    </row>
    <row r="26" spans="1:8">
      <c r="A26" s="15" t="s">
        <v>683</v>
      </c>
      <c r="B26" s="15" t="s">
        <v>659</v>
      </c>
      <c r="D26" s="6"/>
      <c r="E26" s="6"/>
      <c r="F26" s="15">
        <v>1</v>
      </c>
      <c r="G26" s="6"/>
      <c r="H26" s="6"/>
    </row>
    <row r="27" spans="1:8">
      <c r="A27" s="15" t="s">
        <v>684</v>
      </c>
      <c r="B27" s="15" t="s">
        <v>660</v>
      </c>
      <c r="D27" s="6"/>
      <c r="E27" s="6"/>
      <c r="F27" s="15">
        <v>2</v>
      </c>
      <c r="G27" s="6"/>
      <c r="H27" s="6"/>
    </row>
    <row r="28" spans="1:8">
      <c r="A28" s="15" t="s">
        <v>152</v>
      </c>
      <c r="B28" s="15" t="s">
        <v>661</v>
      </c>
      <c r="D28" s="6"/>
      <c r="E28" s="6"/>
      <c r="F28" s="15">
        <v>1</v>
      </c>
      <c r="G28" s="6"/>
      <c r="H28" s="6"/>
    </row>
    <row r="29" spans="1:8">
      <c r="A29" s="15" t="s">
        <v>152</v>
      </c>
      <c r="B29" s="15" t="s">
        <v>685</v>
      </c>
      <c r="D29" s="6"/>
      <c r="E29" s="6"/>
      <c r="F29" s="15">
        <v>1</v>
      </c>
      <c r="G29" s="6"/>
      <c r="H29" s="6"/>
    </row>
    <row r="30" spans="1:8">
      <c r="A30" s="15" t="s">
        <v>462</v>
      </c>
      <c r="B30" s="16"/>
      <c r="D30" s="6"/>
      <c r="E30" s="6"/>
      <c r="F30" s="15">
        <v>2</v>
      </c>
      <c r="G30" s="6"/>
      <c r="H30" s="6"/>
    </row>
    <row r="31" spans="1:8">
      <c r="A31" t="s">
        <v>686</v>
      </c>
      <c r="B31" s="16" t="s">
        <v>687</v>
      </c>
      <c r="D31" s="6"/>
      <c r="E31" s="6"/>
      <c r="F31" s="15">
        <v>1</v>
      </c>
      <c r="G31" s="6"/>
      <c r="H31" s="6"/>
    </row>
    <row r="32" spans="1:8">
      <c r="A32" s="15" t="s">
        <v>688</v>
      </c>
      <c r="B32" s="15" t="s">
        <v>662</v>
      </c>
      <c r="C32" s="4" t="s">
        <v>689</v>
      </c>
      <c r="D32" s="6"/>
      <c r="E32" s="6"/>
      <c r="F32" s="15">
        <v>1</v>
      </c>
      <c r="G32" s="6"/>
      <c r="H32" s="6"/>
    </row>
    <row r="33" spans="1:8">
      <c r="A33" s="15" t="s">
        <v>290</v>
      </c>
      <c r="B33" s="15" t="s">
        <v>663</v>
      </c>
      <c r="D33" s="6"/>
      <c r="E33" s="6"/>
      <c r="F33" s="15">
        <v>1</v>
      </c>
      <c r="G33" s="6"/>
      <c r="H33" s="6"/>
    </row>
    <row r="34" spans="1:8">
      <c r="A34" s="15" t="s">
        <v>128</v>
      </c>
      <c r="B34" s="16"/>
      <c r="D34" s="6"/>
      <c r="E34" s="6"/>
      <c r="F34" s="15">
        <v>1</v>
      </c>
      <c r="G34" s="6"/>
      <c r="H34" s="6"/>
    </row>
    <row r="35" spans="1:8">
      <c r="A35" s="15" t="s">
        <v>690</v>
      </c>
      <c r="B35" s="15" t="s">
        <v>664</v>
      </c>
      <c r="D35" s="6"/>
      <c r="E35" s="6"/>
      <c r="F35" s="15">
        <v>2</v>
      </c>
      <c r="G35" s="6"/>
      <c r="H35" s="6"/>
    </row>
    <row r="36" spans="1:8">
      <c r="A36" s="15" t="s">
        <v>113</v>
      </c>
      <c r="B36" s="15" t="s">
        <v>665</v>
      </c>
      <c r="D36" s="6"/>
      <c r="E36" s="6"/>
      <c r="F36" s="15">
        <v>1</v>
      </c>
      <c r="G36" s="6"/>
      <c r="H36" s="6"/>
    </row>
    <row r="37" spans="1:8">
      <c r="A37" s="15" t="s">
        <v>252</v>
      </c>
      <c r="B37" s="15" t="s">
        <v>666</v>
      </c>
      <c r="D37" s="6"/>
      <c r="E37" s="6"/>
      <c r="F37" s="15">
        <v>2</v>
      </c>
      <c r="G37" s="6"/>
      <c r="H37" s="6"/>
    </row>
    <row r="38" spans="1:8">
      <c r="A38" s="15" t="s">
        <v>690</v>
      </c>
      <c r="B38" s="15" t="s">
        <v>667</v>
      </c>
      <c r="D38" s="6"/>
      <c r="E38" s="6"/>
      <c r="F38" s="15">
        <v>2</v>
      </c>
      <c r="G38" s="6"/>
      <c r="H38" s="6"/>
    </row>
    <row r="39" spans="1:8">
      <c r="A39" s="15" t="s">
        <v>690</v>
      </c>
      <c r="B39" s="15" t="s">
        <v>668</v>
      </c>
      <c r="D39" s="6"/>
      <c r="E39" s="6"/>
      <c r="F39" s="15">
        <v>1</v>
      </c>
      <c r="G39" s="6"/>
      <c r="H39" s="6"/>
    </row>
    <row r="40" spans="1:8">
      <c r="A40" s="15" t="s">
        <v>690</v>
      </c>
      <c r="B40" s="15" t="s">
        <v>691</v>
      </c>
      <c r="D40" s="6"/>
      <c r="E40" s="6"/>
      <c r="F40" s="15">
        <v>6</v>
      </c>
      <c r="G40" s="6"/>
      <c r="H40" s="6"/>
    </row>
    <row r="41" spans="1:8">
      <c r="A41" s="15" t="s">
        <v>690</v>
      </c>
      <c r="B41" s="15" t="s">
        <v>692</v>
      </c>
      <c r="D41" s="6"/>
      <c r="E41" s="6"/>
      <c r="F41" s="15">
        <v>3</v>
      </c>
      <c r="G41" s="6"/>
      <c r="H41" s="6"/>
    </row>
    <row r="42" spans="1:8">
      <c r="A42" s="15" t="s">
        <v>690</v>
      </c>
      <c r="B42" s="15" t="s">
        <v>693</v>
      </c>
      <c r="D42" s="6"/>
      <c r="E42" s="6"/>
      <c r="F42" s="15">
        <v>1</v>
      </c>
      <c r="G42" s="6"/>
      <c r="H42" s="6"/>
    </row>
    <row r="43" spans="1:8">
      <c r="A43" s="15" t="s">
        <v>690</v>
      </c>
      <c r="B43" s="15" t="s">
        <v>694</v>
      </c>
      <c r="D43" s="6"/>
      <c r="E43" s="6"/>
      <c r="F43" s="15">
        <v>1</v>
      </c>
      <c r="G43" s="6"/>
      <c r="H43" s="6"/>
    </row>
    <row r="44" spans="1:8">
      <c r="A44" s="15" t="s">
        <v>461</v>
      </c>
      <c r="B44" s="16"/>
      <c r="D44" s="6"/>
      <c r="E44" s="6"/>
      <c r="F44" s="20">
        <v>45</v>
      </c>
      <c r="G44" s="6"/>
      <c r="H44" s="6"/>
    </row>
    <row r="45" spans="1:8">
      <c r="A45" s="15" t="s">
        <v>40</v>
      </c>
      <c r="B45" s="15"/>
      <c r="C45" s="4" t="s">
        <v>250</v>
      </c>
      <c r="D45" s="6"/>
      <c r="E45" s="6"/>
      <c r="F45" s="20">
        <v>14</v>
      </c>
      <c r="G45" s="6"/>
      <c r="H45" s="6"/>
    </row>
    <row r="46" spans="1:8">
      <c r="A46" s="15" t="s">
        <v>147</v>
      </c>
      <c r="B46" s="15" t="s">
        <v>695</v>
      </c>
      <c r="D46" s="6"/>
      <c r="E46" s="6"/>
      <c r="F46" s="20">
        <v>1</v>
      </c>
      <c r="G46" s="6"/>
      <c r="H46" s="6"/>
    </row>
    <row r="47" spans="1:8">
      <c r="A47" s="15" t="s">
        <v>690</v>
      </c>
      <c r="B47" s="15" t="s">
        <v>696</v>
      </c>
      <c r="D47" s="6"/>
      <c r="E47" s="6"/>
      <c r="F47" s="20">
        <v>1</v>
      </c>
      <c r="G47" s="6"/>
      <c r="H47" s="6"/>
    </row>
    <row r="48" spans="1:8">
      <c r="A48" s="15" t="s">
        <v>706</v>
      </c>
      <c r="B48" s="15" t="s">
        <v>711</v>
      </c>
      <c r="C48" s="4" t="s">
        <v>708</v>
      </c>
      <c r="D48" s="6"/>
      <c r="E48" s="6"/>
      <c r="F48" s="20">
        <v>8</v>
      </c>
      <c r="G48" s="6"/>
      <c r="H48" s="6"/>
    </row>
    <row r="49" spans="1:8">
      <c r="A49" s="15" t="s">
        <v>88</v>
      </c>
      <c r="B49" s="16" t="s">
        <v>712</v>
      </c>
      <c r="D49" s="6"/>
      <c r="E49" s="6"/>
      <c r="F49" s="20">
        <v>3</v>
      </c>
      <c r="G49" s="6"/>
      <c r="H49" s="6"/>
    </row>
    <row r="50" spans="1:8">
      <c r="A50" s="15" t="s">
        <v>88</v>
      </c>
      <c r="B50" s="16" t="s">
        <v>713</v>
      </c>
      <c r="D50" s="6"/>
      <c r="E50" s="6"/>
      <c r="F50" s="20">
        <v>18</v>
      </c>
      <c r="G50" s="6"/>
      <c r="H50" s="6"/>
    </row>
    <row r="51" spans="1:8">
      <c r="A51" s="15" t="s">
        <v>88</v>
      </c>
      <c r="B51" s="16" t="s">
        <v>293</v>
      </c>
      <c r="D51" s="6"/>
      <c r="E51" s="6"/>
      <c r="F51" s="20">
        <v>13</v>
      </c>
      <c r="G51" s="6"/>
      <c r="H51" s="6"/>
    </row>
    <row r="52" spans="1:8">
      <c r="A52" s="15" t="s">
        <v>88</v>
      </c>
      <c r="B52" s="15" t="s">
        <v>714</v>
      </c>
      <c r="D52" s="6"/>
      <c r="E52" s="6"/>
      <c r="F52" s="20">
        <v>3</v>
      </c>
      <c r="G52" s="6"/>
      <c r="H52" s="6"/>
    </row>
    <row r="53" spans="1:8">
      <c r="A53" s="15" t="s">
        <v>706</v>
      </c>
      <c r="B53" s="15"/>
      <c r="C53" s="4" t="s">
        <v>708</v>
      </c>
      <c r="D53" s="6"/>
      <c r="E53" s="6"/>
      <c r="F53" s="20">
        <v>1</v>
      </c>
      <c r="G53" s="6"/>
      <c r="H53" s="6"/>
    </row>
    <row r="54" spans="1:8">
      <c r="A54" s="15" t="s">
        <v>706</v>
      </c>
      <c r="B54" s="15"/>
      <c r="C54" s="4" t="s">
        <v>707</v>
      </c>
      <c r="D54" s="6"/>
      <c r="E54" s="6"/>
      <c r="F54" s="20">
        <v>2</v>
      </c>
      <c r="G54" s="6"/>
      <c r="H54" s="6"/>
    </row>
    <row r="55" spans="1:8">
      <c r="A55" t="s">
        <v>697</v>
      </c>
      <c r="B55" s="16"/>
      <c r="D55" s="6"/>
      <c r="E55" s="6"/>
      <c r="F55" s="20">
        <v>1</v>
      </c>
      <c r="G55" s="6"/>
      <c r="H55" s="6"/>
    </row>
    <row r="56" spans="1:8">
      <c r="A56" s="15" t="s">
        <v>431</v>
      </c>
      <c r="B56" s="16" t="s">
        <v>715</v>
      </c>
      <c r="D56" s="6"/>
      <c r="E56" s="6"/>
      <c r="F56" s="20">
        <v>1</v>
      </c>
      <c r="G56" s="6"/>
      <c r="H56" s="6"/>
    </row>
    <row r="57" spans="1:8">
      <c r="A57" s="15" t="s">
        <v>690</v>
      </c>
      <c r="B57" s="15" t="s">
        <v>698</v>
      </c>
      <c r="D57" s="6"/>
      <c r="E57" s="6"/>
      <c r="F57" s="20">
        <v>1</v>
      </c>
      <c r="G57" s="6"/>
      <c r="H57" s="6"/>
    </row>
    <row r="58" spans="1:8">
      <c r="A58" s="15" t="s">
        <v>690</v>
      </c>
      <c r="B58" s="15" t="s">
        <v>699</v>
      </c>
      <c r="D58" s="6"/>
      <c r="E58" s="6"/>
      <c r="F58" s="20">
        <v>1</v>
      </c>
      <c r="G58" s="6"/>
      <c r="H58" s="6"/>
    </row>
    <row r="59" spans="1:8">
      <c r="A59" s="15" t="s">
        <v>89</v>
      </c>
      <c r="B59" s="15"/>
      <c r="D59" s="6"/>
      <c r="E59" s="6"/>
      <c r="F59" s="20">
        <v>2</v>
      </c>
      <c r="G59" s="6"/>
      <c r="H59" s="6"/>
    </row>
    <row r="60" spans="1:8">
      <c r="A60" t="s">
        <v>294</v>
      </c>
      <c r="B60" s="15" t="s">
        <v>700</v>
      </c>
      <c r="D60" s="6"/>
      <c r="E60" s="6"/>
      <c r="F60" s="20">
        <v>1</v>
      </c>
      <c r="G60" s="6"/>
      <c r="H60" s="6"/>
    </row>
    <row r="61" spans="1:8">
      <c r="A61" s="15" t="s">
        <v>169</v>
      </c>
      <c r="B61" s="16"/>
      <c r="D61" s="6"/>
      <c r="E61" s="6"/>
      <c r="F61" s="20">
        <v>3</v>
      </c>
      <c r="G61" s="6"/>
      <c r="H61" s="6"/>
    </row>
    <row r="62" spans="1:8">
      <c r="A62" s="15" t="s">
        <v>152</v>
      </c>
      <c r="B62" s="15" t="s">
        <v>701</v>
      </c>
      <c r="D62" s="6"/>
      <c r="E62" s="6"/>
      <c r="F62" s="20">
        <v>1</v>
      </c>
      <c r="G62" s="6"/>
      <c r="H62" s="6"/>
    </row>
    <row r="63" spans="1:8">
      <c r="A63" s="15" t="s">
        <v>690</v>
      </c>
      <c r="B63" s="15" t="s">
        <v>702</v>
      </c>
      <c r="D63" s="6"/>
      <c r="E63" s="6"/>
      <c r="F63" s="20">
        <v>11</v>
      </c>
      <c r="G63" s="6"/>
      <c r="H63" s="6"/>
    </row>
    <row r="64" spans="1:8">
      <c r="A64" s="15" t="s">
        <v>690</v>
      </c>
      <c r="B64" s="15" t="s">
        <v>717</v>
      </c>
      <c r="D64" s="6"/>
      <c r="E64" s="6"/>
      <c r="F64" s="20">
        <v>1</v>
      </c>
      <c r="G64" s="6"/>
      <c r="H64" s="6"/>
    </row>
    <row r="65" spans="1:8">
      <c r="A65" s="15" t="s">
        <v>32</v>
      </c>
      <c r="B65" s="16" t="s">
        <v>716</v>
      </c>
      <c r="C65" s="13" t="s">
        <v>634</v>
      </c>
      <c r="D65" s="6"/>
      <c r="E65" s="6"/>
      <c r="F65" s="20">
        <v>1</v>
      </c>
      <c r="G65" s="6"/>
      <c r="H65" s="6"/>
    </row>
    <row r="66" spans="1:8">
      <c r="A66" s="15" t="s">
        <v>59</v>
      </c>
      <c r="B66" s="16" t="s">
        <v>121</v>
      </c>
      <c r="C66" s="13" t="s">
        <v>634</v>
      </c>
      <c r="D66" s="6"/>
      <c r="E66" s="6"/>
      <c r="F66" s="20">
        <v>1</v>
      </c>
      <c r="G66" s="6"/>
      <c r="H66" s="6"/>
    </row>
    <row r="67" spans="1:8">
      <c r="A67" s="15" t="s">
        <v>32</v>
      </c>
      <c r="B67" s="16" t="s">
        <v>718</v>
      </c>
      <c r="C67" s="13" t="s">
        <v>634</v>
      </c>
      <c r="D67" s="6"/>
      <c r="E67" s="6"/>
      <c r="F67" s="20">
        <v>1</v>
      </c>
      <c r="G67" s="6"/>
      <c r="H67" s="6"/>
    </row>
    <row r="68" spans="1:8">
      <c r="A68" s="15" t="s">
        <v>32</v>
      </c>
      <c r="B68" s="16" t="s">
        <v>719</v>
      </c>
      <c r="C68" s="13" t="s">
        <v>634</v>
      </c>
      <c r="D68" s="6"/>
      <c r="E68" s="6"/>
      <c r="F68" s="20">
        <v>2</v>
      </c>
      <c r="G68" s="6"/>
      <c r="H68" s="6"/>
    </row>
    <row r="69" spans="1:8">
      <c r="A69" s="15" t="s">
        <v>706</v>
      </c>
      <c r="B69" s="15" t="s">
        <v>720</v>
      </c>
      <c r="C69" s="4" t="s">
        <v>709</v>
      </c>
      <c r="D69" s="6"/>
      <c r="E69" s="6"/>
      <c r="F69" s="20">
        <v>405</v>
      </c>
      <c r="G69" s="6"/>
      <c r="H69" s="6"/>
    </row>
    <row r="70" spans="1:8">
      <c r="A70" s="15" t="s">
        <v>706</v>
      </c>
      <c r="B70" s="15" t="s">
        <v>720</v>
      </c>
      <c r="C70" s="4" t="s">
        <v>707</v>
      </c>
      <c r="D70" s="6"/>
      <c r="E70" s="6"/>
      <c r="F70" s="20">
        <v>151</v>
      </c>
      <c r="G70" s="6"/>
      <c r="H70" s="6"/>
    </row>
    <row r="71" spans="1:8">
      <c r="A71" s="15" t="s">
        <v>706</v>
      </c>
      <c r="B71" s="15" t="s">
        <v>721</v>
      </c>
      <c r="C71" s="4" t="s">
        <v>709</v>
      </c>
      <c r="D71" s="6"/>
      <c r="E71" s="6"/>
      <c r="F71" s="20">
        <v>4</v>
      </c>
      <c r="G71" s="6"/>
      <c r="H71" s="6"/>
    </row>
    <row r="72" spans="1:8">
      <c r="A72" s="15" t="s">
        <v>706</v>
      </c>
      <c r="B72" s="15" t="s">
        <v>721</v>
      </c>
      <c r="C72" s="4" t="s">
        <v>707</v>
      </c>
      <c r="D72" s="6"/>
      <c r="E72" s="6"/>
      <c r="F72" s="20">
        <v>3</v>
      </c>
      <c r="G72" s="6"/>
      <c r="H72" s="6"/>
    </row>
    <row r="73" spans="1:8">
      <c r="A73" s="15" t="s">
        <v>722</v>
      </c>
      <c r="B73" s="16"/>
      <c r="D73" s="6"/>
      <c r="E73" s="6"/>
      <c r="F73" s="20">
        <v>2</v>
      </c>
      <c r="G73" s="6"/>
      <c r="H73" s="6"/>
    </row>
    <row r="74" spans="1:8">
      <c r="A74" s="15" t="s">
        <v>86</v>
      </c>
      <c r="B74" s="16"/>
      <c r="D74" s="6"/>
      <c r="E74" s="6"/>
      <c r="F74" s="20">
        <v>2</v>
      </c>
      <c r="G74" s="6"/>
      <c r="H74" s="6"/>
    </row>
    <row r="75" spans="1:8" ht="30">
      <c r="A75" s="15" t="s">
        <v>561</v>
      </c>
      <c r="B75" s="15" t="s">
        <v>723</v>
      </c>
      <c r="D75" s="6"/>
      <c r="E75" s="6"/>
      <c r="F75" s="20">
        <v>1</v>
      </c>
      <c r="G75" s="6"/>
      <c r="H75" s="6"/>
    </row>
    <row r="76" spans="1:8">
      <c r="A76" s="15" t="s">
        <v>11</v>
      </c>
      <c r="B76" s="15" t="s">
        <v>350</v>
      </c>
      <c r="C76" t="s">
        <v>724</v>
      </c>
      <c r="D76" s="6"/>
      <c r="E76" s="6"/>
      <c r="F76" s="20">
        <v>3</v>
      </c>
      <c r="G76" s="6"/>
      <c r="H76" s="6"/>
    </row>
    <row r="77" spans="1:8">
      <c r="A77" s="15" t="s">
        <v>11</v>
      </c>
      <c r="B77" s="15"/>
      <c r="C77" s="4" t="s">
        <v>120</v>
      </c>
      <c r="D77" s="6"/>
      <c r="E77" s="6"/>
      <c r="F77" s="20">
        <v>5</v>
      </c>
      <c r="G77" s="6"/>
      <c r="H77" s="6"/>
    </row>
    <row r="78" spans="1:8">
      <c r="A78" s="15" t="s">
        <v>11</v>
      </c>
      <c r="B78" s="15"/>
      <c r="C78" s="4" t="s">
        <v>41</v>
      </c>
      <c r="D78" s="6"/>
      <c r="E78" s="6"/>
      <c r="F78" s="20">
        <v>2</v>
      </c>
      <c r="G78" s="6"/>
      <c r="H78" s="6"/>
    </row>
    <row r="79" spans="1:8">
      <c r="A79" s="15" t="s">
        <v>11</v>
      </c>
      <c r="B79" s="15"/>
      <c r="C79" s="4" t="s">
        <v>725</v>
      </c>
      <c r="D79" s="6"/>
      <c r="E79" s="6"/>
      <c r="F79" s="20">
        <v>4</v>
      </c>
      <c r="G79" s="6"/>
      <c r="H79" s="6"/>
    </row>
    <row r="80" spans="1:8">
      <c r="A80" t="s">
        <v>703</v>
      </c>
      <c r="B80" s="16"/>
      <c r="D80" s="6"/>
      <c r="E80" s="6"/>
      <c r="F80" s="20">
        <v>5</v>
      </c>
      <c r="G80" s="6"/>
      <c r="H80" s="6"/>
    </row>
    <row r="81" spans="1:8">
      <c r="A81" s="15" t="s">
        <v>697</v>
      </c>
      <c r="B81" s="16"/>
      <c r="D81" s="6"/>
      <c r="E81" s="6"/>
      <c r="F81" s="20">
        <v>1</v>
      </c>
      <c r="G81" s="6"/>
      <c r="H81" s="6"/>
    </row>
    <row r="82" spans="1:8">
      <c r="A82" s="15" t="s">
        <v>461</v>
      </c>
      <c r="B82" s="16"/>
      <c r="D82" s="6"/>
      <c r="E82" s="6"/>
      <c r="F82" s="20">
        <v>45</v>
      </c>
      <c r="G82" s="6"/>
      <c r="H82" s="6"/>
    </row>
    <row r="83" spans="1:8">
      <c r="A83" s="15" t="s">
        <v>622</v>
      </c>
      <c r="B83" s="15" t="s">
        <v>704</v>
      </c>
      <c r="D83" s="6"/>
      <c r="E83" s="6"/>
      <c r="F83" s="20">
        <v>5</v>
      </c>
      <c r="G83" s="6"/>
      <c r="H83" s="6"/>
    </row>
    <row r="84" spans="1:8">
      <c r="A84" s="15" t="s">
        <v>622</v>
      </c>
      <c r="B84" s="15" t="s">
        <v>705</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235</v>
      </c>
      <c r="G1" s="4" t="s">
        <v>13</v>
      </c>
      <c r="H1" s="4" t="s">
        <v>227</v>
      </c>
    </row>
    <row r="2" spans="1:28">
      <c r="A2" s="4" t="s">
        <v>206</v>
      </c>
      <c r="B2" s="7">
        <v>2016</v>
      </c>
      <c r="C2" s="6"/>
      <c r="D2" s="6"/>
      <c r="E2" s="6"/>
      <c r="F2" s="6">
        <v>1</v>
      </c>
      <c r="G2" s="6" t="s">
        <v>230</v>
      </c>
      <c r="H2" s="6" t="s">
        <v>7</v>
      </c>
    </row>
    <row r="3" spans="1:28">
      <c r="A3" s="6" t="s">
        <v>208</v>
      </c>
      <c r="B3" s="7"/>
      <c r="C3" s="6" t="s">
        <v>162</v>
      </c>
      <c r="D3" s="6"/>
      <c r="E3" s="6"/>
      <c r="F3" s="6">
        <v>1</v>
      </c>
      <c r="G3" s="6" t="s">
        <v>230</v>
      </c>
      <c r="H3" s="6" t="s">
        <v>7</v>
      </c>
      <c r="J3" t="s">
        <v>0</v>
      </c>
      <c r="K3" t="s">
        <v>1</v>
      </c>
      <c r="L3" t="s">
        <v>2</v>
      </c>
      <c r="M3" s="4" t="s">
        <v>3</v>
      </c>
      <c r="N3" s="4" t="s">
        <v>4</v>
      </c>
      <c r="O3" s="4" t="s">
        <v>235</v>
      </c>
      <c r="P3" t="s">
        <v>14</v>
      </c>
      <c r="T3" t="s">
        <v>28</v>
      </c>
      <c r="V3" s="46" t="s">
        <v>225</v>
      </c>
      <c r="W3" s="46"/>
      <c r="X3" s="46"/>
      <c r="Y3" s="46"/>
      <c r="Z3" s="46"/>
      <c r="AA3" s="46"/>
    </row>
    <row r="4" spans="1:28" ht="30">
      <c r="A4" s="6" t="s">
        <v>252</v>
      </c>
      <c r="B4" s="7" t="s">
        <v>726</v>
      </c>
      <c r="C4" s="6"/>
      <c r="D4" s="6"/>
      <c r="E4" s="6"/>
      <c r="F4" s="6">
        <v>1</v>
      </c>
      <c r="G4" s="6" t="s">
        <v>230</v>
      </c>
      <c r="H4" s="6" t="s">
        <v>7</v>
      </c>
      <c r="J4" t="s">
        <v>152</v>
      </c>
      <c r="K4" t="s">
        <v>401</v>
      </c>
      <c r="O4">
        <v>1</v>
      </c>
      <c r="P4" t="s">
        <v>29</v>
      </c>
      <c r="T4" t="s">
        <v>29</v>
      </c>
      <c r="V4" t="s">
        <v>230</v>
      </c>
      <c r="W4" t="s">
        <v>8</v>
      </c>
      <c r="X4" t="s">
        <v>5</v>
      </c>
      <c r="Y4" t="s">
        <v>6</v>
      </c>
      <c r="Z4" t="s">
        <v>9</v>
      </c>
      <c r="AA4" t="s">
        <v>730</v>
      </c>
      <c r="AB4" t="s">
        <v>36</v>
      </c>
    </row>
    <row r="5" spans="1:28" ht="30">
      <c r="A5" s="6" t="s">
        <v>628</v>
      </c>
      <c r="B5" s="7" t="s">
        <v>727</v>
      </c>
      <c r="C5" s="6"/>
      <c r="D5" s="6"/>
      <c r="E5" s="6"/>
      <c r="F5" s="6">
        <v>1</v>
      </c>
      <c r="G5" s="6" t="s">
        <v>230</v>
      </c>
      <c r="H5" s="6" t="s">
        <v>7</v>
      </c>
      <c r="J5" t="s">
        <v>152</v>
      </c>
      <c r="K5" t="s">
        <v>402</v>
      </c>
      <c r="O5">
        <v>1</v>
      </c>
      <c r="P5" t="s">
        <v>29</v>
      </c>
      <c r="V5" t="s">
        <v>7</v>
      </c>
      <c r="W5" t="s">
        <v>740</v>
      </c>
      <c r="X5" t="s">
        <v>740</v>
      </c>
      <c r="Y5" t="s">
        <v>740</v>
      </c>
      <c r="Z5" t="s">
        <v>740</v>
      </c>
      <c r="AA5" t="s">
        <v>740</v>
      </c>
      <c r="AB5" t="s">
        <v>753</v>
      </c>
    </row>
    <row r="6" spans="1:28">
      <c r="A6" s="6" t="s">
        <v>728</v>
      </c>
      <c r="B6" s="7"/>
      <c r="C6" s="6"/>
      <c r="D6" s="6"/>
      <c r="E6" s="6"/>
      <c r="F6" s="6">
        <v>1</v>
      </c>
      <c r="G6" s="6" t="s">
        <v>230</v>
      </c>
      <c r="H6" s="6" t="s">
        <v>7</v>
      </c>
      <c r="J6" t="s">
        <v>339</v>
      </c>
      <c r="K6" t="s">
        <v>154</v>
      </c>
      <c r="O6">
        <v>5</v>
      </c>
      <c r="P6" t="s">
        <v>29</v>
      </c>
      <c r="V6" t="s">
        <v>740</v>
      </c>
    </row>
    <row r="7" spans="1:28">
      <c r="A7" s="6" t="s">
        <v>187</v>
      </c>
      <c r="B7" s="7" t="s">
        <v>729</v>
      </c>
      <c r="C7" s="6"/>
      <c r="D7" s="6"/>
      <c r="E7" s="6"/>
      <c r="F7" s="6">
        <v>1</v>
      </c>
      <c r="G7" s="6" t="s">
        <v>230</v>
      </c>
      <c r="H7" s="6" t="s">
        <v>7</v>
      </c>
      <c r="J7" t="s">
        <v>339</v>
      </c>
      <c r="K7" t="s">
        <v>419</v>
      </c>
      <c r="O7">
        <v>2</v>
      </c>
      <c r="P7" t="s">
        <v>29</v>
      </c>
    </row>
    <row r="8" spans="1:28">
      <c r="A8" s="6" t="s">
        <v>191</v>
      </c>
      <c r="B8" s="7"/>
      <c r="C8" s="6"/>
      <c r="D8" s="6"/>
      <c r="E8" s="6"/>
      <c r="F8" s="6">
        <v>1</v>
      </c>
      <c r="G8" s="6" t="s">
        <v>230</v>
      </c>
      <c r="H8" s="6" t="s">
        <v>7</v>
      </c>
      <c r="J8" t="s">
        <v>152</v>
      </c>
      <c r="K8" t="s">
        <v>549</v>
      </c>
      <c r="O8">
        <v>1</v>
      </c>
      <c r="P8" t="s">
        <v>29</v>
      </c>
    </row>
    <row r="9" spans="1:28">
      <c r="A9" s="6" t="s">
        <v>355</v>
      </c>
      <c r="B9" s="7"/>
      <c r="C9" s="6" t="s">
        <v>579</v>
      </c>
      <c r="D9" s="6"/>
      <c r="E9" s="6"/>
      <c r="F9" s="6">
        <v>1</v>
      </c>
      <c r="G9" s="23" t="s">
        <v>730</v>
      </c>
      <c r="H9" t="s">
        <v>740</v>
      </c>
      <c r="J9" t="s">
        <v>140</v>
      </c>
      <c r="K9" t="s">
        <v>245</v>
      </c>
      <c r="O9">
        <v>1</v>
      </c>
      <c r="P9" t="s">
        <v>29</v>
      </c>
    </row>
    <row r="10" spans="1:28">
      <c r="A10" s="6" t="s">
        <v>355</v>
      </c>
      <c r="B10" s="7"/>
      <c r="C10" s="6" t="s">
        <v>580</v>
      </c>
      <c r="D10" s="6"/>
      <c r="E10" s="6"/>
      <c r="F10" s="6">
        <v>2</v>
      </c>
      <c r="G10" s="23" t="s">
        <v>730</v>
      </c>
      <c r="H10" t="s">
        <v>740</v>
      </c>
      <c r="J10" t="s">
        <v>152</v>
      </c>
      <c r="K10" t="s">
        <v>734</v>
      </c>
      <c r="O10">
        <v>1</v>
      </c>
      <c r="P10" t="s">
        <v>29</v>
      </c>
    </row>
    <row r="11" spans="1:28">
      <c r="A11" s="6" t="s">
        <v>355</v>
      </c>
      <c r="B11" s="7"/>
      <c r="C11" s="6" t="s">
        <v>731</v>
      </c>
      <c r="D11" s="6"/>
      <c r="E11" s="6"/>
      <c r="F11" s="6">
        <v>2</v>
      </c>
      <c r="G11" s="23" t="s">
        <v>730</v>
      </c>
      <c r="H11" t="s">
        <v>740</v>
      </c>
      <c r="J11" t="s">
        <v>152</v>
      </c>
      <c r="K11" t="s">
        <v>735</v>
      </c>
      <c r="O11">
        <v>1</v>
      </c>
      <c r="P11" t="s">
        <v>29</v>
      </c>
    </row>
    <row r="12" spans="1:28">
      <c r="A12" s="6" t="s">
        <v>732</v>
      </c>
      <c r="B12" s="7"/>
      <c r="C12" s="6"/>
      <c r="D12" s="6"/>
      <c r="E12" s="6"/>
      <c r="F12" s="6">
        <v>1</v>
      </c>
      <c r="G12" s="23" t="s">
        <v>730</v>
      </c>
      <c r="H12" t="s">
        <v>740</v>
      </c>
      <c r="J12" t="s">
        <v>152</v>
      </c>
      <c r="K12" t="s">
        <v>599</v>
      </c>
      <c r="O12">
        <v>1</v>
      </c>
      <c r="P12" t="s">
        <v>29</v>
      </c>
    </row>
    <row r="13" spans="1:28">
      <c r="A13" s="6" t="s">
        <v>733</v>
      </c>
      <c r="B13" s="7"/>
      <c r="C13" s="6"/>
      <c r="D13" s="6"/>
      <c r="E13" s="6"/>
      <c r="F13" s="6">
        <v>4</v>
      </c>
      <c r="G13" s="23" t="s">
        <v>730</v>
      </c>
      <c r="H13" t="s">
        <v>740</v>
      </c>
      <c r="J13" t="s">
        <v>152</v>
      </c>
      <c r="K13" t="s">
        <v>20</v>
      </c>
      <c r="O13">
        <v>2</v>
      </c>
      <c r="P13" t="s">
        <v>29</v>
      </c>
    </row>
    <row r="14" spans="1:28">
      <c r="A14" s="6" t="s">
        <v>142</v>
      </c>
      <c r="B14" s="7"/>
      <c r="C14" s="6"/>
      <c r="D14" s="6"/>
      <c r="E14" s="6"/>
      <c r="F14" s="6">
        <v>1</v>
      </c>
      <c r="G14" s="23" t="s">
        <v>730</v>
      </c>
      <c r="H14" t="s">
        <v>740</v>
      </c>
      <c r="J14" t="s">
        <v>152</v>
      </c>
      <c r="K14" t="s">
        <v>265</v>
      </c>
      <c r="O14">
        <v>1</v>
      </c>
      <c r="P14" t="s">
        <v>29</v>
      </c>
    </row>
    <row r="15" spans="1:28">
      <c r="A15" s="6" t="s">
        <v>88</v>
      </c>
      <c r="B15" s="7" t="s">
        <v>478</v>
      </c>
      <c r="C15" s="6"/>
      <c r="D15" s="6"/>
      <c r="E15" s="6"/>
      <c r="F15" s="6">
        <v>2</v>
      </c>
      <c r="G15" s="23" t="s">
        <v>730</v>
      </c>
      <c r="H15" t="s">
        <v>740</v>
      </c>
      <c r="J15" t="s">
        <v>136</v>
      </c>
      <c r="K15" t="s">
        <v>192</v>
      </c>
      <c r="P15" t="s">
        <v>29</v>
      </c>
    </row>
    <row r="16" spans="1:28" ht="315">
      <c r="A16" s="6" t="s">
        <v>363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230</v>
      </c>
      <c r="H16" t="s">
        <v>740</v>
      </c>
      <c r="J16" t="s">
        <v>152</v>
      </c>
      <c r="K16" t="s">
        <v>736</v>
      </c>
      <c r="P16" t="s">
        <v>29</v>
      </c>
    </row>
    <row r="17" spans="1:16">
      <c r="A17" s="6" t="s">
        <v>186</v>
      </c>
      <c r="B17" s="7"/>
      <c r="C17" s="6"/>
      <c r="D17" s="6"/>
      <c r="E17" s="6"/>
      <c r="F17" s="6">
        <v>3</v>
      </c>
      <c r="G17" s="6" t="s">
        <v>230</v>
      </c>
      <c r="H17" t="s">
        <v>740</v>
      </c>
      <c r="J17" t="s">
        <v>152</v>
      </c>
      <c r="K17" t="s">
        <v>597</v>
      </c>
      <c r="P17" t="s">
        <v>29</v>
      </c>
    </row>
    <row r="18" spans="1:16">
      <c r="A18" s="6" t="s">
        <v>184</v>
      </c>
      <c r="B18" s="7"/>
      <c r="C18" s="6"/>
      <c r="D18" s="6"/>
      <c r="E18" s="6"/>
      <c r="F18" s="6">
        <v>1</v>
      </c>
      <c r="G18" s="6" t="s">
        <v>230</v>
      </c>
      <c r="H18" t="s">
        <v>740</v>
      </c>
    </row>
    <row r="19" spans="1:16" ht="30">
      <c r="A19" s="6" t="s">
        <v>737</v>
      </c>
      <c r="B19" s="7" t="s">
        <v>738</v>
      </c>
      <c r="C19" s="6"/>
      <c r="D19" s="6" t="s">
        <v>48</v>
      </c>
      <c r="E19" s="6"/>
      <c r="F19" s="6">
        <v>1</v>
      </c>
      <c r="G19" s="6" t="s">
        <v>230</v>
      </c>
      <c r="H19" t="s">
        <v>740</v>
      </c>
    </row>
    <row r="20" spans="1:16">
      <c r="A20" s="6" t="s">
        <v>53</v>
      </c>
      <c r="B20" s="7"/>
      <c r="C20" s="6"/>
      <c r="D20" s="6"/>
      <c r="E20" s="6"/>
      <c r="F20" s="6">
        <v>4</v>
      </c>
      <c r="G20" s="6" t="s">
        <v>9</v>
      </c>
      <c r="H20" t="s">
        <v>740</v>
      </c>
    </row>
    <row r="21" spans="1:16">
      <c r="A21" s="6" t="s">
        <v>156</v>
      </c>
      <c r="B21" s="7"/>
      <c r="C21" s="6" t="s">
        <v>588</v>
      </c>
      <c r="D21" s="6"/>
      <c r="E21" s="6"/>
      <c r="F21" s="6">
        <v>1</v>
      </c>
      <c r="G21" s="6" t="s">
        <v>9</v>
      </c>
      <c r="H21" t="s">
        <v>740</v>
      </c>
    </row>
    <row r="22" spans="1:16" ht="45">
      <c r="A22" s="6" t="s">
        <v>32</v>
      </c>
      <c r="B22" s="7" t="s">
        <v>739</v>
      </c>
      <c r="C22" t="s">
        <v>741</v>
      </c>
      <c r="D22" s="6"/>
      <c r="E22" s="6"/>
      <c r="F22" s="6">
        <v>1</v>
      </c>
      <c r="G22" s="6" t="s">
        <v>9</v>
      </c>
      <c r="H22" t="s">
        <v>740</v>
      </c>
    </row>
    <row r="23" spans="1:16">
      <c r="A23" s="6" t="s">
        <v>73</v>
      </c>
      <c r="B23" s="7" t="s">
        <v>279</v>
      </c>
      <c r="C23" t="s">
        <v>741</v>
      </c>
      <c r="D23" s="6"/>
      <c r="E23" s="6"/>
      <c r="F23" s="6">
        <v>1</v>
      </c>
      <c r="G23" s="6" t="s">
        <v>9</v>
      </c>
      <c r="H23" t="s">
        <v>740</v>
      </c>
    </row>
    <row r="24" spans="1:16">
      <c r="A24" s="6" t="s">
        <v>152</v>
      </c>
      <c r="B24" s="7" t="s">
        <v>661</v>
      </c>
      <c r="C24" s="6"/>
      <c r="D24" s="6"/>
      <c r="E24" s="6"/>
      <c r="F24" s="6">
        <v>1</v>
      </c>
      <c r="G24" s="6" t="s">
        <v>9</v>
      </c>
      <c r="H24" t="s">
        <v>740</v>
      </c>
    </row>
    <row r="25" spans="1:16">
      <c r="A25" s="6" t="s">
        <v>152</v>
      </c>
      <c r="B25" s="7" t="s">
        <v>742</v>
      </c>
      <c r="C25" s="6"/>
      <c r="D25" s="6"/>
      <c r="E25" s="6"/>
      <c r="F25" s="6">
        <v>1</v>
      </c>
      <c r="G25" s="6" t="s">
        <v>9</v>
      </c>
      <c r="H25" t="s">
        <v>740</v>
      </c>
    </row>
    <row r="26" spans="1:16">
      <c r="A26" s="6" t="s">
        <v>152</v>
      </c>
      <c r="B26" s="7" t="s">
        <v>640</v>
      </c>
      <c r="C26" s="6"/>
      <c r="D26" s="6"/>
      <c r="E26" s="6"/>
      <c r="F26" s="6">
        <v>1</v>
      </c>
      <c r="G26" s="6" t="s">
        <v>9</v>
      </c>
      <c r="H26" t="s">
        <v>740</v>
      </c>
    </row>
    <row r="27" spans="1:16">
      <c r="A27" s="6" t="s">
        <v>107</v>
      </c>
      <c r="B27" s="7"/>
      <c r="C27" s="6" t="s">
        <v>743</v>
      </c>
      <c r="D27" s="6"/>
      <c r="E27" s="6"/>
      <c r="F27" s="6">
        <v>3</v>
      </c>
      <c r="G27" s="6" t="s">
        <v>9</v>
      </c>
      <c r="H27" t="s">
        <v>740</v>
      </c>
    </row>
    <row r="28" spans="1:16">
      <c r="A28" s="6" t="s">
        <v>152</v>
      </c>
      <c r="B28" s="7" t="s">
        <v>744</v>
      </c>
      <c r="C28" s="6"/>
      <c r="D28" s="6"/>
      <c r="E28" s="6"/>
      <c r="F28" s="6">
        <v>1</v>
      </c>
      <c r="G28" s="6" t="s">
        <v>9</v>
      </c>
      <c r="H28" t="s">
        <v>740</v>
      </c>
    </row>
    <row r="29" spans="1:16">
      <c r="A29" s="6" t="s">
        <v>43</v>
      </c>
      <c r="B29" s="7" t="s">
        <v>745</v>
      </c>
      <c r="C29" s="6" t="s">
        <v>66</v>
      </c>
      <c r="D29" s="6"/>
      <c r="E29" s="6"/>
      <c r="F29" s="6">
        <v>1</v>
      </c>
      <c r="G29" s="6" t="s">
        <v>6</v>
      </c>
      <c r="H29" t="s">
        <v>740</v>
      </c>
    </row>
    <row r="30" spans="1:16">
      <c r="A30" s="6" t="s">
        <v>43</v>
      </c>
      <c r="B30" s="7" t="s">
        <v>68</v>
      </c>
      <c r="C30" s="6" t="s">
        <v>66</v>
      </c>
      <c r="D30" s="6"/>
      <c r="E30" s="6"/>
      <c r="F30" s="6">
        <v>1</v>
      </c>
      <c r="G30" s="6" t="s">
        <v>6</v>
      </c>
      <c r="H30" t="s">
        <v>740</v>
      </c>
    </row>
    <row r="31" spans="1:16">
      <c r="A31" s="6" t="s">
        <v>44</v>
      </c>
      <c r="B31" s="7"/>
      <c r="C31" s="6" t="s">
        <v>45</v>
      </c>
      <c r="D31" s="6"/>
      <c r="E31" s="6"/>
      <c r="F31" s="6">
        <v>1</v>
      </c>
      <c r="G31" s="6" t="s">
        <v>6</v>
      </c>
      <c r="H31" t="s">
        <v>740</v>
      </c>
    </row>
    <row r="32" spans="1:16">
      <c r="A32" s="6" t="s">
        <v>44</v>
      </c>
      <c r="B32" s="7"/>
      <c r="C32" s="6" t="s">
        <v>69</v>
      </c>
      <c r="D32" s="6"/>
      <c r="E32" s="6"/>
      <c r="F32" s="6">
        <v>1</v>
      </c>
      <c r="G32" s="6" t="s">
        <v>6</v>
      </c>
      <c r="H32" t="s">
        <v>740</v>
      </c>
    </row>
    <row r="33" spans="1:8">
      <c r="A33" s="6" t="s">
        <v>44</v>
      </c>
      <c r="B33" s="7"/>
      <c r="C33" s="6" t="s">
        <v>67</v>
      </c>
      <c r="D33" s="6"/>
      <c r="E33" s="6"/>
      <c r="F33" s="6">
        <v>1</v>
      </c>
      <c r="G33" s="6" t="s">
        <v>6</v>
      </c>
      <c r="H33" t="s">
        <v>740</v>
      </c>
    </row>
    <row r="34" spans="1:8">
      <c r="A34" s="6" t="s">
        <v>171</v>
      </c>
      <c r="B34" s="7"/>
      <c r="C34" s="6" t="s">
        <v>231</v>
      </c>
      <c r="D34" s="6"/>
      <c r="E34" s="6"/>
      <c r="F34" s="6">
        <v>1</v>
      </c>
      <c r="G34" s="6" t="s">
        <v>6</v>
      </c>
      <c r="H34" t="s">
        <v>740</v>
      </c>
    </row>
    <row r="35" spans="1:8">
      <c r="A35" s="6" t="s">
        <v>152</v>
      </c>
      <c r="B35" s="7" t="s">
        <v>26</v>
      </c>
      <c r="C35" s="6"/>
      <c r="D35" s="6"/>
      <c r="E35" s="6"/>
      <c r="F35" s="6">
        <v>4</v>
      </c>
      <c r="G35" s="6" t="s">
        <v>6</v>
      </c>
      <c r="H35" t="s">
        <v>740</v>
      </c>
    </row>
    <row r="36" spans="1:8">
      <c r="A36" s="6" t="s">
        <v>150</v>
      </c>
      <c r="B36" s="7" t="s">
        <v>151</v>
      </c>
      <c r="C36" s="6"/>
      <c r="D36" s="6"/>
      <c r="E36" s="6"/>
      <c r="F36" s="6">
        <v>1</v>
      </c>
      <c r="G36" s="6" t="s">
        <v>6</v>
      </c>
      <c r="H36" t="s">
        <v>740</v>
      </c>
    </row>
    <row r="37" spans="1:8">
      <c r="A37" s="6" t="s">
        <v>54</v>
      </c>
      <c r="B37" s="7" t="s">
        <v>746</v>
      </c>
      <c r="C37" s="6"/>
      <c r="D37" s="6"/>
      <c r="E37" s="6"/>
      <c r="F37" s="6">
        <v>1</v>
      </c>
      <c r="G37" s="6" t="s">
        <v>6</v>
      </c>
      <c r="H37" t="s">
        <v>740</v>
      </c>
    </row>
    <row r="38" spans="1:8">
      <c r="A38" s="6" t="s">
        <v>748</v>
      </c>
      <c r="B38" s="7" t="s">
        <v>160</v>
      </c>
      <c r="C38" s="6" t="s">
        <v>747</v>
      </c>
      <c r="D38" s="6"/>
      <c r="E38" s="6"/>
      <c r="F38" s="6">
        <v>1</v>
      </c>
      <c r="G38" s="6" t="s">
        <v>6</v>
      </c>
      <c r="H38" t="s">
        <v>740</v>
      </c>
    </row>
    <row r="39" spans="1:8">
      <c r="A39" s="6" t="s">
        <v>87</v>
      </c>
      <c r="B39" s="7"/>
      <c r="C39" s="6"/>
      <c r="D39" s="6"/>
      <c r="E39" s="6"/>
      <c r="F39" s="6">
        <v>1</v>
      </c>
      <c r="G39" s="6" t="s">
        <v>6</v>
      </c>
      <c r="H39" t="s">
        <v>740</v>
      </c>
    </row>
    <row r="40" spans="1:8">
      <c r="A40" s="6" t="s">
        <v>248</v>
      </c>
      <c r="B40" s="7"/>
      <c r="C40" s="6"/>
      <c r="D40" s="6"/>
      <c r="E40" s="6"/>
      <c r="F40" s="6">
        <v>2</v>
      </c>
      <c r="G40" s="6" t="s">
        <v>6</v>
      </c>
      <c r="H40" t="s">
        <v>740</v>
      </c>
    </row>
    <row r="41" spans="1:8">
      <c r="A41" s="6" t="s">
        <v>135</v>
      </c>
      <c r="B41" s="7"/>
      <c r="C41" s="6"/>
      <c r="D41" s="6"/>
      <c r="E41" s="6"/>
      <c r="F41" s="6">
        <v>2</v>
      </c>
      <c r="G41" s="6" t="s">
        <v>5</v>
      </c>
      <c r="H41" t="s">
        <v>740</v>
      </c>
    </row>
    <row r="42" spans="1:8">
      <c r="A42" s="6" t="s">
        <v>107</v>
      </c>
      <c r="B42" s="7"/>
      <c r="C42" s="6" t="s">
        <v>743</v>
      </c>
      <c r="D42" s="6"/>
      <c r="E42" s="6"/>
      <c r="F42" s="6">
        <v>3</v>
      </c>
      <c r="G42" s="6" t="s">
        <v>5</v>
      </c>
      <c r="H42" t="s">
        <v>740</v>
      </c>
    </row>
    <row r="43" spans="1:8">
      <c r="A43" s="6" t="s">
        <v>44</v>
      </c>
      <c r="B43" s="7"/>
      <c r="C43" s="6" t="s">
        <v>749</v>
      </c>
      <c r="D43" s="6"/>
      <c r="E43" s="6"/>
      <c r="F43" s="6">
        <v>1</v>
      </c>
      <c r="G43" s="6" t="s">
        <v>5</v>
      </c>
      <c r="H43" t="s">
        <v>740</v>
      </c>
    </row>
    <row r="44" spans="1:8">
      <c r="A44" s="6" t="s">
        <v>170</v>
      </c>
      <c r="B44" s="7"/>
      <c r="C44" s="6" t="s">
        <v>750</v>
      </c>
      <c r="D44" s="6"/>
      <c r="E44" s="6"/>
      <c r="F44" s="6">
        <v>1</v>
      </c>
      <c r="G44" s="6" t="s">
        <v>5</v>
      </c>
      <c r="H44" t="s">
        <v>740</v>
      </c>
    </row>
    <row r="45" spans="1:8">
      <c r="A45" s="6" t="s">
        <v>54</v>
      </c>
      <c r="B45" s="7"/>
      <c r="C45" t="s">
        <v>52</v>
      </c>
      <c r="D45" s="6"/>
      <c r="E45" s="6"/>
      <c r="F45" s="6">
        <v>1</v>
      </c>
      <c r="G45" s="6" t="s">
        <v>5</v>
      </c>
      <c r="H45" t="s">
        <v>740</v>
      </c>
    </row>
    <row r="46" spans="1:8">
      <c r="A46" s="6" t="s">
        <v>95</v>
      </c>
      <c r="B46" s="7"/>
      <c r="C46" s="6"/>
      <c r="D46" s="6" t="s">
        <v>318</v>
      </c>
      <c r="E46" s="6"/>
      <c r="F46" s="6">
        <v>1</v>
      </c>
      <c r="G46" s="6" t="s">
        <v>8</v>
      </c>
      <c r="H46" t="s">
        <v>740</v>
      </c>
    </row>
    <row r="47" spans="1:8">
      <c r="A47" s="6" t="s">
        <v>97</v>
      </c>
      <c r="B47" s="7" t="s">
        <v>751</v>
      </c>
      <c r="C47" s="6"/>
      <c r="D47" s="6" t="s">
        <v>318</v>
      </c>
      <c r="E47" s="6"/>
      <c r="F47" s="6">
        <v>1</v>
      </c>
      <c r="G47" s="6" t="s">
        <v>8</v>
      </c>
      <c r="H47" t="s">
        <v>740</v>
      </c>
    </row>
    <row r="48" spans="1:8">
      <c r="A48" s="6" t="s">
        <v>236</v>
      </c>
      <c r="B48" s="7"/>
      <c r="C48" s="6"/>
      <c r="D48" s="6"/>
      <c r="E48" s="6"/>
      <c r="F48" s="6">
        <v>1</v>
      </c>
      <c r="G48" s="6" t="s">
        <v>8</v>
      </c>
      <c r="H48" t="s">
        <v>740</v>
      </c>
    </row>
    <row r="49" spans="1:8">
      <c r="A49" s="6" t="s">
        <v>11</v>
      </c>
      <c r="B49" s="7" t="s">
        <v>752</v>
      </c>
      <c r="C49" s="6" t="s">
        <v>79</v>
      </c>
      <c r="D49" s="6"/>
      <c r="E49" s="6"/>
      <c r="F49" s="6">
        <v>2</v>
      </c>
      <c r="G49" s="6" t="s">
        <v>8</v>
      </c>
      <c r="H49" t="s">
        <v>740</v>
      </c>
    </row>
    <row r="50" spans="1:8">
      <c r="A50" s="6" t="s">
        <v>11</v>
      </c>
      <c r="B50" s="7"/>
      <c r="C50" s="6" t="s">
        <v>120</v>
      </c>
      <c r="D50" s="6"/>
      <c r="E50" s="6"/>
      <c r="F50" s="6">
        <v>2</v>
      </c>
      <c r="G50" s="6" t="s">
        <v>8</v>
      </c>
      <c r="H50" t="s">
        <v>740</v>
      </c>
    </row>
    <row r="51" spans="1:8">
      <c r="A51" s="6" t="s">
        <v>11</v>
      </c>
      <c r="B51" s="7"/>
      <c r="C51" s="6" t="s">
        <v>30</v>
      </c>
      <c r="D51" s="6"/>
      <c r="E51" s="6"/>
      <c r="F51" s="6">
        <v>3</v>
      </c>
      <c r="G51" s="6" t="s">
        <v>8</v>
      </c>
      <c r="H51" t="s">
        <v>740</v>
      </c>
    </row>
    <row r="52" spans="1:8">
      <c r="A52" s="6" t="s">
        <v>35</v>
      </c>
      <c r="B52" s="7" t="s">
        <v>754</v>
      </c>
      <c r="C52" s="6" t="s">
        <v>38</v>
      </c>
      <c r="D52" s="6"/>
      <c r="E52" s="6"/>
      <c r="F52" s="6"/>
      <c r="G52" s="6" t="s">
        <v>36</v>
      </c>
      <c r="H52" t="s">
        <v>753</v>
      </c>
    </row>
    <row r="53" spans="1:8">
      <c r="A53" s="6" t="s">
        <v>40</v>
      </c>
      <c r="B53" s="7" t="s">
        <v>755</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235</v>
      </c>
      <c r="G1" s="4" t="s">
        <v>13</v>
      </c>
      <c r="H1" s="4" t="s">
        <v>227</v>
      </c>
    </row>
    <row r="2" spans="1:30">
      <c r="A2" s="4" t="s">
        <v>211</v>
      </c>
      <c r="B2" s="7"/>
      <c r="C2" s="6"/>
      <c r="D2" s="6" t="s">
        <v>740</v>
      </c>
      <c r="E2" s="6" t="s">
        <v>740</v>
      </c>
      <c r="F2" s="6">
        <v>1</v>
      </c>
      <c r="G2" s="6" t="s">
        <v>230</v>
      </c>
      <c r="H2" s="6"/>
    </row>
    <row r="3" spans="1:30">
      <c r="A3" s="6" t="s">
        <v>206</v>
      </c>
      <c r="B3" s="7">
        <v>2016</v>
      </c>
      <c r="C3" s="6"/>
      <c r="D3" s="6"/>
      <c r="E3" s="6"/>
      <c r="F3" s="6">
        <v>1</v>
      </c>
      <c r="G3" s="6" t="s">
        <v>230</v>
      </c>
      <c r="H3" s="6"/>
      <c r="J3" t="s">
        <v>0</v>
      </c>
      <c r="K3" t="s">
        <v>1</v>
      </c>
      <c r="L3" t="s">
        <v>2</v>
      </c>
      <c r="M3" s="4" t="s">
        <v>3</v>
      </c>
      <c r="N3" s="4" t="s">
        <v>4</v>
      </c>
      <c r="O3" s="4" t="s">
        <v>235</v>
      </c>
      <c r="P3" t="s">
        <v>14</v>
      </c>
      <c r="T3" t="s">
        <v>28</v>
      </c>
      <c r="V3" s="46" t="s">
        <v>225</v>
      </c>
      <c r="W3" s="46"/>
      <c r="X3" s="46"/>
      <c r="Y3" s="46"/>
      <c r="Z3" s="46"/>
      <c r="AA3" s="46"/>
    </row>
    <row r="4" spans="1:30">
      <c r="A4" s="6" t="s">
        <v>208</v>
      </c>
      <c r="B4" s="7"/>
      <c r="C4" s="6" t="s">
        <v>740</v>
      </c>
      <c r="D4" s="6" t="s">
        <v>740</v>
      </c>
      <c r="E4" s="6" t="s">
        <v>740</v>
      </c>
      <c r="F4" s="6">
        <v>1</v>
      </c>
      <c r="G4" s="6" t="s">
        <v>230</v>
      </c>
      <c r="H4" s="6"/>
      <c r="J4" t="s">
        <v>355</v>
      </c>
      <c r="K4" t="s">
        <v>769</v>
      </c>
      <c r="L4" t="s">
        <v>581</v>
      </c>
      <c r="O4">
        <v>2</v>
      </c>
      <c r="P4" t="s">
        <v>93</v>
      </c>
      <c r="T4" t="s">
        <v>756</v>
      </c>
      <c r="V4" t="s">
        <v>230</v>
      </c>
      <c r="W4" t="s">
        <v>8</v>
      </c>
      <c r="X4" t="s">
        <v>5</v>
      </c>
      <c r="Y4" t="s">
        <v>6</v>
      </c>
      <c r="Z4" t="s">
        <v>9</v>
      </c>
      <c r="AA4" t="s">
        <v>10</v>
      </c>
      <c r="AB4" t="s">
        <v>251</v>
      </c>
      <c r="AC4" t="s">
        <v>284</v>
      </c>
      <c r="AD4" t="s">
        <v>36</v>
      </c>
    </row>
    <row r="5" spans="1:30" ht="30">
      <c r="A5" s="6" t="s">
        <v>252</v>
      </c>
      <c r="B5" s="7" t="s">
        <v>726</v>
      </c>
      <c r="C5" s="6"/>
      <c r="D5" s="6" t="s">
        <v>740</v>
      </c>
      <c r="E5" s="6" t="s">
        <v>740</v>
      </c>
      <c r="F5" s="6">
        <v>1</v>
      </c>
      <c r="G5" s="6" t="s">
        <v>230</v>
      </c>
      <c r="H5" s="6"/>
      <c r="J5" t="s">
        <v>355</v>
      </c>
      <c r="K5" t="s">
        <v>481</v>
      </c>
      <c r="L5" t="s">
        <v>482</v>
      </c>
      <c r="O5">
        <v>3</v>
      </c>
      <c r="P5" t="s">
        <v>93</v>
      </c>
      <c r="T5" t="s">
        <v>93</v>
      </c>
      <c r="V5" t="s">
        <v>7</v>
      </c>
      <c r="W5" t="s">
        <v>740</v>
      </c>
      <c r="X5" t="s">
        <v>740</v>
      </c>
      <c r="Y5" t="s">
        <v>740</v>
      </c>
      <c r="Z5" t="s">
        <v>740</v>
      </c>
      <c r="AA5" t="s">
        <v>740</v>
      </c>
      <c r="AB5" t="s">
        <v>753</v>
      </c>
    </row>
    <row r="6" spans="1:30">
      <c r="A6" s="6" t="s">
        <v>213</v>
      </c>
      <c r="B6" s="7"/>
      <c r="C6" s="6"/>
      <c r="D6" s="6" t="s">
        <v>761</v>
      </c>
      <c r="E6" s="6" t="s">
        <v>740</v>
      </c>
      <c r="F6" s="6">
        <v>2</v>
      </c>
      <c r="G6" s="6" t="s">
        <v>230</v>
      </c>
      <c r="H6" s="6"/>
      <c r="J6" t="s">
        <v>355</v>
      </c>
      <c r="K6" t="s">
        <v>770</v>
      </c>
      <c r="L6" t="s">
        <v>579</v>
      </c>
      <c r="O6">
        <v>5</v>
      </c>
      <c r="P6" t="s">
        <v>93</v>
      </c>
      <c r="T6" t="s">
        <v>757</v>
      </c>
      <c r="V6" t="s">
        <v>740</v>
      </c>
    </row>
    <row r="7" spans="1:30" ht="30">
      <c r="A7" s="6" t="s">
        <v>252</v>
      </c>
      <c r="B7" s="7" t="s">
        <v>762</v>
      </c>
      <c r="C7" s="6"/>
      <c r="D7" s="6"/>
      <c r="E7" s="6"/>
      <c r="F7" s="6"/>
      <c r="G7" s="6" t="s">
        <v>230</v>
      </c>
      <c r="H7" s="6"/>
      <c r="J7" t="s">
        <v>355</v>
      </c>
      <c r="K7" t="s">
        <v>771</v>
      </c>
      <c r="L7" t="s">
        <v>580</v>
      </c>
      <c r="O7">
        <v>4</v>
      </c>
      <c r="P7" t="s">
        <v>93</v>
      </c>
      <c r="T7" t="s">
        <v>29</v>
      </c>
    </row>
    <row r="8" spans="1:30">
      <c r="A8" s="6" t="s">
        <v>187</v>
      </c>
      <c r="B8" s="7" t="s">
        <v>763</v>
      </c>
      <c r="C8" s="6"/>
      <c r="D8" s="6"/>
      <c r="E8" s="6"/>
      <c r="F8" s="6">
        <v>1</v>
      </c>
      <c r="G8" s="6" t="s">
        <v>230</v>
      </c>
      <c r="H8" s="6"/>
      <c r="J8" t="s">
        <v>355</v>
      </c>
      <c r="K8" t="s">
        <v>772</v>
      </c>
      <c r="L8" t="s">
        <v>731</v>
      </c>
      <c r="O8">
        <v>1</v>
      </c>
      <c r="P8" t="s">
        <v>93</v>
      </c>
      <c r="T8" t="s">
        <v>788</v>
      </c>
    </row>
    <row r="9" spans="1:30">
      <c r="A9" s="6" t="s">
        <v>11</v>
      </c>
      <c r="B9" s="7"/>
      <c r="C9" s="6" t="s">
        <v>79</v>
      </c>
      <c r="D9" s="6"/>
      <c r="E9" s="6"/>
      <c r="F9" s="6">
        <v>1</v>
      </c>
      <c r="G9" s="6" t="s">
        <v>230</v>
      </c>
      <c r="H9" s="6"/>
      <c r="J9" t="s">
        <v>768</v>
      </c>
      <c r="K9" t="s">
        <v>768</v>
      </c>
      <c r="O9">
        <v>2</v>
      </c>
      <c r="P9" t="s">
        <v>756</v>
      </c>
      <c r="T9" t="s">
        <v>799</v>
      </c>
    </row>
    <row r="10" spans="1:30">
      <c r="A10" s="6" t="s">
        <v>32</v>
      </c>
      <c r="B10" s="7" t="s">
        <v>764</v>
      </c>
      <c r="C10" s="6" t="s">
        <v>72</v>
      </c>
      <c r="D10" s="6"/>
      <c r="E10" s="6"/>
      <c r="F10" s="6">
        <v>1</v>
      </c>
      <c r="G10" s="6" t="s">
        <v>230</v>
      </c>
      <c r="H10" s="6"/>
      <c r="J10" t="s">
        <v>467</v>
      </c>
      <c r="K10" t="s">
        <v>773</v>
      </c>
      <c r="O10">
        <v>1</v>
      </c>
      <c r="P10" t="s">
        <v>757</v>
      </c>
      <c r="T10" t="s">
        <v>817</v>
      </c>
    </row>
    <row r="11" spans="1:30">
      <c r="A11" s="6" t="s">
        <v>237</v>
      </c>
      <c r="B11" s="7"/>
      <c r="C11" s="6"/>
      <c r="D11" s="6"/>
      <c r="E11" s="6"/>
      <c r="F11" s="6">
        <v>2</v>
      </c>
      <c r="G11" s="6" t="s">
        <v>230</v>
      </c>
      <c r="H11" s="6"/>
      <c r="J11" t="s">
        <v>732</v>
      </c>
      <c r="K11" t="s">
        <v>732</v>
      </c>
      <c r="O11">
        <v>1</v>
      </c>
      <c r="P11" t="s">
        <v>757</v>
      </c>
      <c r="T11" t="s">
        <v>835</v>
      </c>
    </row>
    <row r="12" spans="1:30">
      <c r="A12" s="6" t="s">
        <v>150</v>
      </c>
      <c r="B12" s="7" t="s">
        <v>151</v>
      </c>
      <c r="C12" s="6"/>
      <c r="D12" s="6"/>
      <c r="E12" s="6"/>
      <c r="F12" s="6">
        <v>1</v>
      </c>
      <c r="G12" s="6" t="s">
        <v>230</v>
      </c>
      <c r="H12" s="6"/>
      <c r="J12" t="s">
        <v>449</v>
      </c>
      <c r="K12" t="s">
        <v>449</v>
      </c>
      <c r="O12">
        <v>1</v>
      </c>
      <c r="P12" t="s">
        <v>757</v>
      </c>
      <c r="T12" t="s">
        <v>838</v>
      </c>
    </row>
    <row r="13" spans="1:30">
      <c r="A13" s="6" t="s">
        <v>462</v>
      </c>
      <c r="B13" s="7"/>
      <c r="C13" s="6"/>
      <c r="D13" s="6"/>
      <c r="E13" s="6"/>
      <c r="F13" s="6">
        <v>8</v>
      </c>
      <c r="G13" s="6" t="s">
        <v>230</v>
      </c>
      <c r="H13" s="6"/>
      <c r="J13" t="s">
        <v>774</v>
      </c>
      <c r="K13" t="s">
        <v>774</v>
      </c>
      <c r="O13">
        <v>1</v>
      </c>
      <c r="P13" t="s">
        <v>757</v>
      </c>
      <c r="T13" t="s">
        <v>913</v>
      </c>
    </row>
    <row r="14" spans="1:30">
      <c r="A14" s="6" t="s">
        <v>89</v>
      </c>
      <c r="B14" s="7"/>
      <c r="C14" s="6"/>
      <c r="D14" s="6"/>
      <c r="E14" s="6"/>
      <c r="F14" s="6">
        <v>2</v>
      </c>
      <c r="G14" s="6" t="s">
        <v>230</v>
      </c>
      <c r="H14" s="6"/>
      <c r="J14" t="s">
        <v>152</v>
      </c>
      <c r="K14" t="s">
        <v>775</v>
      </c>
      <c r="O14">
        <v>1</v>
      </c>
      <c r="P14" t="s">
        <v>29</v>
      </c>
    </row>
    <row r="15" spans="1:30">
      <c r="A15" s="6" t="s">
        <v>191</v>
      </c>
      <c r="B15" s="7"/>
      <c r="C15" s="6"/>
      <c r="D15" s="6"/>
      <c r="E15" s="6"/>
      <c r="F15" s="6">
        <v>2</v>
      </c>
      <c r="G15" s="6" t="s">
        <v>230</v>
      </c>
      <c r="H15" s="6"/>
      <c r="J15" t="s">
        <v>152</v>
      </c>
      <c r="K15" t="s">
        <v>599</v>
      </c>
      <c r="O15">
        <v>1</v>
      </c>
      <c r="P15" t="s">
        <v>29</v>
      </c>
    </row>
    <row r="16" spans="1:30" ht="30">
      <c r="A16" s="6" t="s">
        <v>622</v>
      </c>
      <c r="B16" s="7" t="s">
        <v>765</v>
      </c>
      <c r="C16" s="6"/>
      <c r="D16" s="6"/>
      <c r="E16" s="6"/>
      <c r="F16" s="6">
        <v>2</v>
      </c>
      <c r="G16" s="6" t="s">
        <v>230</v>
      </c>
      <c r="H16" s="6"/>
      <c r="J16" t="s">
        <v>152</v>
      </c>
      <c r="K16" t="s">
        <v>776</v>
      </c>
      <c r="O16">
        <v>1</v>
      </c>
      <c r="P16" t="s">
        <v>29</v>
      </c>
    </row>
    <row r="17" spans="1:16">
      <c r="A17" s="6" t="s">
        <v>252</v>
      </c>
      <c r="B17" s="7" t="s">
        <v>766</v>
      </c>
      <c r="C17" s="6"/>
      <c r="D17" s="6"/>
      <c r="E17" s="6"/>
      <c r="F17" s="6">
        <v>1</v>
      </c>
      <c r="G17" s="6" t="s">
        <v>230</v>
      </c>
      <c r="H17" s="6"/>
      <c r="J17" t="s">
        <v>152</v>
      </c>
      <c r="K17" t="s">
        <v>401</v>
      </c>
      <c r="O17">
        <v>3</v>
      </c>
      <c r="P17" t="s">
        <v>29</v>
      </c>
    </row>
    <row r="18" spans="1:16">
      <c r="A18" s="6" t="s">
        <v>767</v>
      </c>
      <c r="B18" s="7"/>
      <c r="C18" s="6"/>
      <c r="D18" s="6"/>
      <c r="E18" s="6"/>
      <c r="F18" s="6">
        <v>2</v>
      </c>
      <c r="G18" s="6" t="s">
        <v>230</v>
      </c>
      <c r="H18" s="6"/>
      <c r="J18" t="s">
        <v>152</v>
      </c>
      <c r="K18" t="s">
        <v>402</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152</v>
      </c>
      <c r="K19" t="s">
        <v>420</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152</v>
      </c>
      <c r="K20" t="s">
        <v>777</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230</v>
      </c>
      <c r="H21" s="6"/>
      <c r="J21" t="s">
        <v>136</v>
      </c>
      <c r="K21" t="s">
        <v>192</v>
      </c>
      <c r="O21">
        <v>1</v>
      </c>
      <c r="P21" t="s">
        <v>29</v>
      </c>
    </row>
    <row r="22" spans="1:16">
      <c r="A22" s="6" t="s">
        <v>186</v>
      </c>
      <c r="B22" s="7"/>
      <c r="C22" s="6"/>
      <c r="D22" s="6"/>
      <c r="E22" s="6"/>
      <c r="F22" s="6">
        <v>10</v>
      </c>
      <c r="G22" s="6" t="s">
        <v>230</v>
      </c>
      <c r="H22" s="6"/>
      <c r="J22" t="s">
        <v>152</v>
      </c>
      <c r="K22" t="s">
        <v>778</v>
      </c>
      <c r="O22">
        <v>1</v>
      </c>
      <c r="P22" t="s">
        <v>29</v>
      </c>
    </row>
    <row r="23" spans="1:16">
      <c r="A23" s="6" t="s">
        <v>184</v>
      </c>
      <c r="B23" s="7"/>
      <c r="C23" s="6"/>
      <c r="D23" s="6"/>
      <c r="E23" s="6"/>
      <c r="F23" s="6">
        <v>5</v>
      </c>
      <c r="G23" s="6" t="s">
        <v>230</v>
      </c>
      <c r="H23" s="6"/>
      <c r="J23" t="s">
        <v>147</v>
      </c>
      <c r="K23" t="s">
        <v>779</v>
      </c>
      <c r="O23">
        <v>1</v>
      </c>
      <c r="P23" t="s">
        <v>29</v>
      </c>
    </row>
    <row r="24" spans="1:16">
      <c r="A24" s="6" t="s">
        <v>135</v>
      </c>
      <c r="B24" s="7"/>
      <c r="C24" s="6"/>
      <c r="D24" s="6"/>
      <c r="E24" s="6"/>
      <c r="F24" s="6">
        <v>3</v>
      </c>
      <c r="G24" s="6" t="s">
        <v>6</v>
      </c>
      <c r="H24" s="6"/>
      <c r="J24" t="s">
        <v>561</v>
      </c>
      <c r="K24" t="s">
        <v>780</v>
      </c>
      <c r="O24">
        <v>5</v>
      </c>
      <c r="P24" t="s">
        <v>29</v>
      </c>
    </row>
    <row r="25" spans="1:16">
      <c r="A25" s="6" t="s">
        <v>88</v>
      </c>
      <c r="B25" s="7" t="s">
        <v>784</v>
      </c>
      <c r="C25" s="6"/>
      <c r="D25" s="6"/>
      <c r="E25" s="6"/>
      <c r="F25" s="6">
        <v>3</v>
      </c>
      <c r="G25" s="6" t="s">
        <v>6</v>
      </c>
      <c r="H25" s="6"/>
      <c r="J25" t="s">
        <v>561</v>
      </c>
      <c r="K25" t="s">
        <v>781</v>
      </c>
      <c r="O25">
        <v>13</v>
      </c>
      <c r="P25" t="s">
        <v>29</v>
      </c>
    </row>
    <row r="26" spans="1:16">
      <c r="A26" s="6" t="s">
        <v>152</v>
      </c>
      <c r="B26" s="7" t="s">
        <v>375</v>
      </c>
      <c r="C26" s="6"/>
      <c r="D26" s="6"/>
      <c r="E26" s="6"/>
      <c r="F26" s="6">
        <v>1</v>
      </c>
      <c r="G26" s="6" t="s">
        <v>6</v>
      </c>
      <c r="H26" s="6"/>
      <c r="J26" t="s">
        <v>147</v>
      </c>
      <c r="K26" t="s">
        <v>595</v>
      </c>
      <c r="O26">
        <v>1</v>
      </c>
      <c r="P26" t="s">
        <v>29</v>
      </c>
    </row>
    <row r="27" spans="1:16">
      <c r="A27" s="6" t="s">
        <v>785</v>
      </c>
      <c r="B27" s="7"/>
      <c r="C27" s="6"/>
      <c r="D27" s="6"/>
      <c r="E27" s="6"/>
      <c r="F27" s="6">
        <v>1</v>
      </c>
      <c r="G27" s="6" t="s">
        <v>6</v>
      </c>
      <c r="H27" s="6"/>
      <c r="J27" t="s">
        <v>136</v>
      </c>
      <c r="K27" t="s">
        <v>137</v>
      </c>
      <c r="O27">
        <v>1</v>
      </c>
      <c r="P27" t="s">
        <v>29</v>
      </c>
    </row>
    <row r="28" spans="1:16" ht="30">
      <c r="A28" s="6" t="s">
        <v>684</v>
      </c>
      <c r="B28" s="7" t="s">
        <v>786</v>
      </c>
      <c r="C28" s="6"/>
      <c r="D28" s="6"/>
      <c r="E28" s="6"/>
      <c r="F28" s="6">
        <v>1</v>
      </c>
      <c r="G28" s="6" t="s">
        <v>6</v>
      </c>
      <c r="H28" s="6"/>
      <c r="J28" t="s">
        <v>620</v>
      </c>
      <c r="K28" t="s">
        <v>298</v>
      </c>
      <c r="O28">
        <v>1</v>
      </c>
      <c r="P28" t="s">
        <v>788</v>
      </c>
    </row>
    <row r="29" spans="1:16" ht="30">
      <c r="A29" s="6" t="s">
        <v>684</v>
      </c>
      <c r="B29" s="7" t="s">
        <v>787</v>
      </c>
      <c r="C29" s="6"/>
      <c r="D29" s="6"/>
      <c r="E29" s="6"/>
      <c r="F29" s="6">
        <v>1</v>
      </c>
      <c r="G29" s="6" t="s">
        <v>6</v>
      </c>
      <c r="H29" s="6"/>
      <c r="J29" t="s">
        <v>620</v>
      </c>
      <c r="K29" t="s">
        <v>789</v>
      </c>
      <c r="O29">
        <v>2</v>
      </c>
      <c r="P29" t="s">
        <v>788</v>
      </c>
    </row>
    <row r="30" spans="1:16">
      <c r="A30" s="6" t="s">
        <v>129</v>
      </c>
      <c r="B30" s="7"/>
      <c r="C30" s="6"/>
      <c r="D30" s="6" t="s">
        <v>741</v>
      </c>
      <c r="E30" s="6" t="s">
        <v>741</v>
      </c>
      <c r="F30" s="6">
        <v>1</v>
      </c>
      <c r="G30" s="6" t="s">
        <v>6</v>
      </c>
      <c r="H30" s="6"/>
      <c r="J30" t="s">
        <v>186</v>
      </c>
      <c r="K30" t="s">
        <v>783</v>
      </c>
      <c r="O30">
        <v>1</v>
      </c>
      <c r="P30" t="s">
        <v>788</v>
      </c>
    </row>
    <row r="31" spans="1:16">
      <c r="A31" s="6" t="s">
        <v>40</v>
      </c>
      <c r="B31" s="7" t="s">
        <v>740</v>
      </c>
      <c r="C31" t="s">
        <v>741</v>
      </c>
      <c r="D31" s="6"/>
      <c r="E31" s="6"/>
      <c r="F31" s="6">
        <v>1</v>
      </c>
      <c r="G31" s="6" t="s">
        <v>6</v>
      </c>
      <c r="H31" s="6"/>
      <c r="J31" t="s">
        <v>620</v>
      </c>
      <c r="K31" t="s">
        <v>342</v>
      </c>
      <c r="L31" t="s">
        <v>741</v>
      </c>
      <c r="M31" t="s">
        <v>741</v>
      </c>
      <c r="N31" t="s">
        <v>741</v>
      </c>
      <c r="O31">
        <v>1</v>
      </c>
      <c r="P31" t="s">
        <v>788</v>
      </c>
    </row>
    <row r="32" spans="1:16">
      <c r="A32" s="6" t="s">
        <v>107</v>
      </c>
      <c r="B32" s="7"/>
      <c r="C32" t="s">
        <v>741</v>
      </c>
      <c r="D32" s="6"/>
      <c r="E32" s="6"/>
      <c r="F32" s="6">
        <v>1</v>
      </c>
      <c r="G32" s="6" t="s">
        <v>6</v>
      </c>
      <c r="H32" s="6"/>
      <c r="J32" t="s">
        <v>90</v>
      </c>
      <c r="K32" t="s">
        <v>796</v>
      </c>
      <c r="O32">
        <v>4</v>
      </c>
      <c r="P32" t="s">
        <v>799</v>
      </c>
    </row>
    <row r="33" spans="1:16">
      <c r="A33" s="6" t="s">
        <v>131</v>
      </c>
      <c r="B33" s="7"/>
      <c r="C33" s="6"/>
      <c r="D33" t="s">
        <v>741</v>
      </c>
      <c r="E33" t="s">
        <v>741</v>
      </c>
      <c r="F33" s="6">
        <v>1</v>
      </c>
      <c r="G33" s="6" t="s">
        <v>6</v>
      </c>
      <c r="H33" s="6"/>
      <c r="J33" t="s">
        <v>90</v>
      </c>
      <c r="K33" t="s">
        <v>797</v>
      </c>
      <c r="O33">
        <v>2</v>
      </c>
      <c r="P33" t="s">
        <v>799</v>
      </c>
    </row>
    <row r="34" spans="1:16">
      <c r="A34" s="6" t="s">
        <v>637</v>
      </c>
      <c r="B34" s="7"/>
      <c r="C34" s="6"/>
      <c r="D34" t="s">
        <v>741</v>
      </c>
      <c r="E34" t="s">
        <v>741</v>
      </c>
      <c r="F34" s="6">
        <v>1</v>
      </c>
      <c r="G34" s="6" t="s">
        <v>6</v>
      </c>
      <c r="H34" s="6"/>
      <c r="J34" t="s">
        <v>360</v>
      </c>
      <c r="K34" t="s">
        <v>798</v>
      </c>
      <c r="O34">
        <v>1</v>
      </c>
      <c r="P34" t="s">
        <v>799</v>
      </c>
    </row>
    <row r="35" spans="1:16">
      <c r="A35" s="6" t="s">
        <v>238</v>
      </c>
      <c r="B35" s="7"/>
      <c r="C35" s="6"/>
      <c r="D35" t="s">
        <v>741</v>
      </c>
      <c r="E35" t="s">
        <v>741</v>
      </c>
      <c r="F35" s="6">
        <v>1</v>
      </c>
      <c r="G35" s="6" t="s">
        <v>251</v>
      </c>
      <c r="H35" s="6"/>
      <c r="J35" t="s">
        <v>152</v>
      </c>
      <c r="K35" t="s">
        <v>818</v>
      </c>
      <c r="O35">
        <v>3</v>
      </c>
      <c r="P35" t="s">
        <v>817</v>
      </c>
    </row>
    <row r="36" spans="1:16" ht="135">
      <c r="A36" s="6" t="s">
        <v>363</v>
      </c>
      <c r="B36" s="7" t="str">
        <f>bolso("Cajon minicojines",Table621334751[])</f>
        <v xml:space="preserve">Cajon minicojines Contiene:  Comando de minicojines x1,  mangueras para minicojines x2,  cilindro x1,  minicojin x1, </v>
      </c>
      <c r="C36" s="6"/>
      <c r="D36" s="6"/>
      <c r="E36" s="6"/>
      <c r="F36" s="6">
        <v>1</v>
      </c>
      <c r="G36" s="6" t="s">
        <v>251</v>
      </c>
      <c r="H36" s="6"/>
      <c r="J36" t="s">
        <v>152</v>
      </c>
      <c r="K36" t="s">
        <v>205</v>
      </c>
      <c r="O36">
        <v>1</v>
      </c>
      <c r="P36" t="s">
        <v>817</v>
      </c>
    </row>
    <row r="37" spans="1:16">
      <c r="A37" s="6" t="s">
        <v>59</v>
      </c>
      <c r="B37" s="7" t="s">
        <v>121</v>
      </c>
      <c r="C37" t="s">
        <v>741</v>
      </c>
      <c r="D37" s="6"/>
      <c r="E37" s="6"/>
      <c r="F37" s="6">
        <v>1</v>
      </c>
      <c r="G37" s="6" t="s">
        <v>284</v>
      </c>
      <c r="H37" s="6"/>
      <c r="J37" t="s">
        <v>152</v>
      </c>
      <c r="K37" t="s">
        <v>819</v>
      </c>
      <c r="O37">
        <v>1</v>
      </c>
      <c r="P37" t="s">
        <v>817</v>
      </c>
    </row>
    <row r="38" spans="1:16">
      <c r="A38" s="6" t="s">
        <v>171</v>
      </c>
      <c r="B38" s="7"/>
      <c r="C38" s="6" t="s">
        <v>232</v>
      </c>
      <c r="D38" s="6"/>
      <c r="E38" s="6"/>
      <c r="F38" s="6">
        <v>1</v>
      </c>
      <c r="G38" s="6" t="s">
        <v>284</v>
      </c>
      <c r="H38" s="6"/>
      <c r="J38" t="s">
        <v>152</v>
      </c>
      <c r="K38" t="s">
        <v>820</v>
      </c>
      <c r="O38">
        <v>1</v>
      </c>
      <c r="P38" t="s">
        <v>817</v>
      </c>
    </row>
    <row r="39" spans="1:16">
      <c r="A39" s="6" t="s">
        <v>170</v>
      </c>
      <c r="B39" s="7"/>
      <c r="C39" s="6" t="s">
        <v>790</v>
      </c>
      <c r="D39" s="6"/>
      <c r="E39" s="6"/>
      <c r="F39" s="6">
        <v>1</v>
      </c>
      <c r="G39" s="6" t="s">
        <v>284</v>
      </c>
      <c r="H39" s="6"/>
      <c r="J39" t="s">
        <v>816</v>
      </c>
      <c r="K39" t="s">
        <v>816</v>
      </c>
      <c r="O39">
        <v>1</v>
      </c>
      <c r="P39" t="s">
        <v>817</v>
      </c>
    </row>
    <row r="40" spans="1:16">
      <c r="A40" s="6" t="s">
        <v>54</v>
      </c>
      <c r="B40" s="7" t="s">
        <v>791</v>
      </c>
      <c r="C40" s="6" t="s">
        <v>741</v>
      </c>
      <c r="D40" s="6"/>
      <c r="E40" s="6"/>
      <c r="F40" s="6">
        <v>1</v>
      </c>
      <c r="G40" s="6" t="s">
        <v>284</v>
      </c>
      <c r="H40" s="6"/>
      <c r="J40" t="s">
        <v>152</v>
      </c>
      <c r="K40" t="s">
        <v>821</v>
      </c>
      <c r="O40">
        <v>1</v>
      </c>
      <c r="P40" t="s">
        <v>817</v>
      </c>
    </row>
    <row r="41" spans="1:16">
      <c r="A41" s="6" t="s">
        <v>11</v>
      </c>
      <c r="B41" s="7"/>
      <c r="C41" s="6" t="s">
        <v>120</v>
      </c>
      <c r="D41" s="6"/>
      <c r="E41" s="6"/>
      <c r="F41" s="6">
        <v>1</v>
      </c>
      <c r="G41" s="6" t="s">
        <v>284</v>
      </c>
      <c r="H41" s="6"/>
      <c r="J41" t="s">
        <v>152</v>
      </c>
      <c r="K41" t="s">
        <v>822</v>
      </c>
      <c r="O41">
        <v>1</v>
      </c>
      <c r="P41" t="s">
        <v>817</v>
      </c>
    </row>
    <row r="42" spans="1:16">
      <c r="A42" s="6" t="s">
        <v>11</v>
      </c>
      <c r="B42" s="7"/>
      <c r="C42" s="6" t="s">
        <v>79</v>
      </c>
      <c r="D42" s="6"/>
      <c r="E42" s="6"/>
      <c r="F42" s="6">
        <v>1</v>
      </c>
      <c r="G42" s="6" t="s">
        <v>284</v>
      </c>
      <c r="H42" s="6"/>
      <c r="J42" t="s">
        <v>823</v>
      </c>
      <c r="K42" t="s">
        <v>824</v>
      </c>
      <c r="O42">
        <v>1</v>
      </c>
      <c r="P42" t="s">
        <v>817</v>
      </c>
    </row>
    <row r="43" spans="1:16" ht="30">
      <c r="A43" s="6" t="s">
        <v>32</v>
      </c>
      <c r="B43" s="7" t="s">
        <v>792</v>
      </c>
      <c r="C43" s="6" t="s">
        <v>72</v>
      </c>
      <c r="D43" s="6"/>
      <c r="E43" s="6"/>
      <c r="F43" s="6">
        <v>1</v>
      </c>
      <c r="G43" s="6" t="s">
        <v>284</v>
      </c>
      <c r="H43" s="6"/>
      <c r="J43" t="s">
        <v>732</v>
      </c>
      <c r="K43" t="s">
        <v>732</v>
      </c>
      <c r="O43">
        <v>1</v>
      </c>
      <c r="P43" t="s">
        <v>835</v>
      </c>
    </row>
    <row r="44" spans="1:16">
      <c r="A44" s="6" t="s">
        <v>107</v>
      </c>
      <c r="B44" s="7"/>
      <c r="C44" s="6" t="s">
        <v>743</v>
      </c>
      <c r="D44" s="6"/>
      <c r="E44" s="6"/>
      <c r="F44" s="6">
        <v>1</v>
      </c>
      <c r="G44" s="6" t="s">
        <v>284</v>
      </c>
      <c r="H44" s="6"/>
      <c r="J44" t="s">
        <v>703</v>
      </c>
      <c r="K44" t="s">
        <v>703</v>
      </c>
      <c r="L44" t="s">
        <v>741</v>
      </c>
      <c r="O44">
        <v>1</v>
      </c>
      <c r="P44" t="s">
        <v>835</v>
      </c>
    </row>
    <row r="45" spans="1:16">
      <c r="A45" s="6" t="s">
        <v>152</v>
      </c>
      <c r="B45" s="7" t="s">
        <v>166</v>
      </c>
      <c r="C45" s="6"/>
      <c r="D45" s="6"/>
      <c r="E45" s="6"/>
      <c r="F45" s="6">
        <v>1</v>
      </c>
      <c r="G45" s="6" t="s">
        <v>10</v>
      </c>
      <c r="H45" s="6"/>
      <c r="J45" t="s">
        <v>103</v>
      </c>
      <c r="K45" t="s">
        <v>839</v>
      </c>
      <c r="L45" t="s">
        <v>840</v>
      </c>
      <c r="M45" t="s">
        <v>840</v>
      </c>
      <c r="N45" t="s">
        <v>840</v>
      </c>
      <c r="O45">
        <v>1</v>
      </c>
      <c r="P45" t="s">
        <v>838</v>
      </c>
    </row>
    <row r="46" spans="1:16">
      <c r="A46" s="6" t="s">
        <v>152</v>
      </c>
      <c r="B46" s="7" t="s">
        <v>155</v>
      </c>
      <c r="C46" s="6"/>
      <c r="D46" s="6"/>
      <c r="E46" s="6"/>
      <c r="F46" s="6">
        <v>1</v>
      </c>
      <c r="G46" s="6" t="s">
        <v>10</v>
      </c>
      <c r="H46" s="6"/>
      <c r="J46" t="s">
        <v>809</v>
      </c>
      <c r="K46" t="s">
        <v>914</v>
      </c>
      <c r="L46" t="s">
        <v>810</v>
      </c>
      <c r="O46">
        <v>2</v>
      </c>
      <c r="P46" t="s">
        <v>913</v>
      </c>
    </row>
    <row r="47" spans="1:16">
      <c r="A47" s="6" t="s">
        <v>152</v>
      </c>
      <c r="B47" s="7" t="s">
        <v>793</v>
      </c>
      <c r="C47" s="6"/>
      <c r="D47" s="6"/>
      <c r="E47" s="6"/>
      <c r="F47" s="6">
        <v>1</v>
      </c>
      <c r="G47" s="6" t="s">
        <v>10</v>
      </c>
      <c r="H47" s="6"/>
      <c r="J47" t="s">
        <v>812</v>
      </c>
      <c r="K47" t="s">
        <v>915</v>
      </c>
      <c r="O47">
        <v>1</v>
      </c>
      <c r="P47" t="s">
        <v>913</v>
      </c>
    </row>
    <row r="48" spans="1:16">
      <c r="A48" s="6" t="s">
        <v>152</v>
      </c>
      <c r="B48" s="7" t="s">
        <v>794</v>
      </c>
      <c r="C48" s="6"/>
      <c r="D48" s="6"/>
      <c r="E48" s="6"/>
      <c r="F48" s="6">
        <v>1</v>
      </c>
      <c r="G48" s="6" t="s">
        <v>10</v>
      </c>
      <c r="H48" s="6"/>
      <c r="J48" t="s">
        <v>855</v>
      </c>
      <c r="K48" t="s">
        <v>916</v>
      </c>
      <c r="O48">
        <v>2</v>
      </c>
      <c r="P48" t="s">
        <v>913</v>
      </c>
    </row>
    <row r="49" spans="1:16">
      <c r="A49" s="6" t="s">
        <v>152</v>
      </c>
      <c r="B49" s="7" t="s">
        <v>744</v>
      </c>
      <c r="C49" s="6"/>
      <c r="D49" s="6"/>
      <c r="E49" s="6"/>
      <c r="F49" s="6">
        <v>1</v>
      </c>
      <c r="G49" s="6" t="s">
        <v>10</v>
      </c>
      <c r="H49" s="6"/>
      <c r="J49" t="s">
        <v>287</v>
      </c>
      <c r="K49" t="s">
        <v>917</v>
      </c>
      <c r="O49">
        <v>1</v>
      </c>
      <c r="P49" t="s">
        <v>913</v>
      </c>
    </row>
    <row r="50" spans="1:16">
      <c r="A50" s="6" t="s">
        <v>187</v>
      </c>
      <c r="B50" s="7"/>
      <c r="C50" s="6"/>
      <c r="D50" s="6"/>
      <c r="E50" s="6"/>
      <c r="F50" s="6">
        <v>1</v>
      </c>
      <c r="G50" s="6" t="s">
        <v>10</v>
      </c>
      <c r="H50" s="6"/>
      <c r="J50" t="s">
        <v>813</v>
      </c>
      <c r="K50" t="s">
        <v>813</v>
      </c>
      <c r="L50" t="s">
        <v>918</v>
      </c>
      <c r="O50">
        <v>1</v>
      </c>
      <c r="P50" t="s">
        <v>913</v>
      </c>
    </row>
    <row r="51" spans="1:16">
      <c r="A51" s="6" t="s">
        <v>187</v>
      </c>
      <c r="B51" s="7" t="s">
        <v>795</v>
      </c>
      <c r="C51" s="6"/>
      <c r="D51" s="6"/>
      <c r="E51" s="6"/>
      <c r="F51" s="6">
        <v>1</v>
      </c>
      <c r="G51" s="6" t="s">
        <v>10</v>
      </c>
      <c r="H51" s="6"/>
      <c r="J51" t="s">
        <v>814</v>
      </c>
      <c r="K51" t="s">
        <v>814</v>
      </c>
      <c r="L51" t="s">
        <v>918</v>
      </c>
      <c r="O51">
        <v>1</v>
      </c>
      <c r="P51" t="s">
        <v>913</v>
      </c>
    </row>
    <row r="52" spans="1:16" ht="135">
      <c r="A52" s="6" t="s">
        <v>363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812</v>
      </c>
      <c r="K52" t="s">
        <v>919</v>
      </c>
      <c r="O52">
        <v>1</v>
      </c>
      <c r="P52" t="s">
        <v>913</v>
      </c>
    </row>
    <row r="53" spans="1:16">
      <c r="A53" s="6" t="s">
        <v>152</v>
      </c>
      <c r="B53" s="7" t="s">
        <v>26</v>
      </c>
      <c r="C53" s="6"/>
      <c r="D53" s="6"/>
      <c r="E53" s="6"/>
      <c r="F53" s="6">
        <v>4</v>
      </c>
      <c r="G53" s="6" t="s">
        <v>9</v>
      </c>
      <c r="H53" s="6"/>
      <c r="J53" t="s">
        <v>815</v>
      </c>
      <c r="K53" t="s">
        <v>815</v>
      </c>
      <c r="M53" t="s">
        <v>920</v>
      </c>
      <c r="O53">
        <v>1</v>
      </c>
      <c r="P53" t="s">
        <v>913</v>
      </c>
    </row>
    <row r="54" spans="1:16">
      <c r="A54" s="6" t="s">
        <v>800</v>
      </c>
      <c r="B54" s="7"/>
      <c r="C54" s="6" t="s">
        <v>740</v>
      </c>
      <c r="D54" s="6"/>
      <c r="E54" s="6"/>
      <c r="F54" s="6">
        <v>1</v>
      </c>
      <c r="G54" s="6" t="s">
        <v>9</v>
      </c>
      <c r="H54" s="6"/>
      <c r="J54" t="s">
        <v>853</v>
      </c>
      <c r="K54" t="s">
        <v>921</v>
      </c>
      <c r="O54">
        <v>1</v>
      </c>
      <c r="P54" t="s">
        <v>913</v>
      </c>
    </row>
    <row r="55" spans="1:16">
      <c r="A55" s="6" t="s">
        <v>11</v>
      </c>
      <c r="B55" s="7"/>
      <c r="C55" s="6" t="s">
        <v>79</v>
      </c>
      <c r="D55" s="6"/>
      <c r="E55" s="6"/>
      <c r="F55" s="6">
        <v>1</v>
      </c>
      <c r="G55" s="6" t="s">
        <v>9</v>
      </c>
      <c r="H55" s="6"/>
      <c r="J55" t="s">
        <v>853</v>
      </c>
      <c r="K55" t="s">
        <v>922</v>
      </c>
      <c r="O55">
        <v>1</v>
      </c>
      <c r="P55" t="s">
        <v>913</v>
      </c>
    </row>
    <row r="56" spans="1:16">
      <c r="A56" s="6" t="s">
        <v>32</v>
      </c>
      <c r="B56" s="7" t="s">
        <v>764</v>
      </c>
      <c r="C56" s="6" t="s">
        <v>72</v>
      </c>
      <c r="D56" s="6"/>
      <c r="E56" s="6"/>
      <c r="F56" s="6">
        <v>2</v>
      </c>
      <c r="G56" s="6" t="s">
        <v>9</v>
      </c>
      <c r="H56" s="6"/>
      <c r="J56" t="s">
        <v>814</v>
      </c>
      <c r="K56" t="s">
        <v>923</v>
      </c>
      <c r="L56" t="s">
        <v>859</v>
      </c>
      <c r="O56">
        <v>5</v>
      </c>
      <c r="P56" t="s">
        <v>913</v>
      </c>
    </row>
    <row r="57" spans="1:16">
      <c r="A57" s="6" t="s">
        <v>11</v>
      </c>
      <c r="B57" s="7"/>
      <c r="C57" s="6" t="s">
        <v>801</v>
      </c>
      <c r="D57" s="6"/>
      <c r="E57" s="6"/>
      <c r="F57" s="6">
        <v>2</v>
      </c>
      <c r="G57" s="6" t="s">
        <v>9</v>
      </c>
      <c r="H57" s="6"/>
      <c r="J57" t="s">
        <v>861</v>
      </c>
      <c r="K57" t="s">
        <v>924</v>
      </c>
      <c r="O57">
        <v>1</v>
      </c>
      <c r="P57" t="s">
        <v>913</v>
      </c>
    </row>
    <row r="58" spans="1:16">
      <c r="A58" s="6" t="s">
        <v>43</v>
      </c>
      <c r="B58" s="7" t="s">
        <v>802</v>
      </c>
      <c r="C58" s="6" t="s">
        <v>66</v>
      </c>
      <c r="D58" s="6"/>
      <c r="E58" s="6"/>
      <c r="F58" s="6">
        <v>2</v>
      </c>
      <c r="G58" s="6" t="s">
        <v>9</v>
      </c>
      <c r="H58" s="6"/>
      <c r="J58" t="s">
        <v>861</v>
      </c>
      <c r="K58" t="s">
        <v>925</v>
      </c>
      <c r="O58">
        <v>1</v>
      </c>
      <c r="P58" t="s">
        <v>913</v>
      </c>
    </row>
    <row r="59" spans="1:16">
      <c r="A59" s="6" t="s">
        <v>43</v>
      </c>
      <c r="B59" s="7" t="s">
        <v>745</v>
      </c>
      <c r="C59" s="6" t="s">
        <v>66</v>
      </c>
      <c r="D59" s="6"/>
      <c r="E59" s="6"/>
      <c r="F59" s="6">
        <v>2</v>
      </c>
      <c r="G59" s="6" t="s">
        <v>9</v>
      </c>
      <c r="H59" s="6"/>
      <c r="J59" t="s">
        <v>852</v>
      </c>
      <c r="K59" t="s">
        <v>926</v>
      </c>
      <c r="O59">
        <v>3</v>
      </c>
      <c r="P59" t="s">
        <v>913</v>
      </c>
    </row>
    <row r="60" spans="1:16">
      <c r="A60" s="6" t="s">
        <v>44</v>
      </c>
      <c r="B60" s="7"/>
      <c r="C60" t="s">
        <v>803</v>
      </c>
      <c r="D60" s="6"/>
      <c r="E60" s="6"/>
      <c r="F60" s="6">
        <v>1</v>
      </c>
      <c r="G60" s="6" t="s">
        <v>9</v>
      </c>
      <c r="H60" s="6"/>
      <c r="J60" t="s">
        <v>852</v>
      </c>
      <c r="K60" t="s">
        <v>927</v>
      </c>
      <c r="O60">
        <v>1</v>
      </c>
      <c r="P60" t="s">
        <v>913</v>
      </c>
    </row>
    <row r="61" spans="1:16">
      <c r="A61" s="6" t="s">
        <v>43</v>
      </c>
      <c r="B61" s="7"/>
      <c r="C61" t="s">
        <v>804</v>
      </c>
      <c r="D61" s="6"/>
      <c r="E61" s="6"/>
      <c r="F61" s="6">
        <v>1</v>
      </c>
      <c r="G61" s="6" t="s">
        <v>9</v>
      </c>
      <c r="H61" s="6"/>
      <c r="J61" t="s">
        <v>855</v>
      </c>
      <c r="K61" t="s">
        <v>930</v>
      </c>
      <c r="M61" t="s">
        <v>931</v>
      </c>
      <c r="O61">
        <v>1</v>
      </c>
      <c r="P61" t="s">
        <v>913</v>
      </c>
    </row>
    <row r="62" spans="1:16">
      <c r="A62" s="6" t="s">
        <v>44</v>
      </c>
      <c r="B62" s="7"/>
      <c r="C62" t="s">
        <v>805</v>
      </c>
      <c r="D62" s="6"/>
      <c r="E62" s="6"/>
      <c r="F62" s="6">
        <v>1</v>
      </c>
      <c r="G62" s="6" t="s">
        <v>9</v>
      </c>
      <c r="H62" s="6"/>
      <c r="J62" t="s">
        <v>287</v>
      </c>
      <c r="K62" t="s">
        <v>928</v>
      </c>
      <c r="M62" t="s">
        <v>929</v>
      </c>
      <c r="O62">
        <v>1</v>
      </c>
      <c r="P62" t="s">
        <v>913</v>
      </c>
    </row>
    <row r="63" spans="1:16">
      <c r="A63" s="6" t="s">
        <v>44</v>
      </c>
      <c r="B63" s="7"/>
      <c r="C63" s="6" t="s">
        <v>45</v>
      </c>
      <c r="D63" s="6"/>
      <c r="E63" s="6"/>
      <c r="F63" s="6">
        <v>2</v>
      </c>
      <c r="G63" s="6" t="s">
        <v>9</v>
      </c>
      <c r="H63" s="6"/>
      <c r="J63" t="s">
        <v>683</v>
      </c>
      <c r="K63" t="s">
        <v>932</v>
      </c>
      <c r="O63">
        <v>1</v>
      </c>
      <c r="P63" t="s">
        <v>913</v>
      </c>
    </row>
    <row r="64" spans="1:16">
      <c r="A64" s="6" t="s">
        <v>44</v>
      </c>
      <c r="B64" s="7"/>
      <c r="C64" t="s">
        <v>806</v>
      </c>
      <c r="D64" s="6"/>
      <c r="E64" s="6"/>
      <c r="F64" s="6">
        <v>1</v>
      </c>
      <c r="G64" s="6" t="s">
        <v>9</v>
      </c>
      <c r="H64" s="6"/>
      <c r="J64" t="s">
        <v>809</v>
      </c>
      <c r="O64">
        <v>3</v>
      </c>
      <c r="P64" t="s">
        <v>913</v>
      </c>
    </row>
    <row r="65" spans="1:8">
      <c r="A65" s="6" t="s">
        <v>44</v>
      </c>
      <c r="B65" s="7"/>
      <c r="C65" s="6" t="s">
        <v>807</v>
      </c>
      <c r="D65" s="6"/>
      <c r="E65" s="6"/>
      <c r="F65" s="6">
        <v>1</v>
      </c>
      <c r="G65" s="6" t="s">
        <v>9</v>
      </c>
      <c r="H65" s="6"/>
    </row>
    <row r="66" spans="1:8">
      <c r="A66" s="6" t="s">
        <v>44</v>
      </c>
      <c r="B66" s="7"/>
      <c r="C66" t="s">
        <v>282</v>
      </c>
      <c r="D66" s="6"/>
      <c r="E66" s="6"/>
      <c r="F66" s="6">
        <v>1</v>
      </c>
      <c r="G66" s="6" t="s">
        <v>9</v>
      </c>
      <c r="H66" s="6"/>
    </row>
    <row r="67" spans="1:8">
      <c r="A67" s="6" t="s">
        <v>11</v>
      </c>
      <c r="B67" s="7"/>
      <c r="C67" t="s">
        <v>801</v>
      </c>
      <c r="D67" s="6"/>
      <c r="E67" s="6"/>
      <c r="F67" s="6">
        <v>2</v>
      </c>
      <c r="G67" s="6" t="s">
        <v>284</v>
      </c>
      <c r="H67" s="6"/>
    </row>
    <row r="68" spans="1:8" ht="30">
      <c r="A68" s="6" t="s">
        <v>32</v>
      </c>
      <c r="B68" s="7" t="s">
        <v>792</v>
      </c>
      <c r="C68" s="6" t="s">
        <v>52</v>
      </c>
      <c r="D68" s="6"/>
      <c r="E68" s="6"/>
      <c r="F68" s="6">
        <v>1</v>
      </c>
      <c r="G68" s="6" t="s">
        <v>284</v>
      </c>
      <c r="H68" s="6"/>
    </row>
    <row r="69" spans="1:8">
      <c r="A69" s="6" t="s">
        <v>11</v>
      </c>
      <c r="B69" s="7"/>
      <c r="C69" s="6" t="s">
        <v>79</v>
      </c>
      <c r="D69" s="6"/>
      <c r="E69" s="6"/>
      <c r="F69" s="6">
        <v>2</v>
      </c>
      <c r="G69" s="6" t="s">
        <v>284</v>
      </c>
      <c r="H69" s="6"/>
    </row>
    <row r="70" spans="1:8">
      <c r="A70" s="6" t="s">
        <v>11</v>
      </c>
      <c r="B70" s="7"/>
      <c r="C70" t="s">
        <v>801</v>
      </c>
      <c r="D70" s="6"/>
      <c r="E70" s="6"/>
      <c r="F70" s="6">
        <v>3</v>
      </c>
      <c r="G70" s="6" t="s">
        <v>284</v>
      </c>
      <c r="H70" s="6"/>
    </row>
    <row r="71" spans="1:8">
      <c r="A71" s="6" t="s">
        <v>11</v>
      </c>
      <c r="B71" s="7"/>
      <c r="C71" s="6" t="s">
        <v>31</v>
      </c>
      <c r="D71" s="6"/>
      <c r="E71" s="6"/>
      <c r="F71" s="6">
        <v>3</v>
      </c>
      <c r="G71" s="6" t="s">
        <v>284</v>
      </c>
      <c r="H71" s="6"/>
    </row>
    <row r="72" spans="1:8">
      <c r="A72" s="6" t="s">
        <v>107</v>
      </c>
      <c r="B72" s="7"/>
      <c r="C72" s="6" t="s">
        <v>811</v>
      </c>
      <c r="D72" s="6"/>
      <c r="E72" s="6"/>
      <c r="F72" s="6">
        <v>1</v>
      </c>
      <c r="G72" s="6" t="s">
        <v>284</v>
      </c>
      <c r="H72" s="6"/>
    </row>
    <row r="73" spans="1:8">
      <c r="A73" s="6" t="s">
        <v>156</v>
      </c>
      <c r="B73" s="7"/>
      <c r="C73" s="6" t="s">
        <v>588</v>
      </c>
      <c r="D73" s="6"/>
      <c r="E73" s="6"/>
      <c r="F73" s="6">
        <v>1</v>
      </c>
      <c r="G73" s="6" t="s">
        <v>284</v>
      </c>
      <c r="H73" s="6"/>
    </row>
    <row r="74" spans="1:8" ht="30">
      <c r="A74" s="6" t="s">
        <v>825</v>
      </c>
      <c r="B74" s="7" t="s">
        <v>826</v>
      </c>
      <c r="C74" s="6"/>
      <c r="D74" s="6" t="s">
        <v>741</v>
      </c>
      <c r="E74" s="6" t="s">
        <v>741</v>
      </c>
      <c r="F74" s="6">
        <v>1</v>
      </c>
      <c r="G74" s="6" t="s">
        <v>5</v>
      </c>
      <c r="H74" s="6"/>
    </row>
    <row r="75" spans="1:8">
      <c r="A75" s="6" t="s">
        <v>825</v>
      </c>
      <c r="B75" s="7" t="s">
        <v>827</v>
      </c>
      <c r="C75" s="6"/>
      <c r="D75" s="6" t="s">
        <v>741</v>
      </c>
      <c r="E75" s="6" t="s">
        <v>741</v>
      </c>
      <c r="F75" s="6">
        <v>1</v>
      </c>
      <c r="G75" s="6" t="s">
        <v>5</v>
      </c>
      <c r="H75" s="6"/>
    </row>
    <row r="76" spans="1:8">
      <c r="A76" s="6" t="s">
        <v>828</v>
      </c>
      <c r="B76" s="7"/>
      <c r="C76" s="6"/>
      <c r="D76" s="6" t="s">
        <v>741</v>
      </c>
      <c r="E76" s="6" t="s">
        <v>741</v>
      </c>
      <c r="F76" s="6">
        <v>1</v>
      </c>
      <c r="G76" s="6" t="s">
        <v>5</v>
      </c>
      <c r="H76" s="6"/>
    </row>
    <row r="77" spans="1:8" ht="30">
      <c r="A77" s="6" t="s">
        <v>152</v>
      </c>
      <c r="B77" s="7" t="s">
        <v>829</v>
      </c>
      <c r="C77" s="6"/>
      <c r="D77" s="6"/>
      <c r="E77" s="6"/>
      <c r="F77" s="6">
        <v>3</v>
      </c>
      <c r="G77" s="6" t="s">
        <v>5</v>
      </c>
      <c r="H77" s="6"/>
    </row>
    <row r="78" spans="1:8" ht="30">
      <c r="A78" s="6" t="s">
        <v>152</v>
      </c>
      <c r="B78" s="7" t="s">
        <v>830</v>
      </c>
      <c r="C78" s="6"/>
      <c r="D78" s="6"/>
      <c r="E78" s="6"/>
      <c r="F78" s="6">
        <v>3</v>
      </c>
      <c r="G78" s="6" t="s">
        <v>5</v>
      </c>
      <c r="H78" s="6"/>
    </row>
    <row r="79" spans="1:8" ht="30">
      <c r="A79" s="6" t="s">
        <v>152</v>
      </c>
      <c r="B79" s="7" t="s">
        <v>831</v>
      </c>
      <c r="C79" s="6"/>
      <c r="D79" s="6"/>
      <c r="E79" s="6"/>
      <c r="F79" s="6">
        <v>1</v>
      </c>
      <c r="G79" s="6" t="s">
        <v>5</v>
      </c>
      <c r="H79" s="6"/>
    </row>
    <row r="80" spans="1:8">
      <c r="A80" s="6" t="s">
        <v>152</v>
      </c>
      <c r="B80" s="7" t="s">
        <v>265</v>
      </c>
      <c r="C80" s="6"/>
      <c r="D80" s="6"/>
      <c r="E80" s="6"/>
      <c r="F80" s="6">
        <v>1</v>
      </c>
      <c r="G80" s="6" t="s">
        <v>5</v>
      </c>
      <c r="H80" s="6"/>
    </row>
    <row r="81" spans="1:8">
      <c r="A81" s="6" t="s">
        <v>152</v>
      </c>
      <c r="B81" s="7" t="s">
        <v>20</v>
      </c>
      <c r="C81" s="6"/>
      <c r="D81" s="6"/>
      <c r="E81" s="6"/>
      <c r="F81" s="6">
        <v>1</v>
      </c>
      <c r="G81" s="6" t="s">
        <v>5</v>
      </c>
      <c r="H81" s="6"/>
    </row>
    <row r="82" spans="1:8">
      <c r="A82" s="6" t="s">
        <v>152</v>
      </c>
      <c r="B82" s="7" t="s">
        <v>640</v>
      </c>
      <c r="C82" s="6"/>
      <c r="D82" s="6"/>
      <c r="E82" s="6"/>
      <c r="F82" s="6">
        <v>3</v>
      </c>
      <c r="G82" s="6" t="s">
        <v>5</v>
      </c>
      <c r="H82" s="6"/>
    </row>
    <row r="83" spans="1:8" ht="30">
      <c r="A83" s="6" t="s">
        <v>152</v>
      </c>
      <c r="B83" s="7" t="s">
        <v>826</v>
      </c>
      <c r="C83" s="6"/>
      <c r="D83" s="6"/>
      <c r="E83" s="6"/>
      <c r="F83" s="6">
        <v>1</v>
      </c>
      <c r="G83" s="6" t="s">
        <v>5</v>
      </c>
      <c r="H83" s="6"/>
    </row>
    <row r="84" spans="1:8">
      <c r="A84" s="6" t="s">
        <v>152</v>
      </c>
      <c r="B84" s="7" t="s">
        <v>832</v>
      </c>
      <c r="C84" s="6"/>
      <c r="D84" s="6"/>
      <c r="E84" s="6"/>
      <c r="F84" s="6">
        <v>1</v>
      </c>
      <c r="G84" s="6" t="s">
        <v>5</v>
      </c>
      <c r="H84" s="6"/>
    </row>
    <row r="85" spans="1:8">
      <c r="A85" s="6" t="s">
        <v>150</v>
      </c>
      <c r="B85" s="7" t="s">
        <v>833</v>
      </c>
      <c r="C85" s="6"/>
      <c r="D85" s="6"/>
      <c r="E85" s="6"/>
      <c r="F85" s="6">
        <v>1</v>
      </c>
      <c r="G85" s="6" t="s">
        <v>5</v>
      </c>
      <c r="H85" s="6"/>
    </row>
    <row r="86" spans="1:8">
      <c r="A86" s="6" t="s">
        <v>152</v>
      </c>
      <c r="B86" s="7" t="s">
        <v>416</v>
      </c>
      <c r="C86" s="6"/>
      <c r="D86" s="6"/>
      <c r="E86" s="6"/>
      <c r="F86" s="6">
        <v>2</v>
      </c>
      <c r="G86" s="6" t="s">
        <v>5</v>
      </c>
      <c r="H86" s="6"/>
    </row>
    <row r="87" spans="1:8">
      <c r="A87" s="6" t="s">
        <v>152</v>
      </c>
      <c r="B87" s="7" t="s">
        <v>643</v>
      </c>
      <c r="C87" s="6"/>
      <c r="D87" s="6"/>
      <c r="E87" s="6"/>
      <c r="F87" s="6">
        <v>1</v>
      </c>
      <c r="G87" s="6" t="s">
        <v>5</v>
      </c>
      <c r="H87" s="6"/>
    </row>
    <row r="88" spans="1:8">
      <c r="A88" s="6" t="s">
        <v>152</v>
      </c>
      <c r="B88" s="7" t="s">
        <v>834</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139</v>
      </c>
      <c r="B91" s="7"/>
      <c r="C91" s="6"/>
      <c r="D91" s="6"/>
      <c r="E91" s="6"/>
      <c r="F91" s="6">
        <v>1</v>
      </c>
      <c r="G91" s="6" t="s">
        <v>8</v>
      </c>
      <c r="H91" s="6"/>
    </row>
    <row r="92" spans="1:8" ht="30">
      <c r="A92" s="6" t="s">
        <v>88</v>
      </c>
      <c r="B92" s="7" t="s">
        <v>837</v>
      </c>
      <c r="C92" s="6"/>
      <c r="D92" s="6"/>
      <c r="E92" s="6"/>
      <c r="F92" s="6">
        <v>2</v>
      </c>
      <c r="G92" s="6" t="s">
        <v>8</v>
      </c>
      <c r="H92" s="6"/>
    </row>
    <row r="93" spans="1:8">
      <c r="A93" s="6" t="s">
        <v>87</v>
      </c>
      <c r="B93" s="7"/>
      <c r="C93" s="6"/>
      <c r="D93" s="6"/>
      <c r="E93" s="6"/>
      <c r="F93" s="6">
        <v>2</v>
      </c>
      <c r="G93" s="6" t="s">
        <v>8</v>
      </c>
      <c r="H93" s="6"/>
    </row>
    <row r="94" spans="1:8">
      <c r="A94" s="6" t="s">
        <v>647</v>
      </c>
      <c r="B94" s="7"/>
      <c r="C94" s="6"/>
      <c r="D94" s="6"/>
      <c r="E94" s="6"/>
      <c r="F94" s="6">
        <v>2</v>
      </c>
      <c r="G94" s="6" t="s">
        <v>8</v>
      </c>
      <c r="H94" s="6"/>
    </row>
    <row r="95" spans="1:8">
      <c r="A95" s="6" t="s">
        <v>326</v>
      </c>
      <c r="B95" s="7"/>
      <c r="C95" s="6"/>
      <c r="D95" s="6" t="s">
        <v>741</v>
      </c>
      <c r="E95" s="6" t="s">
        <v>741</v>
      </c>
      <c r="F95" s="6">
        <v>1</v>
      </c>
      <c r="G95" s="6" t="s">
        <v>8</v>
      </c>
      <c r="H95" s="6"/>
    </row>
    <row r="96" spans="1:8">
      <c r="A96" s="6" t="s">
        <v>97</v>
      </c>
      <c r="B96" s="7"/>
      <c r="C96" s="6"/>
      <c r="D96" s="6" t="s">
        <v>741</v>
      </c>
      <c r="E96" s="6" t="s">
        <v>741</v>
      </c>
      <c r="F96" s="6">
        <v>1</v>
      </c>
      <c r="G96" s="6" t="s">
        <v>8</v>
      </c>
      <c r="H96" s="6"/>
    </row>
    <row r="97" spans="1:8">
      <c r="A97" s="6" t="s">
        <v>83</v>
      </c>
      <c r="B97" s="7"/>
      <c r="C97" s="6"/>
      <c r="D97" s="6" t="s">
        <v>741</v>
      </c>
      <c r="E97" s="6" t="s">
        <v>741</v>
      </c>
      <c r="F97" s="6">
        <v>1</v>
      </c>
      <c r="G97" s="6" t="s">
        <v>8</v>
      </c>
      <c r="H97" s="6"/>
    </row>
    <row r="98" spans="1:8">
      <c r="A98" s="6" t="s">
        <v>80</v>
      </c>
      <c r="B98" s="7"/>
      <c r="C98" s="6"/>
      <c r="D98" s="6" t="s">
        <v>741</v>
      </c>
      <c r="E98" s="6" t="s">
        <v>741</v>
      </c>
      <c r="F98" s="6">
        <v>1</v>
      </c>
      <c r="G98" s="6" t="s">
        <v>8</v>
      </c>
      <c r="H98" s="6"/>
    </row>
    <row r="99" spans="1:8">
      <c r="A99" s="6" t="s">
        <v>92</v>
      </c>
      <c r="B99" s="7" t="s">
        <v>146</v>
      </c>
      <c r="C99" s="6"/>
      <c r="D99" s="6"/>
      <c r="E99" s="6"/>
      <c r="F99" s="6">
        <v>1</v>
      </c>
      <c r="G99" s="6" t="s">
        <v>8</v>
      </c>
      <c r="H99" s="6"/>
    </row>
    <row r="100" spans="1:8" ht="45">
      <c r="A100" s="6" t="s">
        <v>98</v>
      </c>
      <c r="B100" s="7" t="s">
        <v>841</v>
      </c>
      <c r="C100" s="6"/>
      <c r="D100" s="6"/>
      <c r="E100" s="6"/>
      <c r="F100" s="6">
        <v>1</v>
      </c>
      <c r="G100" s="6" t="s">
        <v>8</v>
      </c>
      <c r="H100" s="6"/>
    </row>
    <row r="101" spans="1:8" ht="30">
      <c r="A101" s="6" t="s">
        <v>499</v>
      </c>
      <c r="B101" s="7" t="s">
        <v>842</v>
      </c>
      <c r="C101" s="6"/>
      <c r="D101" s="6"/>
      <c r="E101" s="6"/>
      <c r="F101" s="6">
        <v>1</v>
      </c>
      <c r="G101" s="6" t="s">
        <v>8</v>
      </c>
      <c r="H101" s="6"/>
    </row>
    <row r="102" spans="1:8">
      <c r="A102" s="6" t="s">
        <v>35</v>
      </c>
      <c r="B102" s="7" t="s">
        <v>754</v>
      </c>
      <c r="C102" s="6" t="s">
        <v>38</v>
      </c>
      <c r="D102" s="6"/>
      <c r="E102" s="6"/>
      <c r="F102" s="6">
        <v>1</v>
      </c>
      <c r="G102" s="6" t="s">
        <v>36</v>
      </c>
      <c r="H102" s="6"/>
    </row>
    <row r="103" spans="1:8">
      <c r="A103" s="6" t="s">
        <v>35</v>
      </c>
      <c r="B103" s="7" t="s">
        <v>843</v>
      </c>
      <c r="C103" s="6" t="s">
        <v>101</v>
      </c>
      <c r="D103" s="6"/>
      <c r="E103" s="6"/>
      <c r="F103" s="6">
        <v>1</v>
      </c>
      <c r="G103" s="6" t="s">
        <v>36</v>
      </c>
      <c r="H103" s="6"/>
    </row>
    <row r="104" spans="1:8">
      <c r="A104" s="6" t="s">
        <v>35</v>
      </c>
      <c r="B104" s="7" t="s">
        <v>718</v>
      </c>
      <c r="C104" s="6" t="s">
        <v>101</v>
      </c>
      <c r="D104" s="6"/>
      <c r="E104" s="6"/>
      <c r="F104" s="6">
        <v>1</v>
      </c>
      <c r="G104" s="6" t="s">
        <v>36</v>
      </c>
      <c r="H104" s="6"/>
    </row>
    <row r="105" spans="1:8">
      <c r="A105" s="6" t="s">
        <v>40</v>
      </c>
      <c r="B105" s="7"/>
      <c r="C105" s="6" t="s">
        <v>844</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235</v>
      </c>
      <c r="G1" s="4" t="s">
        <v>13</v>
      </c>
      <c r="H1" s="4" t="s">
        <v>227</v>
      </c>
    </row>
    <row r="2" spans="1:30">
      <c r="A2" s="4" t="s">
        <v>184</v>
      </c>
      <c r="B2" s="7"/>
      <c r="C2" s="6"/>
      <c r="D2" s="6"/>
      <c r="E2" s="6"/>
      <c r="F2" s="6">
        <v>5</v>
      </c>
      <c r="G2" s="6" t="s">
        <v>230</v>
      </c>
      <c r="H2" s="6" t="s">
        <v>7</v>
      </c>
    </row>
    <row r="3" spans="1:30">
      <c r="A3" s="6" t="s">
        <v>737</v>
      </c>
      <c r="B3" s="7" t="s">
        <v>848</v>
      </c>
      <c r="C3" s="6"/>
      <c r="D3" s="6"/>
      <c r="E3" s="6"/>
      <c r="F3" s="6">
        <v>3</v>
      </c>
      <c r="G3" s="6" t="s">
        <v>230</v>
      </c>
      <c r="H3" s="6" t="s">
        <v>7</v>
      </c>
      <c r="J3" t="s">
        <v>0</v>
      </c>
      <c r="K3" t="s">
        <v>1</v>
      </c>
      <c r="L3" t="s">
        <v>2</v>
      </c>
      <c r="M3" s="4" t="s">
        <v>3</v>
      </c>
      <c r="N3" s="4" t="s">
        <v>4</v>
      </c>
      <c r="O3" s="4" t="s">
        <v>235</v>
      </c>
      <c r="P3" t="s">
        <v>14</v>
      </c>
      <c r="T3" t="s">
        <v>28</v>
      </c>
      <c r="V3" s="46" t="s">
        <v>225</v>
      </c>
      <c r="W3" s="46"/>
      <c r="X3" s="46"/>
      <c r="Y3" s="46"/>
      <c r="Z3" s="46"/>
      <c r="AA3" s="46"/>
    </row>
    <row r="4" spans="1:30">
      <c r="A4" s="6" t="s">
        <v>150</v>
      </c>
      <c r="B4" s="7" t="s">
        <v>151</v>
      </c>
      <c r="C4" s="6"/>
      <c r="D4" s="6"/>
      <c r="E4" s="6"/>
      <c r="F4" s="6">
        <v>1</v>
      </c>
      <c r="G4" s="6" t="s">
        <v>230</v>
      </c>
      <c r="H4" s="6" t="s">
        <v>7</v>
      </c>
      <c r="J4" t="s">
        <v>152</v>
      </c>
      <c r="K4" t="s">
        <v>778</v>
      </c>
      <c r="O4">
        <v>2</v>
      </c>
      <c r="P4" t="s">
        <v>29</v>
      </c>
      <c r="T4" t="s">
        <v>29</v>
      </c>
      <c r="V4" t="s">
        <v>230</v>
      </c>
      <c r="W4" t="s">
        <v>8</v>
      </c>
      <c r="X4" t="s">
        <v>5</v>
      </c>
      <c r="Y4" t="s">
        <v>6</v>
      </c>
      <c r="Z4" t="s">
        <v>9</v>
      </c>
      <c r="AA4" t="s">
        <v>10</v>
      </c>
      <c r="AB4" t="s">
        <v>251</v>
      </c>
      <c r="AC4" t="s">
        <v>284</v>
      </c>
      <c r="AD4" t="s">
        <v>36</v>
      </c>
    </row>
    <row r="5" spans="1:30">
      <c r="A5" s="6" t="s">
        <v>150</v>
      </c>
      <c r="B5" s="7" t="s">
        <v>849</v>
      </c>
      <c r="C5" s="6"/>
      <c r="D5" s="6"/>
      <c r="E5" s="6"/>
      <c r="F5" s="6">
        <v>1</v>
      </c>
      <c r="G5" s="6" t="s">
        <v>230</v>
      </c>
      <c r="H5" s="6" t="s">
        <v>7</v>
      </c>
      <c r="J5" t="s">
        <v>136</v>
      </c>
      <c r="K5" t="s">
        <v>137</v>
      </c>
      <c r="O5">
        <v>1</v>
      </c>
      <c r="P5" t="s">
        <v>29</v>
      </c>
      <c r="T5" t="s">
        <v>846</v>
      </c>
      <c r="V5" t="s">
        <v>7</v>
      </c>
      <c r="W5" t="s">
        <v>740</v>
      </c>
      <c r="X5" t="s">
        <v>740</v>
      </c>
      <c r="Y5" t="s">
        <v>740</v>
      </c>
      <c r="Z5" t="s">
        <v>740</v>
      </c>
      <c r="AA5" t="s">
        <v>740</v>
      </c>
      <c r="AB5" t="s">
        <v>753</v>
      </c>
    </row>
    <row r="6" spans="1:30">
      <c r="A6" s="6" t="s">
        <v>703</v>
      </c>
      <c r="B6" s="7"/>
      <c r="C6" s="6"/>
      <c r="D6" s="6"/>
      <c r="E6" s="6"/>
      <c r="F6" s="6">
        <v>1</v>
      </c>
      <c r="G6" s="6" t="s">
        <v>230</v>
      </c>
      <c r="H6" s="6" t="s">
        <v>7</v>
      </c>
      <c r="J6" t="s">
        <v>782</v>
      </c>
      <c r="K6" t="s">
        <v>871</v>
      </c>
      <c r="O6">
        <v>1</v>
      </c>
      <c r="P6" t="s">
        <v>29</v>
      </c>
      <c r="T6" t="s">
        <v>15</v>
      </c>
      <c r="V6" t="s">
        <v>845</v>
      </c>
    </row>
    <row r="7" spans="1:30">
      <c r="A7" s="6" t="s">
        <v>188</v>
      </c>
      <c r="B7" s="7"/>
      <c r="C7" s="6"/>
      <c r="D7" s="6"/>
      <c r="E7" s="6"/>
      <c r="F7" s="6">
        <v>1</v>
      </c>
      <c r="G7" s="6" t="s">
        <v>230</v>
      </c>
      <c r="H7" s="6" t="s">
        <v>7</v>
      </c>
      <c r="J7" t="s">
        <v>189</v>
      </c>
      <c r="K7" t="s">
        <v>872</v>
      </c>
      <c r="O7">
        <v>1</v>
      </c>
      <c r="P7" t="s">
        <v>29</v>
      </c>
      <c r="T7" t="s">
        <v>847</v>
      </c>
    </row>
    <row r="8" spans="1:30" ht="45">
      <c r="A8" s="6" t="s">
        <v>690</v>
      </c>
      <c r="B8" s="7" t="s">
        <v>864</v>
      </c>
      <c r="C8" s="6"/>
      <c r="D8" s="6"/>
      <c r="E8" s="6"/>
      <c r="F8" s="6">
        <v>1</v>
      </c>
      <c r="G8" s="6" t="s">
        <v>230</v>
      </c>
      <c r="H8" s="6" t="s">
        <v>7</v>
      </c>
      <c r="J8" t="s">
        <v>136</v>
      </c>
      <c r="K8" t="s">
        <v>192</v>
      </c>
      <c r="O8">
        <v>1</v>
      </c>
      <c r="P8" t="s">
        <v>29</v>
      </c>
    </row>
    <row r="9" spans="1:30">
      <c r="A9" s="6" t="s">
        <v>865</v>
      </c>
      <c r="B9" s="7"/>
      <c r="C9" s="6"/>
      <c r="D9" s="6" t="s">
        <v>740</v>
      </c>
      <c r="E9" s="6" t="s">
        <v>740</v>
      </c>
      <c r="F9" s="6">
        <v>1</v>
      </c>
      <c r="G9" s="6" t="s">
        <v>230</v>
      </c>
      <c r="H9" s="6" t="s">
        <v>7</v>
      </c>
      <c r="J9" t="s">
        <v>152</v>
      </c>
      <c r="K9" t="s">
        <v>600</v>
      </c>
      <c r="O9">
        <v>1</v>
      </c>
      <c r="P9" t="s">
        <v>29</v>
      </c>
    </row>
    <row r="10" spans="1:30">
      <c r="A10" s="6" t="s">
        <v>866</v>
      </c>
      <c r="B10" s="7"/>
      <c r="C10" s="6"/>
      <c r="D10" s="6" t="s">
        <v>740</v>
      </c>
      <c r="E10" s="6" t="s">
        <v>740</v>
      </c>
      <c r="F10" s="6">
        <v>1</v>
      </c>
      <c r="G10" s="6" t="s">
        <v>230</v>
      </c>
      <c r="H10" s="6" t="s">
        <v>7</v>
      </c>
      <c r="J10" t="s">
        <v>147</v>
      </c>
      <c r="K10" t="s">
        <v>873</v>
      </c>
      <c r="O10">
        <v>2</v>
      </c>
      <c r="P10" t="s">
        <v>29</v>
      </c>
    </row>
    <row r="11" spans="1:30">
      <c r="A11" s="6" t="s">
        <v>211</v>
      </c>
      <c r="B11" s="7"/>
      <c r="C11" s="6"/>
      <c r="D11" s="6" t="s">
        <v>740</v>
      </c>
      <c r="E11" s="6" t="s">
        <v>740</v>
      </c>
      <c r="F11" s="6">
        <v>1</v>
      </c>
      <c r="G11" s="6" t="s">
        <v>230</v>
      </c>
      <c r="H11" s="6" t="s">
        <v>7</v>
      </c>
      <c r="J11" t="s">
        <v>147</v>
      </c>
      <c r="K11" t="s">
        <v>595</v>
      </c>
      <c r="O11">
        <v>1</v>
      </c>
      <c r="P11" t="s">
        <v>29</v>
      </c>
    </row>
    <row r="12" spans="1:30">
      <c r="A12" s="6" t="s">
        <v>152</v>
      </c>
      <c r="B12" s="7" t="s">
        <v>661</v>
      </c>
      <c r="C12" s="6"/>
      <c r="D12" s="6"/>
      <c r="E12" s="6"/>
      <c r="F12" s="6">
        <v>1</v>
      </c>
      <c r="G12" s="6" t="s">
        <v>230</v>
      </c>
      <c r="H12" s="6" t="s">
        <v>7</v>
      </c>
      <c r="J12" t="s">
        <v>152</v>
      </c>
      <c r="K12" t="s">
        <v>874</v>
      </c>
      <c r="O12">
        <v>2</v>
      </c>
      <c r="P12" t="s">
        <v>29</v>
      </c>
    </row>
    <row r="13" spans="1:30">
      <c r="A13" s="6" t="s">
        <v>462</v>
      </c>
      <c r="B13" s="7"/>
      <c r="C13" s="6"/>
      <c r="D13" s="6"/>
      <c r="E13" s="6"/>
      <c r="F13" s="6">
        <v>6</v>
      </c>
      <c r="G13" s="6" t="s">
        <v>230</v>
      </c>
      <c r="H13" s="6" t="s">
        <v>7</v>
      </c>
      <c r="J13" t="s">
        <v>152</v>
      </c>
      <c r="K13" t="s">
        <v>20</v>
      </c>
      <c r="O13">
        <v>1</v>
      </c>
      <c r="P13" t="s">
        <v>29</v>
      </c>
    </row>
    <row r="14" spans="1:30">
      <c r="A14" s="6" t="s">
        <v>152</v>
      </c>
      <c r="B14" s="7" t="s">
        <v>867</v>
      </c>
      <c r="C14" s="6"/>
      <c r="D14" s="6"/>
      <c r="E14" s="6"/>
      <c r="F14" s="6">
        <v>2</v>
      </c>
      <c r="G14" s="6" t="s">
        <v>230</v>
      </c>
      <c r="H14" s="6" t="s">
        <v>7</v>
      </c>
      <c r="J14" t="s">
        <v>152</v>
      </c>
      <c r="K14" t="s">
        <v>599</v>
      </c>
      <c r="O14">
        <v>1</v>
      </c>
      <c r="P14" t="s">
        <v>29</v>
      </c>
    </row>
    <row r="15" spans="1:30">
      <c r="A15" s="6" t="s">
        <v>360</v>
      </c>
      <c r="B15" s="7"/>
      <c r="C15" s="6"/>
      <c r="D15" s="6"/>
      <c r="E15" s="6"/>
      <c r="F15" s="6">
        <v>8</v>
      </c>
      <c r="G15" s="6" t="s">
        <v>230</v>
      </c>
      <c r="H15" s="6" t="s">
        <v>7</v>
      </c>
      <c r="J15" t="s">
        <v>152</v>
      </c>
      <c r="K15" t="s">
        <v>875</v>
      </c>
      <c r="O15">
        <v>1</v>
      </c>
      <c r="P15" t="s">
        <v>29</v>
      </c>
    </row>
    <row r="16" spans="1:30">
      <c r="A16" s="6" t="s">
        <v>728</v>
      </c>
      <c r="B16" s="7"/>
      <c r="C16" s="6"/>
      <c r="D16" s="6"/>
      <c r="E16" s="6"/>
      <c r="F16" s="6">
        <v>1</v>
      </c>
      <c r="G16" s="6" t="s">
        <v>230</v>
      </c>
      <c r="H16" s="6" t="s">
        <v>7</v>
      </c>
      <c r="J16" t="s">
        <v>12</v>
      </c>
      <c r="K16" t="s">
        <v>876</v>
      </c>
      <c r="M16" t="s">
        <v>840</v>
      </c>
      <c r="N16" t="s">
        <v>840</v>
      </c>
      <c r="O16">
        <v>1</v>
      </c>
      <c r="P16" t="s">
        <v>846</v>
      </c>
    </row>
    <row r="17" spans="1:16">
      <c r="A17" s="6" t="s">
        <v>191</v>
      </c>
      <c r="B17" s="7"/>
      <c r="C17" s="6"/>
      <c r="D17" s="6"/>
      <c r="E17" s="6"/>
      <c r="F17" s="6">
        <v>1</v>
      </c>
      <c r="G17" s="6" t="s">
        <v>230</v>
      </c>
      <c r="H17" s="6" t="s">
        <v>7</v>
      </c>
      <c r="J17" t="s">
        <v>12</v>
      </c>
      <c r="K17" t="s">
        <v>827</v>
      </c>
      <c r="M17" t="s">
        <v>840</v>
      </c>
      <c r="N17" t="s">
        <v>840</v>
      </c>
      <c r="O17">
        <v>1</v>
      </c>
      <c r="P17" t="s">
        <v>846</v>
      </c>
    </row>
    <row r="18" spans="1:16">
      <c r="A18" s="6" t="s">
        <v>868</v>
      </c>
      <c r="B18" s="7"/>
      <c r="C18" s="6"/>
      <c r="D18" s="6"/>
      <c r="E18" s="6"/>
      <c r="F18" s="6">
        <v>4</v>
      </c>
      <c r="G18" s="6" t="s">
        <v>230</v>
      </c>
      <c r="H18" s="6" t="s">
        <v>7</v>
      </c>
      <c r="J18" t="s">
        <v>613</v>
      </c>
      <c r="K18" t="s">
        <v>877</v>
      </c>
      <c r="M18" t="s">
        <v>840</v>
      </c>
      <c r="N18" t="s">
        <v>840</v>
      </c>
      <c r="O18">
        <v>2</v>
      </c>
      <c r="P18" t="s">
        <v>846</v>
      </c>
    </row>
    <row r="19" spans="1:16">
      <c r="A19" s="6" t="s">
        <v>208</v>
      </c>
      <c r="B19" s="7"/>
      <c r="C19" s="6" t="s">
        <v>740</v>
      </c>
      <c r="D19" s="6" t="s">
        <v>740</v>
      </c>
      <c r="E19" s="6" t="s">
        <v>740</v>
      </c>
      <c r="F19" s="6">
        <v>1</v>
      </c>
      <c r="G19" s="6" t="s">
        <v>230</v>
      </c>
      <c r="H19" s="6" t="s">
        <v>7</v>
      </c>
      <c r="J19" t="s">
        <v>152</v>
      </c>
      <c r="K19" t="s">
        <v>19</v>
      </c>
      <c r="O19">
        <v>1</v>
      </c>
      <c r="P19" t="s">
        <v>15</v>
      </c>
    </row>
    <row r="20" spans="1:16">
      <c r="A20" s="6" t="s">
        <v>11</v>
      </c>
      <c r="B20" s="7"/>
      <c r="C20" s="6" t="s">
        <v>116</v>
      </c>
      <c r="D20" s="6"/>
      <c r="E20" s="6"/>
      <c r="F20" s="6">
        <v>1</v>
      </c>
      <c r="G20" s="6" t="s">
        <v>230</v>
      </c>
      <c r="H20" s="6" t="s">
        <v>845</v>
      </c>
      <c r="J20" t="s">
        <v>152</v>
      </c>
      <c r="K20" t="s">
        <v>903</v>
      </c>
      <c r="O20">
        <v>2</v>
      </c>
      <c r="P20" t="s">
        <v>15</v>
      </c>
    </row>
    <row r="21" spans="1:16">
      <c r="A21" s="6" t="s">
        <v>11</v>
      </c>
      <c r="B21" s="7"/>
      <c r="C21" s="6" t="s">
        <v>79</v>
      </c>
      <c r="D21" s="6"/>
      <c r="E21" s="6"/>
      <c r="F21" s="6">
        <v>1</v>
      </c>
      <c r="G21" s="6" t="s">
        <v>230</v>
      </c>
      <c r="H21" s="6" t="s">
        <v>845</v>
      </c>
      <c r="J21" t="s">
        <v>152</v>
      </c>
      <c r="K21" t="s">
        <v>904</v>
      </c>
      <c r="O21">
        <v>2</v>
      </c>
      <c r="P21" t="s">
        <v>15</v>
      </c>
    </row>
    <row r="22" spans="1:16">
      <c r="A22" s="6" t="s">
        <v>156</v>
      </c>
      <c r="B22" s="7"/>
      <c r="C22" s="6" t="s">
        <v>588</v>
      </c>
      <c r="D22" s="6"/>
      <c r="E22" s="6"/>
      <c r="F22" s="6">
        <v>1</v>
      </c>
      <c r="G22" s="6" t="s">
        <v>230</v>
      </c>
      <c r="H22" s="6" t="s">
        <v>845</v>
      </c>
      <c r="J22" t="s">
        <v>152</v>
      </c>
      <c r="K22" t="s">
        <v>523</v>
      </c>
      <c r="O22">
        <v>1</v>
      </c>
      <c r="P22" t="s">
        <v>15</v>
      </c>
    </row>
    <row r="23" spans="1:16">
      <c r="A23" s="6" t="s">
        <v>152</v>
      </c>
      <c r="B23" s="7" t="s">
        <v>164</v>
      </c>
      <c r="C23" s="6"/>
      <c r="D23" s="6"/>
      <c r="E23" s="6"/>
      <c r="F23" s="6">
        <v>1</v>
      </c>
      <c r="G23" s="6" t="s">
        <v>230</v>
      </c>
      <c r="H23" s="6" t="s">
        <v>845</v>
      </c>
      <c r="J23" t="s">
        <v>152</v>
      </c>
      <c r="K23" t="s">
        <v>17</v>
      </c>
      <c r="O23">
        <v>1</v>
      </c>
      <c r="P23" t="s">
        <v>15</v>
      </c>
    </row>
    <row r="24" spans="1:16">
      <c r="A24" s="6" t="s">
        <v>186</v>
      </c>
      <c r="B24" s="7"/>
      <c r="C24" s="6"/>
      <c r="D24" s="6"/>
      <c r="E24" s="6"/>
      <c r="F24" s="6">
        <v>5</v>
      </c>
      <c r="G24" s="6" t="s">
        <v>230</v>
      </c>
      <c r="H24" s="6" t="s">
        <v>7</v>
      </c>
      <c r="J24" t="s">
        <v>152</v>
      </c>
      <c r="K24" t="s">
        <v>402</v>
      </c>
      <c r="O24">
        <v>2</v>
      </c>
      <c r="P24" t="s">
        <v>15</v>
      </c>
    </row>
    <row r="25" spans="1:16">
      <c r="A25" s="6" t="s">
        <v>186</v>
      </c>
      <c r="B25" s="7"/>
      <c r="C25" s="6"/>
      <c r="D25" s="6"/>
      <c r="E25" s="6"/>
      <c r="F25" s="6">
        <v>5</v>
      </c>
      <c r="G25" s="6" t="s">
        <v>230</v>
      </c>
      <c r="H25" s="6" t="s">
        <v>845</v>
      </c>
      <c r="J25" t="s">
        <v>152</v>
      </c>
      <c r="K25" t="s">
        <v>905</v>
      </c>
      <c r="O25">
        <v>2</v>
      </c>
      <c r="P25" t="s">
        <v>15</v>
      </c>
    </row>
    <row r="26" spans="1:16">
      <c r="A26" s="6" t="s">
        <v>868</v>
      </c>
      <c r="B26" s="7"/>
      <c r="C26" s="6"/>
      <c r="D26" s="6"/>
      <c r="E26" s="6"/>
      <c r="F26" s="6">
        <v>2</v>
      </c>
      <c r="G26" s="6" t="s">
        <v>230</v>
      </c>
      <c r="H26" s="6" t="s">
        <v>845</v>
      </c>
      <c r="J26" t="s">
        <v>152</v>
      </c>
      <c r="K26" t="s">
        <v>906</v>
      </c>
      <c r="O26">
        <v>1</v>
      </c>
      <c r="P26" t="s">
        <v>15</v>
      </c>
    </row>
    <row r="27" spans="1:16">
      <c r="A27" s="6" t="s">
        <v>248</v>
      </c>
      <c r="B27" s="7"/>
      <c r="C27" s="6"/>
      <c r="D27" s="6"/>
      <c r="E27" s="6"/>
      <c r="F27" s="6">
        <v>1</v>
      </c>
      <c r="G27" s="6" t="s">
        <v>230</v>
      </c>
      <c r="H27" s="6" t="s">
        <v>845</v>
      </c>
      <c r="J27" t="s">
        <v>152</v>
      </c>
      <c r="K27" t="s">
        <v>904</v>
      </c>
      <c r="O27">
        <v>1</v>
      </c>
      <c r="P27" t="s">
        <v>15</v>
      </c>
    </row>
    <row r="28" spans="1:16" ht="30">
      <c r="A28" s="6" t="s">
        <v>690</v>
      </c>
      <c r="B28" s="7" t="s">
        <v>869</v>
      </c>
      <c r="C28" s="6"/>
      <c r="D28" s="6"/>
      <c r="E28" s="6"/>
      <c r="F28" s="6">
        <v>1</v>
      </c>
      <c r="G28" s="6" t="s">
        <v>230</v>
      </c>
      <c r="H28" s="6" t="s">
        <v>845</v>
      </c>
      <c r="J28" t="s">
        <v>152</v>
      </c>
      <c r="K28" t="s">
        <v>417</v>
      </c>
      <c r="O28">
        <v>1</v>
      </c>
      <c r="P28" t="s">
        <v>15</v>
      </c>
    </row>
    <row r="29" spans="1:16" ht="30">
      <c r="A29" s="6" t="s">
        <v>823</v>
      </c>
      <c r="B29" s="7" t="s">
        <v>870</v>
      </c>
      <c r="C29" s="6"/>
      <c r="D29" s="6"/>
      <c r="E29" s="6"/>
      <c r="F29" s="6">
        <v>1</v>
      </c>
      <c r="G29" s="6" t="s">
        <v>230</v>
      </c>
      <c r="H29" s="6" t="s">
        <v>845</v>
      </c>
      <c r="J29" t="s">
        <v>152</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230</v>
      </c>
      <c r="H30" s="6" t="s">
        <v>845</v>
      </c>
      <c r="J30" t="s">
        <v>152</v>
      </c>
      <c r="K30" t="s">
        <v>818</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230</v>
      </c>
      <c r="H31" s="6" t="s">
        <v>845</v>
      </c>
      <c r="J31" t="s">
        <v>429</v>
      </c>
      <c r="K31" t="s">
        <v>907</v>
      </c>
      <c r="O31">
        <v>2</v>
      </c>
      <c r="P31" t="s">
        <v>847</v>
      </c>
    </row>
    <row r="32" spans="1:16">
      <c r="A32" s="6" t="s">
        <v>428</v>
      </c>
      <c r="B32" s="7"/>
      <c r="C32" s="6"/>
      <c r="D32" s="6"/>
      <c r="E32" s="6"/>
      <c r="F32" s="6">
        <v>14</v>
      </c>
      <c r="G32" s="6" t="s">
        <v>284</v>
      </c>
      <c r="H32" s="6"/>
      <c r="J32" t="s">
        <v>90</v>
      </c>
      <c r="K32" t="s">
        <v>908</v>
      </c>
      <c r="O32">
        <v>3</v>
      </c>
      <c r="P32" t="s">
        <v>847</v>
      </c>
    </row>
    <row r="33" spans="1:16" ht="45">
      <c r="A33" s="6" t="s">
        <v>92</v>
      </c>
      <c r="B33" s="7" t="s">
        <v>878</v>
      </c>
      <c r="C33" s="6"/>
      <c r="D33" s="6"/>
      <c r="E33" s="6"/>
      <c r="F33" s="6">
        <v>1</v>
      </c>
      <c r="G33" s="6" t="s">
        <v>284</v>
      </c>
      <c r="H33" s="6"/>
      <c r="J33" t="s">
        <v>816</v>
      </c>
      <c r="O33">
        <v>1</v>
      </c>
      <c r="P33" t="s">
        <v>847</v>
      </c>
    </row>
    <row r="34" spans="1:16">
      <c r="A34" s="6" t="s">
        <v>88</v>
      </c>
      <c r="B34" s="7"/>
      <c r="C34" s="6"/>
      <c r="D34" s="6"/>
      <c r="E34" s="6"/>
      <c r="F34" s="6">
        <v>3</v>
      </c>
      <c r="G34" s="6" t="s">
        <v>284</v>
      </c>
      <c r="H34" s="6"/>
    </row>
    <row r="35" spans="1:16">
      <c r="A35" s="6" t="s">
        <v>139</v>
      </c>
      <c r="B35" s="7"/>
      <c r="C35" s="6"/>
      <c r="D35" s="6"/>
      <c r="E35" s="6"/>
      <c r="F35" s="6">
        <v>1</v>
      </c>
      <c r="G35" s="6" t="s">
        <v>284</v>
      </c>
      <c r="H35" s="6"/>
    </row>
    <row r="36" spans="1:16" ht="60">
      <c r="A36" s="6" t="s">
        <v>92</v>
      </c>
      <c r="B36" s="7" t="s">
        <v>879</v>
      </c>
      <c r="C36" s="6"/>
      <c r="D36" s="6"/>
      <c r="E36" s="6"/>
      <c r="F36" s="6">
        <v>1</v>
      </c>
      <c r="G36" s="6" t="s">
        <v>284</v>
      </c>
      <c r="H36" s="6"/>
    </row>
    <row r="37" spans="1:16">
      <c r="A37" s="6" t="s">
        <v>80</v>
      </c>
      <c r="B37" s="7"/>
      <c r="C37" s="6"/>
      <c r="D37" s="6" t="s">
        <v>741</v>
      </c>
      <c r="E37" s="6" t="s">
        <v>741</v>
      </c>
      <c r="F37" s="6">
        <v>1</v>
      </c>
      <c r="G37" s="6" t="s">
        <v>284</v>
      </c>
      <c r="H37" s="6"/>
    </row>
    <row r="38" spans="1:16">
      <c r="A38" s="6" t="s">
        <v>329</v>
      </c>
      <c r="B38" s="7"/>
      <c r="C38" s="6"/>
      <c r="D38" s="6" t="s">
        <v>741</v>
      </c>
      <c r="E38" s="6" t="s">
        <v>741</v>
      </c>
      <c r="F38" s="6">
        <v>1</v>
      </c>
      <c r="G38" s="6" t="s">
        <v>284</v>
      </c>
      <c r="H38" s="6"/>
    </row>
    <row r="39" spans="1:16">
      <c r="A39" s="6" t="s">
        <v>880</v>
      </c>
      <c r="B39" s="7"/>
      <c r="C39" s="6"/>
      <c r="D39" s="6" t="s">
        <v>741</v>
      </c>
      <c r="E39" s="6" t="s">
        <v>741</v>
      </c>
      <c r="F39" s="6">
        <v>1</v>
      </c>
      <c r="G39" s="6" t="s">
        <v>284</v>
      </c>
      <c r="H39" s="6"/>
    </row>
    <row r="40" spans="1:16">
      <c r="A40" s="6" t="s">
        <v>499</v>
      </c>
      <c r="B40" s="7"/>
      <c r="C40" s="6"/>
      <c r="D40" s="6"/>
      <c r="E40" s="6"/>
      <c r="F40" s="6">
        <v>1</v>
      </c>
      <c r="G40" s="6" t="s">
        <v>284</v>
      </c>
      <c r="H40" s="6"/>
    </row>
    <row r="41" spans="1:16">
      <c r="A41" s="6" t="s">
        <v>326</v>
      </c>
      <c r="B41" s="7"/>
      <c r="C41" s="6"/>
      <c r="D41" s="6" t="s">
        <v>741</v>
      </c>
      <c r="E41" s="6" t="s">
        <v>741</v>
      </c>
      <c r="F41" s="6">
        <v>1</v>
      </c>
      <c r="G41" s="6" t="s">
        <v>284</v>
      </c>
      <c r="H41" s="6"/>
    </row>
    <row r="42" spans="1:16">
      <c r="A42" s="6" t="s">
        <v>768</v>
      </c>
      <c r="B42" s="7"/>
      <c r="C42" s="6"/>
      <c r="D42" s="6"/>
      <c r="E42" s="6"/>
      <c r="F42" s="6">
        <v>1</v>
      </c>
      <c r="G42" s="6" t="s">
        <v>284</v>
      </c>
      <c r="H42" s="6"/>
    </row>
    <row r="43" spans="1:16">
      <c r="A43" s="6" t="s">
        <v>881</v>
      </c>
      <c r="B43" s="7"/>
      <c r="C43" s="6"/>
      <c r="D43" s="6"/>
      <c r="E43" s="6"/>
      <c r="F43" s="6">
        <v>2</v>
      </c>
      <c r="G43" s="6" t="s">
        <v>284</v>
      </c>
      <c r="H43" s="6"/>
    </row>
    <row r="44" spans="1:16">
      <c r="A44" s="6" t="s">
        <v>129</v>
      </c>
      <c r="B44" s="7"/>
      <c r="C44" s="6"/>
      <c r="D44" s="6" t="s">
        <v>741</v>
      </c>
      <c r="E44" s="6" t="s">
        <v>741</v>
      </c>
      <c r="F44" s="6">
        <v>1</v>
      </c>
      <c r="G44" s="6" t="s">
        <v>284</v>
      </c>
      <c r="H44" s="6"/>
    </row>
    <row r="45" spans="1:16">
      <c r="A45" s="6" t="s">
        <v>107</v>
      </c>
      <c r="B45" s="7"/>
      <c r="C45" s="6" t="s">
        <v>882</v>
      </c>
      <c r="D45" s="6"/>
      <c r="E45" s="6"/>
      <c r="F45" s="6">
        <v>1</v>
      </c>
      <c r="G45" s="6" t="s">
        <v>284</v>
      </c>
      <c r="H45" s="6"/>
    </row>
    <row r="46" spans="1:16">
      <c r="A46" s="6" t="s">
        <v>135</v>
      </c>
      <c r="B46" s="7"/>
      <c r="C46" s="6"/>
      <c r="D46" s="6"/>
      <c r="E46" s="6"/>
      <c r="F46" s="6">
        <v>3</v>
      </c>
      <c r="G46" s="6" t="s">
        <v>284</v>
      </c>
      <c r="H46" s="6"/>
    </row>
    <row r="47" spans="1:16">
      <c r="A47" s="6" t="s">
        <v>188</v>
      </c>
      <c r="B47" s="7"/>
      <c r="C47" s="6"/>
      <c r="D47" s="6"/>
      <c r="E47" s="6"/>
      <c r="F47" s="6">
        <v>2</v>
      </c>
      <c r="G47" s="6" t="s">
        <v>251</v>
      </c>
      <c r="H47" s="6"/>
    </row>
    <row r="48" spans="1:16">
      <c r="A48" s="6" t="s">
        <v>809</v>
      </c>
      <c r="B48" s="7"/>
      <c r="C48" s="6"/>
      <c r="D48" s="6"/>
      <c r="E48" s="6"/>
      <c r="F48" s="6">
        <v>1</v>
      </c>
      <c r="G48" s="6" t="s">
        <v>251</v>
      </c>
      <c r="H48" s="6"/>
    </row>
    <row r="49" spans="1:8" ht="45">
      <c r="A49" s="6" t="s">
        <v>290</v>
      </c>
      <c r="B49" s="7" t="s">
        <v>883</v>
      </c>
      <c r="C49" s="6"/>
      <c r="D49" s="6"/>
      <c r="E49" s="6"/>
      <c r="F49" s="6">
        <v>1</v>
      </c>
      <c r="G49" s="6" t="s">
        <v>251</v>
      </c>
      <c r="H49" s="6"/>
    </row>
    <row r="50" spans="1:8">
      <c r="A50" s="6" t="s">
        <v>884</v>
      </c>
      <c r="B50" s="7"/>
      <c r="C50" s="6"/>
      <c r="D50" s="6"/>
      <c r="E50" s="6"/>
      <c r="F50" s="6">
        <v>4</v>
      </c>
      <c r="G50" s="6" t="s">
        <v>251</v>
      </c>
      <c r="H50" s="6"/>
    </row>
    <row r="51" spans="1:8" ht="30">
      <c r="A51" s="6" t="s">
        <v>852</v>
      </c>
      <c r="B51" s="7" t="s">
        <v>885</v>
      </c>
      <c r="C51" s="6"/>
      <c r="D51" s="6"/>
      <c r="E51" s="6"/>
      <c r="F51" s="6">
        <v>2</v>
      </c>
      <c r="G51" s="6" t="s">
        <v>251</v>
      </c>
      <c r="H51" s="6"/>
    </row>
    <row r="52" spans="1:8">
      <c r="A52" t="s">
        <v>863</v>
      </c>
      <c r="B52" s="7" t="s">
        <v>886</v>
      </c>
      <c r="C52" s="6"/>
      <c r="D52" s="6"/>
      <c r="E52" s="6"/>
      <c r="F52" s="6">
        <v>2</v>
      </c>
      <c r="G52" s="6" t="s">
        <v>251</v>
      </c>
      <c r="H52" s="6"/>
    </row>
    <row r="53" spans="1:8">
      <c r="A53" s="6" t="s">
        <v>860</v>
      </c>
      <c r="B53" s="7" t="s">
        <v>887</v>
      </c>
      <c r="C53" s="6"/>
      <c r="D53" s="6"/>
      <c r="E53" s="6"/>
      <c r="F53" s="6">
        <v>1</v>
      </c>
      <c r="G53" s="6" t="s">
        <v>251</v>
      </c>
      <c r="H53" s="6"/>
    </row>
    <row r="54" spans="1:8" ht="30">
      <c r="A54" s="6" t="s">
        <v>852</v>
      </c>
      <c r="B54" s="7" t="s">
        <v>888</v>
      </c>
      <c r="C54" s="6"/>
      <c r="D54" s="6"/>
      <c r="E54" s="6"/>
      <c r="F54" s="6">
        <v>1</v>
      </c>
      <c r="G54" s="6" t="s">
        <v>251</v>
      </c>
      <c r="H54" s="6"/>
    </row>
    <row r="55" spans="1:8">
      <c r="A55" s="6" t="s">
        <v>287</v>
      </c>
      <c r="B55" s="7"/>
      <c r="C55" s="6"/>
      <c r="D55" s="6"/>
      <c r="E55" s="6"/>
      <c r="F55" s="6">
        <v>3</v>
      </c>
      <c r="G55" s="6" t="s">
        <v>251</v>
      </c>
      <c r="H55" s="6"/>
    </row>
    <row r="56" spans="1:8">
      <c r="A56" s="6" t="s">
        <v>853</v>
      </c>
      <c r="B56" s="7" t="s">
        <v>889</v>
      </c>
      <c r="C56" s="6"/>
      <c r="D56" s="6"/>
      <c r="E56" s="6"/>
      <c r="F56" s="6">
        <v>4</v>
      </c>
      <c r="G56" s="6" t="s">
        <v>251</v>
      </c>
      <c r="H56" s="6"/>
    </row>
    <row r="57" spans="1:8" ht="30">
      <c r="A57" s="6" t="s">
        <v>290</v>
      </c>
      <c r="B57" s="7" t="s">
        <v>890</v>
      </c>
      <c r="C57" s="6"/>
      <c r="D57" s="6"/>
      <c r="E57" s="6"/>
      <c r="F57" s="6">
        <v>2</v>
      </c>
      <c r="G57" s="6" t="s">
        <v>251</v>
      </c>
      <c r="H57" s="6"/>
    </row>
    <row r="58" spans="1:8">
      <c r="A58" s="6" t="s">
        <v>290</v>
      </c>
      <c r="B58" s="7" t="s">
        <v>891</v>
      </c>
      <c r="C58" s="6"/>
      <c r="D58" s="6"/>
      <c r="E58" s="6"/>
      <c r="F58" s="6">
        <v>1</v>
      </c>
      <c r="G58" s="6" t="s">
        <v>251</v>
      </c>
      <c r="H58" s="6"/>
    </row>
    <row r="59" spans="1:8">
      <c r="A59" s="6" t="s">
        <v>150</v>
      </c>
      <c r="B59" s="7" t="s">
        <v>833</v>
      </c>
      <c r="C59" s="6"/>
      <c r="D59" s="6"/>
      <c r="E59" s="6"/>
      <c r="F59" s="6">
        <v>1</v>
      </c>
      <c r="G59" s="6" t="s">
        <v>251</v>
      </c>
      <c r="H59" s="6"/>
    </row>
    <row r="60" spans="1:8" ht="30">
      <c r="A60" s="6" t="s">
        <v>152</v>
      </c>
      <c r="B60" s="7" t="s">
        <v>892</v>
      </c>
      <c r="C60" s="6"/>
      <c r="D60" s="6"/>
      <c r="E60" s="6"/>
      <c r="F60" s="6">
        <v>1</v>
      </c>
      <c r="G60" s="6" t="s">
        <v>251</v>
      </c>
      <c r="H60" s="6"/>
    </row>
    <row r="61" spans="1:8" ht="30">
      <c r="A61" s="6" t="s">
        <v>152</v>
      </c>
      <c r="B61" s="7" t="s">
        <v>550</v>
      </c>
      <c r="C61" s="6"/>
      <c r="D61" s="6"/>
      <c r="E61" s="6"/>
      <c r="F61" s="6">
        <v>2</v>
      </c>
      <c r="G61" s="6" t="s">
        <v>251</v>
      </c>
      <c r="H61" s="6"/>
    </row>
    <row r="62" spans="1:8">
      <c r="A62" s="6" t="s">
        <v>152</v>
      </c>
      <c r="B62" s="7" t="s">
        <v>164</v>
      </c>
      <c r="C62" s="6"/>
      <c r="D62" s="6"/>
      <c r="E62" s="6"/>
      <c r="F62" s="6">
        <v>2</v>
      </c>
      <c r="G62" s="6" t="s">
        <v>251</v>
      </c>
      <c r="H62" s="6"/>
    </row>
    <row r="63" spans="1:8">
      <c r="A63" s="6" t="s">
        <v>152</v>
      </c>
      <c r="B63" s="7" t="s">
        <v>893</v>
      </c>
      <c r="C63" s="6" t="s">
        <v>419</v>
      </c>
      <c r="D63" s="6"/>
      <c r="E63" s="6"/>
      <c r="F63" s="6">
        <v>2</v>
      </c>
      <c r="G63" s="6" t="s">
        <v>251</v>
      </c>
      <c r="H63" s="6"/>
    </row>
    <row r="64" spans="1:8">
      <c r="A64" s="6" t="s">
        <v>152</v>
      </c>
      <c r="B64" s="7" t="s">
        <v>893</v>
      </c>
      <c r="C64" s="6" t="s">
        <v>154</v>
      </c>
      <c r="D64" s="6"/>
      <c r="E64" s="6"/>
      <c r="F64" s="6">
        <v>2</v>
      </c>
      <c r="G64" s="6" t="s">
        <v>251</v>
      </c>
      <c r="H64" s="6"/>
    </row>
    <row r="65" spans="1:8" ht="30">
      <c r="A65" s="6" t="s">
        <v>152</v>
      </c>
      <c r="B65" s="7" t="s">
        <v>894</v>
      </c>
      <c r="C65" s="6"/>
      <c r="D65" s="6"/>
      <c r="E65" s="6"/>
      <c r="F65" s="6">
        <v>1</v>
      </c>
      <c r="G65" s="6" t="s">
        <v>251</v>
      </c>
      <c r="H65" s="6"/>
    </row>
    <row r="66" spans="1:8">
      <c r="A66" s="6" t="s">
        <v>152</v>
      </c>
      <c r="B66" s="7" t="s">
        <v>167</v>
      </c>
      <c r="C66" s="6"/>
      <c r="D66" s="6"/>
      <c r="E66" s="6"/>
      <c r="F66" s="6">
        <v>1</v>
      </c>
      <c r="G66" s="6" t="s">
        <v>251</v>
      </c>
      <c r="H66" s="6"/>
    </row>
    <row r="67" spans="1:8">
      <c r="A67" s="6" t="s">
        <v>152</v>
      </c>
      <c r="B67" s="7" t="s">
        <v>895</v>
      </c>
      <c r="C67" s="6"/>
      <c r="D67" s="6"/>
      <c r="E67" s="6"/>
      <c r="F67" s="6">
        <v>2</v>
      </c>
      <c r="G67" s="6" t="s">
        <v>251</v>
      </c>
      <c r="H67" s="6"/>
    </row>
    <row r="68" spans="1:8">
      <c r="A68" s="6" t="s">
        <v>152</v>
      </c>
      <c r="B68" s="7" t="s">
        <v>164</v>
      </c>
      <c r="C68" s="6"/>
      <c r="D68" s="6"/>
      <c r="E68" s="6"/>
      <c r="F68" s="6">
        <v>1</v>
      </c>
      <c r="G68" s="6" t="s">
        <v>251</v>
      </c>
      <c r="H68" s="6"/>
    </row>
    <row r="69" spans="1:8">
      <c r="A69" s="6" t="s">
        <v>147</v>
      </c>
      <c r="B69" s="7" t="s">
        <v>148</v>
      </c>
      <c r="C69" s="6"/>
      <c r="D69" s="6"/>
      <c r="E69" s="6"/>
      <c r="F69" s="6">
        <v>1</v>
      </c>
      <c r="G69" s="6" t="s">
        <v>10</v>
      </c>
      <c r="H69" s="6"/>
    </row>
    <row r="70" spans="1:8">
      <c r="A70" s="6" t="s">
        <v>87</v>
      </c>
      <c r="B70" s="7"/>
      <c r="C70" s="6"/>
      <c r="D70" s="6"/>
      <c r="E70" s="6"/>
      <c r="F70" s="6">
        <v>2</v>
      </c>
      <c r="G70" s="6" t="s">
        <v>10</v>
      </c>
      <c r="H70" s="6"/>
    </row>
    <row r="71" spans="1:8">
      <c r="A71" s="6" t="s">
        <v>32</v>
      </c>
      <c r="B71" s="7" t="s">
        <v>896</v>
      </c>
      <c r="C71" s="6" t="s">
        <v>741</v>
      </c>
      <c r="D71" s="6"/>
      <c r="E71" s="6"/>
      <c r="F71" s="6">
        <v>1</v>
      </c>
      <c r="G71" s="6" t="s">
        <v>10</v>
      </c>
      <c r="H71" s="6"/>
    </row>
    <row r="72" spans="1:8" ht="30">
      <c r="A72" s="6" t="s">
        <v>32</v>
      </c>
      <c r="B72" s="7" t="s">
        <v>792</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897</v>
      </c>
      <c r="C75" s="6"/>
      <c r="D75" s="6"/>
      <c r="E75" s="6"/>
      <c r="F75" s="6">
        <v>1</v>
      </c>
      <c r="G75" s="6" t="s">
        <v>10</v>
      </c>
      <c r="H75" s="6"/>
    </row>
    <row r="76" spans="1:8">
      <c r="A76" s="6" t="s">
        <v>171</v>
      </c>
      <c r="B76" s="7"/>
      <c r="C76" s="6" t="s">
        <v>741</v>
      </c>
      <c r="D76" s="6"/>
      <c r="E76" s="6"/>
      <c r="F76" s="6">
        <v>1</v>
      </c>
      <c r="G76" s="6" t="s">
        <v>10</v>
      </c>
      <c r="H76" s="6"/>
    </row>
    <row r="77" spans="1:8" ht="30">
      <c r="A77" s="6" t="s">
        <v>98</v>
      </c>
      <c r="B77" s="7" t="s">
        <v>898</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899</v>
      </c>
      <c r="D79" s="6"/>
      <c r="E79" s="6"/>
      <c r="F79" s="6">
        <v>2</v>
      </c>
      <c r="G79" s="6" t="s">
        <v>10</v>
      </c>
      <c r="H79" s="6"/>
    </row>
    <row r="80" spans="1:8">
      <c r="A80" s="6" t="s">
        <v>44</v>
      </c>
      <c r="B80" s="7"/>
      <c r="C80" s="6" t="s">
        <v>67</v>
      </c>
      <c r="D80" s="6"/>
      <c r="E80" s="6"/>
      <c r="F80" s="6">
        <v>1</v>
      </c>
      <c r="G80" s="6" t="s">
        <v>10</v>
      </c>
      <c r="H80" s="6"/>
    </row>
    <row r="81" spans="1:8">
      <c r="A81" s="6" t="s">
        <v>43</v>
      </c>
      <c r="B81" s="7"/>
      <c r="C81" t="s">
        <v>803</v>
      </c>
      <c r="D81" s="6"/>
      <c r="E81" s="6"/>
      <c r="F81" s="6">
        <v>1</v>
      </c>
      <c r="G81" s="6" t="s">
        <v>10</v>
      </c>
      <c r="H81" s="6"/>
    </row>
    <row r="82" spans="1:8">
      <c r="A82" s="6" t="s">
        <v>59</v>
      </c>
      <c r="B82" s="7" t="s">
        <v>740</v>
      </c>
      <c r="C82" s="6" t="s">
        <v>740</v>
      </c>
      <c r="D82" s="6"/>
      <c r="E82" s="6"/>
      <c r="F82" s="6">
        <v>1</v>
      </c>
      <c r="G82" s="6" t="s">
        <v>10</v>
      </c>
      <c r="H82" s="6"/>
    </row>
    <row r="83" spans="1:8" ht="30">
      <c r="A83" s="6" t="s">
        <v>61</v>
      </c>
      <c r="B83" s="7" t="s">
        <v>900</v>
      </c>
      <c r="C83" t="s">
        <v>740</v>
      </c>
      <c r="D83" s="6"/>
      <c r="E83" s="6"/>
      <c r="F83" s="6">
        <v>1</v>
      </c>
      <c r="G83" s="6" t="s">
        <v>10</v>
      </c>
      <c r="H83" s="6"/>
    </row>
    <row r="84" spans="1:8" ht="30">
      <c r="A84" s="6" t="s">
        <v>59</v>
      </c>
      <c r="B84" s="7" t="s">
        <v>901</v>
      </c>
      <c r="C84" t="s">
        <v>740</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152</v>
      </c>
      <c r="B87" s="7" t="s">
        <v>26</v>
      </c>
      <c r="C87" s="6"/>
      <c r="D87" s="6"/>
      <c r="E87" s="6"/>
      <c r="F87" s="6">
        <v>3</v>
      </c>
      <c r="G87" s="6" t="s">
        <v>9</v>
      </c>
      <c r="H87" s="6"/>
    </row>
    <row r="88" spans="1:8">
      <c r="A88" s="6" t="s">
        <v>169</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637</v>
      </c>
      <c r="B92" s="7"/>
      <c r="C92" s="6"/>
      <c r="D92" s="6" t="s">
        <v>740</v>
      </c>
      <c r="E92" s="6" t="s">
        <v>740</v>
      </c>
      <c r="F92" s="6">
        <v>1</v>
      </c>
      <c r="G92" s="6" t="s">
        <v>8</v>
      </c>
      <c r="H92" s="6"/>
    </row>
    <row r="93" spans="1:8">
      <c r="A93" s="6" t="s">
        <v>902</v>
      </c>
      <c r="B93" s="7"/>
      <c r="C93" s="6" t="s">
        <v>740</v>
      </c>
      <c r="D93" s="6"/>
      <c r="E93" s="6"/>
      <c r="F93" s="6">
        <v>1</v>
      </c>
      <c r="G93" s="6" t="s">
        <v>8</v>
      </c>
      <c r="H93" s="6"/>
    </row>
    <row r="94" spans="1:8">
      <c r="A94" s="6" t="s">
        <v>107</v>
      </c>
      <c r="B94" s="7"/>
      <c r="C94" s="6" t="s">
        <v>811</v>
      </c>
      <c r="D94" s="6"/>
      <c r="E94" s="6"/>
      <c r="F94" s="6">
        <v>2</v>
      </c>
      <c r="G94" s="6" t="s">
        <v>8</v>
      </c>
      <c r="H94" s="6"/>
    </row>
    <row r="95" spans="1:8">
      <c r="A95" s="6" t="s">
        <v>828</v>
      </c>
      <c r="B95" s="7"/>
      <c r="C95" s="6"/>
      <c r="D95" s="6" t="s">
        <v>740</v>
      </c>
      <c r="E95" s="6" t="s">
        <v>740</v>
      </c>
      <c r="F95" s="6">
        <v>1</v>
      </c>
      <c r="G95" s="6" t="s">
        <v>8</v>
      </c>
      <c r="H95" s="6"/>
    </row>
    <row r="96" spans="1:8">
      <c r="A96" s="6" t="s">
        <v>131</v>
      </c>
      <c r="B96" s="7"/>
      <c r="C96" s="6"/>
      <c r="D96" s="6" t="s">
        <v>740</v>
      </c>
      <c r="E96" s="6" t="s">
        <v>740</v>
      </c>
      <c r="F96" s="6">
        <v>1</v>
      </c>
      <c r="G96" s="6" t="s">
        <v>8</v>
      </c>
      <c r="H96" s="6"/>
    </row>
    <row r="97" spans="1:8">
      <c r="A97" s="6" t="s">
        <v>499</v>
      </c>
      <c r="B97" s="7" t="s">
        <v>682</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116</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120</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697</v>
      </c>
      <c r="B107" s="7"/>
      <c r="C107" s="6"/>
      <c r="D107" s="6"/>
      <c r="E107" s="6"/>
      <c r="F107" s="6">
        <v>1</v>
      </c>
      <c r="G107" s="6" t="s">
        <v>36</v>
      </c>
      <c r="H107" s="6"/>
    </row>
    <row r="108" spans="1:8">
      <c r="A108" s="6" t="s">
        <v>35</v>
      </c>
      <c r="B108" s="7"/>
      <c r="C108" s="6" t="s">
        <v>101</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235</v>
      </c>
      <c r="G1" s="4" t="s">
        <v>13</v>
      </c>
      <c r="H1" s="4" t="s">
        <v>227</v>
      </c>
    </row>
    <row r="2" spans="1:30">
      <c r="A2" s="4" t="s">
        <v>11</v>
      </c>
      <c r="B2" s="7"/>
      <c r="C2" s="6" t="s">
        <v>120</v>
      </c>
      <c r="D2" s="6"/>
      <c r="E2" s="6"/>
      <c r="F2" s="6">
        <v>1</v>
      </c>
      <c r="G2" s="6" t="s">
        <v>230</v>
      </c>
      <c r="H2" s="6" t="s">
        <v>7</v>
      </c>
    </row>
    <row r="3" spans="1:30">
      <c r="A3" s="6" t="s">
        <v>32</v>
      </c>
      <c r="B3" s="7"/>
      <c r="C3" s="6" t="s">
        <v>741</v>
      </c>
      <c r="D3" s="6"/>
      <c r="E3" s="6"/>
      <c r="F3" s="6">
        <v>1</v>
      </c>
      <c r="G3" s="6" t="s">
        <v>8</v>
      </c>
      <c r="H3" s="6" t="s">
        <v>740</v>
      </c>
      <c r="J3" t="s">
        <v>0</v>
      </c>
      <c r="K3" t="s">
        <v>1</v>
      </c>
      <c r="L3" t="s">
        <v>2</v>
      </c>
      <c r="M3" s="4" t="s">
        <v>3</v>
      </c>
      <c r="N3" s="4" t="s">
        <v>4</v>
      </c>
      <c r="O3" s="4" t="s">
        <v>235</v>
      </c>
      <c r="P3" t="s">
        <v>14</v>
      </c>
      <c r="T3" t="s">
        <v>28</v>
      </c>
      <c r="V3" s="46" t="s">
        <v>225</v>
      </c>
      <c r="W3" s="46"/>
      <c r="X3" s="46"/>
      <c r="Y3" s="46"/>
      <c r="Z3" s="46"/>
      <c r="AA3" s="46"/>
    </row>
    <row r="4" spans="1:30" ht="30">
      <c r="A4" s="6" t="s">
        <v>152</v>
      </c>
      <c r="B4" s="7" t="s">
        <v>549</v>
      </c>
      <c r="C4" s="6"/>
      <c r="D4" s="6"/>
      <c r="E4" s="6"/>
      <c r="F4" s="6">
        <v>1</v>
      </c>
      <c r="G4" s="6" t="s">
        <v>8</v>
      </c>
      <c r="H4" s="6" t="s">
        <v>740</v>
      </c>
      <c r="V4" t="s">
        <v>230</v>
      </c>
      <c r="W4" t="s">
        <v>8</v>
      </c>
      <c r="X4" t="s">
        <v>5</v>
      </c>
      <c r="Y4" t="s">
        <v>629</v>
      </c>
      <c r="Z4" t="s">
        <v>630</v>
      </c>
      <c r="AA4" t="s">
        <v>909</v>
      </c>
      <c r="AB4" t="s">
        <v>910</v>
      </c>
      <c r="AC4" t="s">
        <v>911</v>
      </c>
      <c r="AD4" t="s">
        <v>912</v>
      </c>
    </row>
    <row r="5" spans="1:30">
      <c r="A5" s="6" t="s">
        <v>32</v>
      </c>
      <c r="B5" s="7"/>
      <c r="C5" s="6" t="s">
        <v>52</v>
      </c>
      <c r="D5" s="6"/>
      <c r="E5" s="6"/>
      <c r="F5" s="6">
        <v>1</v>
      </c>
      <c r="G5" s="6" t="s">
        <v>8</v>
      </c>
      <c r="H5" s="6" t="s">
        <v>740</v>
      </c>
      <c r="V5" t="s">
        <v>7</v>
      </c>
      <c r="W5" t="s">
        <v>740</v>
      </c>
      <c r="X5" t="s">
        <v>740</v>
      </c>
    </row>
    <row r="6" spans="1:30">
      <c r="A6" s="6" t="s">
        <v>152</v>
      </c>
      <c r="B6" s="7" t="s">
        <v>599</v>
      </c>
      <c r="C6" s="6"/>
      <c r="D6" s="6"/>
      <c r="E6" s="6"/>
      <c r="F6" s="6">
        <v>1</v>
      </c>
      <c r="G6" s="6" t="s">
        <v>8</v>
      </c>
      <c r="H6" s="6" t="s">
        <v>740</v>
      </c>
    </row>
    <row r="7" spans="1:30">
      <c r="A7" s="6" t="s">
        <v>152</v>
      </c>
      <c r="B7" s="7" t="s">
        <v>26</v>
      </c>
      <c r="C7" s="6"/>
      <c r="D7" s="6"/>
      <c r="E7" s="6"/>
      <c r="F7" s="6">
        <v>3</v>
      </c>
      <c r="G7" s="6" t="s">
        <v>8</v>
      </c>
      <c r="H7" s="6" t="s">
        <v>740</v>
      </c>
    </row>
    <row r="8" spans="1:30">
      <c r="A8" s="6" t="s">
        <v>43</v>
      </c>
      <c r="B8" s="7"/>
      <c r="C8" s="6" t="s">
        <v>66</v>
      </c>
      <c r="D8" s="6"/>
      <c r="E8" s="6"/>
      <c r="F8" s="6">
        <v>1</v>
      </c>
      <c r="G8" s="6" t="s">
        <v>8</v>
      </c>
      <c r="H8" s="6" t="s">
        <v>740</v>
      </c>
    </row>
    <row r="9" spans="1:30">
      <c r="A9" s="6" t="s">
        <v>169</v>
      </c>
      <c r="B9" s="7"/>
      <c r="C9" s="6"/>
      <c r="D9" s="6"/>
      <c r="E9" s="6"/>
      <c r="F9" s="6">
        <v>1</v>
      </c>
      <c r="G9" s="6" t="s">
        <v>8</v>
      </c>
      <c r="H9" s="6" t="s">
        <v>740</v>
      </c>
    </row>
    <row r="10" spans="1:30">
      <c r="A10" s="6" t="s">
        <v>135</v>
      </c>
      <c r="B10" s="7"/>
      <c r="C10" s="6"/>
      <c r="D10" s="6"/>
      <c r="E10" s="6"/>
      <c r="F10" s="6">
        <v>1</v>
      </c>
      <c r="G10" s="6" t="s">
        <v>8</v>
      </c>
      <c r="H10" s="6" t="s">
        <v>740</v>
      </c>
    </row>
    <row r="11" spans="1:30">
      <c r="A11" s="6" t="s">
        <v>11</v>
      </c>
      <c r="B11" s="7"/>
      <c r="C11" s="6" t="s">
        <v>120</v>
      </c>
      <c r="D11" s="6"/>
      <c r="E11" s="6"/>
      <c r="F11" s="6">
        <v>2</v>
      </c>
      <c r="G11" s="6" t="s">
        <v>8</v>
      </c>
      <c r="H11" s="6" t="s">
        <v>740</v>
      </c>
    </row>
    <row r="12" spans="1:30">
      <c r="A12" s="6" t="s">
        <v>170</v>
      </c>
      <c r="B12" s="7"/>
      <c r="C12" s="6" t="s">
        <v>790</v>
      </c>
      <c r="D12" s="6"/>
      <c r="E12" s="6"/>
      <c r="F12" s="6">
        <v>1</v>
      </c>
      <c r="G12" s="6" t="s">
        <v>8</v>
      </c>
      <c r="H12" s="6" t="s">
        <v>740</v>
      </c>
    </row>
    <row r="13" spans="1:30">
      <c r="A13" s="6" t="s">
        <v>156</v>
      </c>
      <c r="B13" s="7"/>
      <c r="C13" s="6" t="s">
        <v>741</v>
      </c>
      <c r="D13" s="6"/>
      <c r="E13" s="6"/>
      <c r="F13" s="6">
        <v>1</v>
      </c>
      <c r="G13" s="6" t="s">
        <v>8</v>
      </c>
      <c r="H13" s="6" t="s">
        <v>740</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D138"/>
  <sheetViews>
    <sheetView topLeftCell="A69" workbookViewId="0">
      <selection activeCell="A81" sqref="A81"/>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30">
      <c r="A1" s="2" t="s">
        <v>34</v>
      </c>
      <c r="F1" t="s">
        <v>11</v>
      </c>
      <c r="G1" t="s">
        <v>32</v>
      </c>
      <c r="H1" t="s">
        <v>35</v>
      </c>
      <c r="I1" t="s">
        <v>40</v>
      </c>
      <c r="J1" t="s">
        <v>43</v>
      </c>
      <c r="K1" t="s">
        <v>44</v>
      </c>
      <c r="L1" t="s">
        <v>54</v>
      </c>
      <c r="M1" t="s">
        <v>61</v>
      </c>
      <c r="N1" t="s">
        <v>59</v>
      </c>
      <c r="O1" t="s">
        <v>86</v>
      </c>
      <c r="P1" t="s">
        <v>103</v>
      </c>
      <c r="Q1" t="s">
        <v>107</v>
      </c>
      <c r="R1" t="s">
        <v>170</v>
      </c>
      <c r="S1" t="s">
        <v>171</v>
      </c>
      <c r="T1" s="6" t="s">
        <v>355</v>
      </c>
      <c r="U1" t="s">
        <v>208</v>
      </c>
      <c r="V1" t="s">
        <v>156</v>
      </c>
      <c r="W1" t="s">
        <v>673</v>
      </c>
      <c r="X1" t="s">
        <v>706</v>
      </c>
      <c r="Y1" t="s">
        <v>809</v>
      </c>
      <c r="Z1" t="s">
        <v>863</v>
      </c>
      <c r="AA1" t="s">
        <v>813</v>
      </c>
      <c r="AB1" t="s">
        <v>814</v>
      </c>
      <c r="AC1" s="6" t="s">
        <v>128</v>
      </c>
      <c r="AD1" s="30" t="s">
        <v>1131</v>
      </c>
    </row>
    <row r="2" spans="1:30">
      <c r="A2" t="s">
        <v>98</v>
      </c>
      <c r="F2" t="s">
        <v>116</v>
      </c>
      <c r="G2" t="s">
        <v>220</v>
      </c>
      <c r="H2" t="s">
        <v>37</v>
      </c>
      <c r="I2" t="s">
        <v>250</v>
      </c>
      <c r="J2" t="s">
        <v>66</v>
      </c>
      <c r="K2" t="s">
        <v>70</v>
      </c>
      <c r="L2" t="s">
        <v>220</v>
      </c>
      <c r="M2" t="s">
        <v>547</v>
      </c>
      <c r="N2" t="s">
        <v>52</v>
      </c>
      <c r="P2" t="s">
        <v>105</v>
      </c>
      <c r="Q2" t="s">
        <v>124</v>
      </c>
      <c r="R2" t="s">
        <v>231</v>
      </c>
      <c r="S2" t="s">
        <v>232</v>
      </c>
      <c r="T2" t="s">
        <v>482</v>
      </c>
      <c r="U2" t="s">
        <v>419</v>
      </c>
      <c r="V2" t="s">
        <v>588</v>
      </c>
      <c r="W2" t="s">
        <v>674</v>
      </c>
      <c r="X2" t="s">
        <v>707</v>
      </c>
      <c r="Y2" t="s">
        <v>810</v>
      </c>
      <c r="Z2" t="s">
        <v>718</v>
      </c>
      <c r="AA2" t="s">
        <v>858</v>
      </c>
      <c r="AB2" t="s">
        <v>858</v>
      </c>
      <c r="AC2" t="s">
        <v>675</v>
      </c>
      <c r="AD2" t="s">
        <v>790</v>
      </c>
    </row>
    <row r="3" spans="1:30">
      <c r="A3" t="s">
        <v>608</v>
      </c>
      <c r="F3" s="3" t="s">
        <v>50</v>
      </c>
      <c r="G3" t="s">
        <v>72</v>
      </c>
      <c r="H3" t="s">
        <v>38</v>
      </c>
      <c r="I3" t="s">
        <v>741</v>
      </c>
      <c r="J3" t="s">
        <v>65</v>
      </c>
      <c r="K3" t="s">
        <v>69</v>
      </c>
      <c r="L3" t="s">
        <v>52</v>
      </c>
      <c r="M3" t="s">
        <v>740</v>
      </c>
      <c r="N3" t="s">
        <v>740</v>
      </c>
      <c r="P3" t="s">
        <v>106</v>
      </c>
      <c r="Q3" t="s">
        <v>125</v>
      </c>
      <c r="R3" t="s">
        <v>750</v>
      </c>
      <c r="S3" t="s">
        <v>493</v>
      </c>
      <c r="T3" t="s">
        <v>579</v>
      </c>
      <c r="U3" t="s">
        <v>106</v>
      </c>
      <c r="V3" t="s">
        <v>589</v>
      </c>
      <c r="W3" t="s">
        <v>675</v>
      </c>
      <c r="X3" t="s">
        <v>708</v>
      </c>
      <c r="Y3" t="s">
        <v>856</v>
      </c>
      <c r="Z3" t="s">
        <v>850</v>
      </c>
      <c r="AA3" t="s">
        <v>918</v>
      </c>
      <c r="AB3" t="s">
        <v>918</v>
      </c>
    </row>
    <row r="4" spans="1:30">
      <c r="A4" t="s">
        <v>294</v>
      </c>
      <c r="F4" t="s">
        <v>79</v>
      </c>
      <c r="G4" t="s">
        <v>269</v>
      </c>
      <c r="H4" t="s">
        <v>101</v>
      </c>
      <c r="I4" t="s">
        <v>41</v>
      </c>
      <c r="J4" t="s">
        <v>669</v>
      </c>
      <c r="K4" t="s">
        <v>67</v>
      </c>
      <c r="P4" t="s">
        <v>104</v>
      </c>
      <c r="Q4" t="s">
        <v>126</v>
      </c>
      <c r="R4" t="s">
        <v>790</v>
      </c>
      <c r="S4" t="s">
        <v>741</v>
      </c>
      <c r="T4" t="s">
        <v>580</v>
      </c>
      <c r="U4" s="6" t="s">
        <v>740</v>
      </c>
      <c r="V4" t="s">
        <v>632</v>
      </c>
      <c r="W4" t="s">
        <v>63</v>
      </c>
      <c r="X4" t="s">
        <v>709</v>
      </c>
      <c r="Y4" t="s">
        <v>741</v>
      </c>
      <c r="AA4" t="s">
        <v>859</v>
      </c>
      <c r="AB4" t="s">
        <v>859</v>
      </c>
    </row>
    <row r="5" spans="1:30">
      <c r="A5" t="s">
        <v>621</v>
      </c>
      <c r="F5" t="s">
        <v>30</v>
      </c>
      <c r="G5" t="s">
        <v>33</v>
      </c>
      <c r="I5" s="6" t="s">
        <v>844</v>
      </c>
      <c r="J5" t="s">
        <v>670</v>
      </c>
      <c r="K5" t="s">
        <v>45</v>
      </c>
      <c r="P5" t="s">
        <v>424</v>
      </c>
      <c r="Q5" t="s">
        <v>127</v>
      </c>
      <c r="T5" t="s">
        <v>581</v>
      </c>
      <c r="V5" t="s">
        <v>741</v>
      </c>
      <c r="W5" t="s">
        <v>676</v>
      </c>
      <c r="X5" t="s">
        <v>710</v>
      </c>
    </row>
    <row r="6" spans="1:30">
      <c r="A6" t="s">
        <v>43</v>
      </c>
      <c r="F6" t="s">
        <v>77</v>
      </c>
      <c r="G6" t="s">
        <v>52</v>
      </c>
      <c r="J6" t="s">
        <v>803</v>
      </c>
      <c r="K6" t="s">
        <v>64</v>
      </c>
      <c r="Q6" t="s">
        <v>122</v>
      </c>
      <c r="T6" t="s">
        <v>529</v>
      </c>
      <c r="W6" t="s">
        <v>677</v>
      </c>
    </row>
    <row r="7" spans="1:30">
      <c r="A7" t="s">
        <v>287</v>
      </c>
      <c r="F7" t="s">
        <v>58</v>
      </c>
      <c r="G7" t="s">
        <v>741</v>
      </c>
      <c r="J7" t="s">
        <v>804</v>
      </c>
      <c r="K7" t="s">
        <v>282</v>
      </c>
      <c r="Q7" t="s">
        <v>123</v>
      </c>
      <c r="T7" t="s">
        <v>634</v>
      </c>
      <c r="W7" t="s">
        <v>33</v>
      </c>
    </row>
    <row r="8" spans="1:30">
      <c r="A8" t="s">
        <v>613</v>
      </c>
      <c r="F8" t="s">
        <v>118</v>
      </c>
      <c r="G8" t="s">
        <v>747</v>
      </c>
      <c r="K8" t="s">
        <v>749</v>
      </c>
      <c r="Q8" t="s">
        <v>743</v>
      </c>
      <c r="T8" t="s">
        <v>731</v>
      </c>
      <c r="W8" t="s">
        <v>52</v>
      </c>
    </row>
    <row r="9" spans="1:30">
      <c r="A9" t="s">
        <v>135</v>
      </c>
      <c r="F9" t="s">
        <v>31</v>
      </c>
      <c r="G9" t="s">
        <v>63</v>
      </c>
      <c r="K9" t="s">
        <v>805</v>
      </c>
      <c r="L9" t="s">
        <v>55</v>
      </c>
      <c r="M9" t="s">
        <v>63</v>
      </c>
      <c r="N9" t="s">
        <v>33</v>
      </c>
      <c r="O9" t="s">
        <v>52</v>
      </c>
      <c r="Q9" t="s">
        <v>741</v>
      </c>
      <c r="W9" t="s">
        <v>72</v>
      </c>
    </row>
    <row r="10" spans="1:30">
      <c r="A10" t="s">
        <v>107</v>
      </c>
      <c r="F10" t="s">
        <v>120</v>
      </c>
      <c r="K10" t="s">
        <v>808</v>
      </c>
    </row>
    <row r="11" spans="1:30">
      <c r="A11" t="s">
        <v>425</v>
      </c>
      <c r="F11" t="s">
        <v>271</v>
      </c>
      <c r="K11" t="s">
        <v>807</v>
      </c>
    </row>
    <row r="12" spans="1:30">
      <c r="A12" t="s">
        <v>425</v>
      </c>
      <c r="F12" t="s">
        <v>679</v>
      </c>
      <c r="K12" t="s">
        <v>899</v>
      </c>
    </row>
    <row r="13" spans="1:30">
      <c r="A13" t="s">
        <v>423</v>
      </c>
      <c r="F13" t="s">
        <v>724</v>
      </c>
      <c r="K13" t="s">
        <v>803</v>
      </c>
    </row>
    <row r="14" spans="1:30">
      <c r="A14" t="s">
        <v>113</v>
      </c>
      <c r="F14" t="s">
        <v>41</v>
      </c>
    </row>
    <row r="15" spans="1:30">
      <c r="A15" s="1" t="s">
        <v>92</v>
      </c>
      <c r="F15" t="s">
        <v>725</v>
      </c>
    </row>
    <row r="16" spans="1:30">
      <c r="A16" t="s">
        <v>211</v>
      </c>
      <c r="F16" t="s">
        <v>801</v>
      </c>
    </row>
    <row r="17" spans="1:6">
      <c r="A17" t="s">
        <v>436</v>
      </c>
      <c r="F17" t="s">
        <v>801</v>
      </c>
    </row>
    <row r="18" spans="1:6">
      <c r="A18" t="s">
        <v>614</v>
      </c>
    </row>
    <row r="19" spans="1:6">
      <c r="A19" t="s">
        <v>686</v>
      </c>
    </row>
    <row r="20" spans="1:6">
      <c r="A20" t="s">
        <v>338</v>
      </c>
    </row>
    <row r="21" spans="1:6">
      <c r="A21" t="s">
        <v>139</v>
      </c>
    </row>
    <row r="22" spans="1:6">
      <c r="A22" t="s">
        <v>360</v>
      </c>
    </row>
    <row r="23" spans="1:6">
      <c r="A23" t="s">
        <v>89</v>
      </c>
    </row>
    <row r="24" spans="1:6">
      <c r="A24" t="s">
        <v>248</v>
      </c>
    </row>
    <row r="25" spans="1:6">
      <c r="A25" t="s">
        <v>46</v>
      </c>
    </row>
    <row r="26" spans="1:6">
      <c r="A26" t="s">
        <v>326</v>
      </c>
    </row>
    <row r="27" spans="1:6">
      <c r="A27" t="s">
        <v>387</v>
      </c>
    </row>
    <row r="28" spans="1:6">
      <c r="A28" t="s">
        <v>355</v>
      </c>
    </row>
    <row r="29" spans="1:6">
      <c r="A29" t="s">
        <v>169</v>
      </c>
    </row>
    <row r="30" spans="1:6">
      <c r="A30" t="s">
        <v>53</v>
      </c>
    </row>
    <row r="31" spans="1:6">
      <c r="A31" t="s">
        <v>459</v>
      </c>
    </row>
    <row r="32" spans="1:6">
      <c r="A32" t="s">
        <v>83</v>
      </c>
    </row>
    <row r="33" spans="1:1">
      <c r="A33" t="s">
        <v>654</v>
      </c>
    </row>
    <row r="34" spans="1:1">
      <c r="A34" t="s">
        <v>237</v>
      </c>
    </row>
    <row r="35" spans="1:1">
      <c r="A35" t="s">
        <v>187</v>
      </c>
    </row>
    <row r="36" spans="1:1">
      <c r="A36" t="s">
        <v>451</v>
      </c>
    </row>
    <row r="37" spans="1:1">
      <c r="A37" t="s">
        <v>170</v>
      </c>
    </row>
    <row r="38" spans="1:1">
      <c r="A38" t="s">
        <v>378</v>
      </c>
    </row>
    <row r="39" spans="1:1">
      <c r="A39" t="s">
        <v>628</v>
      </c>
    </row>
    <row r="40" spans="1:1">
      <c r="A40" t="s">
        <v>184</v>
      </c>
    </row>
    <row r="41" spans="1:1">
      <c r="A41" t="s">
        <v>80</v>
      </c>
    </row>
    <row r="42" spans="1:1">
      <c r="A42" t="s">
        <v>637</v>
      </c>
    </row>
    <row r="43" spans="1:1">
      <c r="A43" t="s">
        <v>35</v>
      </c>
    </row>
    <row r="44" spans="1:1">
      <c r="A44" t="s">
        <v>571</v>
      </c>
    </row>
    <row r="45" spans="1:1">
      <c r="A45" t="s">
        <v>311</v>
      </c>
    </row>
    <row r="46" spans="1:1">
      <c r="A46" t="s">
        <v>339</v>
      </c>
    </row>
    <row r="47" spans="1:1">
      <c r="A47" t="s">
        <v>450</v>
      </c>
    </row>
    <row r="48" spans="1:1">
      <c r="A48" t="s">
        <v>329</v>
      </c>
    </row>
    <row r="49" spans="1:1">
      <c r="A49" t="s">
        <v>156</v>
      </c>
    </row>
    <row r="50" spans="1:1">
      <c r="A50" t="s">
        <v>467</v>
      </c>
    </row>
    <row r="51" spans="1:1">
      <c r="A51" t="s">
        <v>61</v>
      </c>
    </row>
    <row r="52" spans="1:1">
      <c r="A52" t="s">
        <v>131</v>
      </c>
    </row>
    <row r="53" spans="1:1">
      <c r="A53" t="s">
        <v>221</v>
      </c>
    </row>
    <row r="54" spans="1:1">
      <c r="A54" t="s">
        <v>452</v>
      </c>
    </row>
    <row r="55" spans="1:1">
      <c r="A55" t="s">
        <v>103</v>
      </c>
    </row>
    <row r="56" spans="1:1">
      <c r="A56" t="s">
        <v>429</v>
      </c>
    </row>
    <row r="57" spans="1:1">
      <c r="A57" t="s">
        <v>206</v>
      </c>
    </row>
    <row r="58" spans="1:1">
      <c r="A58" t="s">
        <v>97</v>
      </c>
    </row>
    <row r="59" spans="1:1">
      <c r="A59" t="s">
        <v>150</v>
      </c>
    </row>
    <row r="60" spans="1:1">
      <c r="A60" t="s">
        <v>152</v>
      </c>
    </row>
    <row r="61" spans="1:1">
      <c r="A61" t="s">
        <v>12</v>
      </c>
    </row>
    <row r="62" spans="1:1">
      <c r="A62" t="s">
        <v>462</v>
      </c>
    </row>
    <row r="63" spans="1:1">
      <c r="A63" t="s">
        <v>32</v>
      </c>
    </row>
    <row r="64" spans="1:1">
      <c r="A64" t="s">
        <v>59</v>
      </c>
    </row>
    <row r="65" spans="1:1">
      <c r="A65" t="s">
        <v>439</v>
      </c>
    </row>
    <row r="66" spans="1:1">
      <c r="A66" t="s">
        <v>207</v>
      </c>
    </row>
    <row r="67" spans="1:1">
      <c r="A67" t="s">
        <v>109</v>
      </c>
    </row>
    <row r="68" spans="1:1">
      <c r="A68" t="s">
        <v>706</v>
      </c>
    </row>
    <row r="69" spans="1:1">
      <c r="A69" t="s">
        <v>236</v>
      </c>
    </row>
    <row r="70" spans="1:1">
      <c r="A70" t="s">
        <v>40</v>
      </c>
    </row>
    <row r="71" spans="1:1">
      <c r="A71" t="s">
        <v>191</v>
      </c>
    </row>
    <row r="72" spans="1:1">
      <c r="A72" t="s">
        <v>469</v>
      </c>
    </row>
    <row r="73" spans="1:1">
      <c r="A73" t="s">
        <v>448</v>
      </c>
    </row>
    <row r="74" spans="1:1">
      <c r="A74" s="24" t="s">
        <v>681</v>
      </c>
    </row>
    <row r="75" spans="1:1">
      <c r="A75" t="s">
        <v>427</v>
      </c>
    </row>
    <row r="76" spans="1:1">
      <c r="A76" t="s">
        <v>142</v>
      </c>
    </row>
    <row r="77" spans="1:1">
      <c r="A77" t="s">
        <v>290</v>
      </c>
    </row>
    <row r="78" spans="1:1">
      <c r="A78" t="s">
        <v>136</v>
      </c>
    </row>
    <row r="79" spans="1:1">
      <c r="A79" t="s">
        <v>147</v>
      </c>
    </row>
    <row r="80" spans="1:1">
      <c r="A80" t="s">
        <v>140</v>
      </c>
    </row>
    <row r="81" spans="1:1">
      <c r="A81" t="s">
        <v>561</v>
      </c>
    </row>
    <row r="82" spans="1:1">
      <c r="A82" t="s">
        <v>620</v>
      </c>
    </row>
    <row r="83" spans="1:1">
      <c r="A83" t="s">
        <v>341</v>
      </c>
    </row>
    <row r="84" spans="1:1">
      <c r="A84" t="s">
        <v>252</v>
      </c>
    </row>
    <row r="85" spans="1:1">
      <c r="A85" t="s">
        <v>86</v>
      </c>
    </row>
    <row r="86" spans="1:1">
      <c r="A86" t="s">
        <v>128</v>
      </c>
    </row>
    <row r="87" spans="1:1">
      <c r="A87" t="s">
        <v>238</v>
      </c>
    </row>
    <row r="88" spans="1:1">
      <c r="A88" t="s">
        <v>239</v>
      </c>
    </row>
    <row r="89" spans="1:1">
      <c r="A89" t="s">
        <v>690</v>
      </c>
    </row>
    <row r="90" spans="1:1">
      <c r="A90" t="s">
        <v>456</v>
      </c>
    </row>
    <row r="91" spans="1:1">
      <c r="A91" t="s">
        <v>438</v>
      </c>
    </row>
    <row r="92" spans="1:1">
      <c r="A92" t="s">
        <v>351</v>
      </c>
    </row>
    <row r="93" spans="1:1">
      <c r="A93" t="s">
        <v>346</v>
      </c>
    </row>
    <row r="94" spans="1:1">
      <c r="A94" t="s">
        <v>213</v>
      </c>
    </row>
    <row r="95" spans="1:1">
      <c r="A95" t="s">
        <v>95</v>
      </c>
    </row>
    <row r="96" spans="1:1">
      <c r="A96" t="s">
        <v>44</v>
      </c>
    </row>
    <row r="97" spans="1:1">
      <c r="A97" t="s">
        <v>508</v>
      </c>
    </row>
    <row r="98" spans="1:1">
      <c r="A98" t="s">
        <v>189</v>
      </c>
    </row>
    <row r="99" spans="1:1">
      <c r="A99" t="s">
        <v>622</v>
      </c>
    </row>
    <row r="100" spans="1:1">
      <c r="A100" t="s">
        <v>431</v>
      </c>
    </row>
    <row r="101" spans="1:1">
      <c r="A101" t="s">
        <v>460</v>
      </c>
    </row>
    <row r="102" spans="1:1">
      <c r="A102" t="s">
        <v>461</v>
      </c>
    </row>
    <row r="103" spans="1:1">
      <c r="A103" t="s">
        <v>426</v>
      </c>
    </row>
    <row r="104" spans="1:1">
      <c r="A104" t="s">
        <v>697</v>
      </c>
    </row>
    <row r="105" spans="1:1">
      <c r="A105" t="s">
        <v>88</v>
      </c>
    </row>
    <row r="106" spans="1:1">
      <c r="A106" t="s">
        <v>428</v>
      </c>
    </row>
    <row r="107" spans="1:1">
      <c r="A107" t="s">
        <v>87</v>
      </c>
    </row>
    <row r="108" spans="1:1">
      <c r="A108" t="s">
        <v>354</v>
      </c>
    </row>
    <row r="109" spans="1:1">
      <c r="A109" t="s">
        <v>449</v>
      </c>
    </row>
    <row r="110" spans="1:1">
      <c r="A110" t="s">
        <v>143</v>
      </c>
    </row>
    <row r="111" spans="1:1">
      <c r="A111" s="25" t="s">
        <v>90</v>
      </c>
    </row>
    <row r="112" spans="1:1">
      <c r="A112" t="s">
        <v>11</v>
      </c>
    </row>
    <row r="113" spans="1:1">
      <c r="A113" t="s">
        <v>54</v>
      </c>
    </row>
    <row r="114" spans="1:1">
      <c r="A114" t="s">
        <v>171</v>
      </c>
    </row>
    <row r="115" spans="1:1">
      <c r="A115" t="s">
        <v>703</v>
      </c>
    </row>
    <row r="116" spans="1:1">
      <c r="A116" t="s">
        <v>673</v>
      </c>
    </row>
    <row r="117" spans="1:1">
      <c r="A117" t="s">
        <v>737</v>
      </c>
    </row>
    <row r="118" spans="1:1">
      <c r="A118" t="s">
        <v>785</v>
      </c>
    </row>
    <row r="119" spans="1:1">
      <c r="A119" t="s">
        <v>809</v>
      </c>
    </row>
    <row r="120" spans="1:1">
      <c r="A120" t="s">
        <v>812</v>
      </c>
    </row>
    <row r="121" spans="1:1">
      <c r="A121" t="s">
        <v>813</v>
      </c>
    </row>
    <row r="122" spans="1:1">
      <c r="A122" t="s">
        <v>814</v>
      </c>
    </row>
    <row r="123" spans="1:1">
      <c r="A123" t="s">
        <v>815</v>
      </c>
    </row>
    <row r="124" spans="1:1">
      <c r="A124" t="s">
        <v>816</v>
      </c>
    </row>
    <row r="125" spans="1:1">
      <c r="A125" t="s">
        <v>863</v>
      </c>
    </row>
    <row r="126" spans="1:1">
      <c r="A126" t="s">
        <v>862</v>
      </c>
    </row>
    <row r="127" spans="1:1">
      <c r="A127" t="s">
        <v>861</v>
      </c>
    </row>
    <row r="128" spans="1:1">
      <c r="A128" t="s">
        <v>851</v>
      </c>
    </row>
    <row r="129" spans="1:1">
      <c r="A129" t="s">
        <v>852</v>
      </c>
    </row>
    <row r="130" spans="1:1">
      <c r="A130" t="s">
        <v>853</v>
      </c>
    </row>
    <row r="131" spans="1:1">
      <c r="A131" t="s">
        <v>854</v>
      </c>
    </row>
    <row r="132" spans="1:1">
      <c r="A132" t="s">
        <v>855</v>
      </c>
    </row>
    <row r="133" spans="1:1">
      <c r="A133" t="s">
        <v>857</v>
      </c>
    </row>
    <row r="134" spans="1:1">
      <c r="A134" t="s">
        <v>860</v>
      </c>
    </row>
    <row r="135" spans="1:1">
      <c r="A135" t="s">
        <v>866</v>
      </c>
    </row>
    <row r="136" spans="1:1">
      <c r="A136" s="30" t="s">
        <v>1071</v>
      </c>
    </row>
    <row r="137" spans="1:1">
      <c r="A137" s="30" t="s">
        <v>1106</v>
      </c>
    </row>
    <row r="138" spans="1:1">
      <c r="A138" s="30" t="s">
        <v>1131</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xl/worksheets/sheet17.xml><?xml version="1.0" encoding="utf-8"?>
<worksheet xmlns="http://schemas.openxmlformats.org/spreadsheetml/2006/main" xmlns:r="http://schemas.openxmlformats.org/officeDocument/2006/relationships">
  <sheetPr codeName="Hoja1"/>
  <dimension ref="A1:AA176"/>
  <sheetViews>
    <sheetView workbookViewId="0">
      <selection activeCell="A15" sqref="A15"/>
    </sheetView>
  </sheetViews>
  <sheetFormatPr baseColWidth="10"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7" max="18" width="9.140625"/>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235</v>
      </c>
      <c r="G1" s="4" t="s">
        <v>13</v>
      </c>
      <c r="H1" s="4" t="s">
        <v>227</v>
      </c>
    </row>
    <row r="2" spans="1:27">
      <c r="A2" s="15" t="s">
        <v>184</v>
      </c>
      <c r="B2" s="15"/>
      <c r="D2" s="6" t="s">
        <v>1140</v>
      </c>
      <c r="E2" s="40">
        <v>47908</v>
      </c>
      <c r="F2" s="15"/>
      <c r="G2" s="6"/>
      <c r="H2" s="6"/>
    </row>
    <row r="3" spans="1:27">
      <c r="A3" s="15" t="s">
        <v>184</v>
      </c>
      <c r="B3" s="15"/>
      <c r="D3" s="6" t="s">
        <v>1140</v>
      </c>
      <c r="E3" s="40">
        <v>55780</v>
      </c>
      <c r="F3" s="15"/>
      <c r="G3" s="6"/>
      <c r="H3" s="6"/>
      <c r="M3" s="4"/>
      <c r="N3" s="4"/>
      <c r="O3" s="4"/>
      <c r="V3" s="46" t="s">
        <v>225</v>
      </c>
      <c r="W3" s="46"/>
      <c r="X3" s="46"/>
      <c r="Y3" s="46"/>
      <c r="Z3" s="46"/>
      <c r="AA3" s="46"/>
    </row>
    <row r="4" spans="1:27">
      <c r="A4" s="15" t="s">
        <v>184</v>
      </c>
      <c r="B4" s="15"/>
      <c r="D4" s="6" t="s">
        <v>1140</v>
      </c>
      <c r="E4" s="40">
        <v>35975</v>
      </c>
      <c r="F4" s="15"/>
      <c r="G4" s="6"/>
      <c r="H4" s="6"/>
      <c r="V4" t="s">
        <v>634</v>
      </c>
      <c r="W4" t="s">
        <v>230</v>
      </c>
      <c r="X4" t="s">
        <v>8</v>
      </c>
      <c r="Y4" t="s">
        <v>5</v>
      </c>
    </row>
    <row r="5" spans="1:27">
      <c r="A5" s="15" t="s">
        <v>184</v>
      </c>
      <c r="B5" s="15"/>
      <c r="D5" s="6" t="s">
        <v>1140</v>
      </c>
      <c r="E5" s="40">
        <v>41760</v>
      </c>
      <c r="F5" s="15"/>
      <c r="G5" s="6"/>
      <c r="H5" s="6"/>
    </row>
    <row r="6" spans="1:27">
      <c r="A6" s="15" t="s">
        <v>184</v>
      </c>
      <c r="B6" s="15"/>
      <c r="C6"/>
      <c r="D6" s="6" t="s">
        <v>1140</v>
      </c>
      <c r="E6" s="40">
        <v>47816</v>
      </c>
      <c r="F6" s="15"/>
      <c r="G6" s="6"/>
      <c r="H6" s="6"/>
    </row>
    <row r="7" spans="1:27">
      <c r="A7" s="15" t="s">
        <v>184</v>
      </c>
      <c r="B7" s="15"/>
      <c r="D7" s="6" t="s">
        <v>1140</v>
      </c>
      <c r="E7" s="40">
        <v>47796</v>
      </c>
      <c r="F7" s="15"/>
      <c r="G7" s="6"/>
      <c r="H7" s="6"/>
      <c r="J7" s="30"/>
      <c r="K7" s="30"/>
      <c r="L7" s="30"/>
    </row>
    <row r="8" spans="1:27">
      <c r="A8" s="15" t="s">
        <v>184</v>
      </c>
      <c r="B8" s="15"/>
      <c r="D8" s="6" t="s">
        <v>1140</v>
      </c>
      <c r="E8" s="40">
        <v>48114</v>
      </c>
      <c r="F8" s="15"/>
      <c r="G8" s="6"/>
      <c r="H8" s="6"/>
      <c r="J8" s="30"/>
      <c r="K8" s="30"/>
      <c r="L8" s="30"/>
    </row>
    <row r="9" spans="1:27">
      <c r="A9" s="15" t="s">
        <v>46</v>
      </c>
      <c r="B9" s="15"/>
      <c r="D9" s="6" t="s">
        <v>1140</v>
      </c>
      <c r="E9" s="40">
        <v>28823</v>
      </c>
      <c r="F9" s="15"/>
      <c r="G9" s="6"/>
      <c r="H9" s="6"/>
      <c r="J9" s="30"/>
      <c r="K9" s="30"/>
      <c r="L9" s="30"/>
    </row>
    <row r="10" spans="1:27">
      <c r="A10" s="15" t="s">
        <v>46</v>
      </c>
      <c r="B10" s="15"/>
      <c r="D10" s="6" t="s">
        <v>1140</v>
      </c>
      <c r="E10" s="40">
        <v>19477</v>
      </c>
      <c r="F10" s="15"/>
      <c r="G10" s="6"/>
      <c r="H10" s="6"/>
      <c r="J10" s="30"/>
      <c r="K10" s="30"/>
      <c r="L10" s="30"/>
    </row>
    <row r="11" spans="1:27">
      <c r="A11" s="15" t="s">
        <v>46</v>
      </c>
      <c r="B11" s="15"/>
      <c r="D11" s="6" t="s">
        <v>1140</v>
      </c>
      <c r="E11" s="40">
        <v>29714</v>
      </c>
      <c r="F11" s="15"/>
      <c r="G11" s="6"/>
      <c r="H11" s="6"/>
      <c r="J11" s="30"/>
      <c r="K11" s="30"/>
      <c r="L11" s="30"/>
    </row>
    <row r="12" spans="1:27">
      <c r="A12" s="15" t="s">
        <v>46</v>
      </c>
      <c r="B12" s="15"/>
      <c r="D12" s="6" t="s">
        <v>1140</v>
      </c>
      <c r="E12" s="40">
        <v>51512</v>
      </c>
      <c r="F12" s="15"/>
      <c r="G12" s="6"/>
      <c r="H12" s="6"/>
      <c r="J12" s="30"/>
      <c r="K12" s="30"/>
      <c r="L12" s="30"/>
    </row>
    <row r="13" spans="1:27">
      <c r="A13" s="15" t="s">
        <v>46</v>
      </c>
      <c r="B13" s="15"/>
      <c r="D13" s="6" t="s">
        <v>1140</v>
      </c>
      <c r="E13" s="40">
        <v>51502</v>
      </c>
      <c r="F13" s="15"/>
      <c r="G13" s="6"/>
      <c r="H13" s="6"/>
      <c r="J13" s="30"/>
      <c r="K13" s="30"/>
      <c r="L13" s="30"/>
    </row>
    <row r="14" spans="1:27">
      <c r="A14" s="15" t="s">
        <v>46</v>
      </c>
      <c r="B14" s="15"/>
      <c r="D14" s="6" t="s">
        <v>1140</v>
      </c>
      <c r="E14" s="40">
        <v>51499</v>
      </c>
      <c r="F14" s="15"/>
      <c r="G14" s="6"/>
      <c r="H14" s="6"/>
      <c r="J14" s="30"/>
      <c r="K14" s="30"/>
      <c r="L14" s="30"/>
    </row>
    <row r="15" spans="1:27">
      <c r="A15" s="15" t="s">
        <v>681</v>
      </c>
      <c r="B15" s="15"/>
      <c r="D15" s="6" t="s">
        <v>1140</v>
      </c>
      <c r="E15" s="40">
        <v>17762</v>
      </c>
      <c r="F15" s="15"/>
      <c r="G15" s="6"/>
      <c r="H15" s="6"/>
      <c r="J15" s="30"/>
      <c r="K15" s="30"/>
      <c r="L15" s="30"/>
    </row>
    <row r="16" spans="1:27">
      <c r="A16" s="15" t="s">
        <v>681</v>
      </c>
      <c r="B16" s="15"/>
      <c r="D16" s="6" t="s">
        <v>1140</v>
      </c>
      <c r="E16" s="40">
        <v>17321</v>
      </c>
      <c r="F16" s="15"/>
      <c r="G16" s="6"/>
      <c r="H16" s="6"/>
      <c r="J16" s="30"/>
      <c r="K16" s="30"/>
      <c r="L16" s="30"/>
    </row>
    <row r="17" spans="1:12">
      <c r="A17" s="15" t="s">
        <v>681</v>
      </c>
      <c r="B17" s="15"/>
      <c r="D17" s="6" t="s">
        <v>1140</v>
      </c>
      <c r="E17" s="40">
        <v>17764</v>
      </c>
      <c r="F17" s="15"/>
      <c r="G17" s="6"/>
      <c r="H17" s="6"/>
      <c r="J17" s="30"/>
      <c r="K17" s="30"/>
      <c r="L17" s="30"/>
    </row>
    <row r="18" spans="1:12">
      <c r="A18" s="15" t="s">
        <v>681</v>
      </c>
      <c r="B18" s="17"/>
      <c r="C18" s="18"/>
      <c r="D18" s="6" t="s">
        <v>1140</v>
      </c>
      <c r="E18" s="40">
        <v>17323</v>
      </c>
      <c r="F18" s="17"/>
      <c r="G18" s="6"/>
      <c r="H18" s="6"/>
      <c r="J18" s="30"/>
      <c r="K18" s="30"/>
      <c r="L18" s="30"/>
    </row>
    <row r="19" spans="1:12">
      <c r="A19" s="15" t="s">
        <v>681</v>
      </c>
      <c r="B19" s="16"/>
      <c r="D19" s="6" t="s">
        <v>1140</v>
      </c>
      <c r="E19" s="40">
        <v>17325</v>
      </c>
      <c r="F19" s="15"/>
      <c r="G19" s="6"/>
      <c r="H19" s="6"/>
      <c r="J19" s="30"/>
      <c r="K19" s="30"/>
      <c r="L19" s="30"/>
    </row>
    <row r="20" spans="1:12">
      <c r="A20" s="15" t="s">
        <v>681</v>
      </c>
      <c r="B20" s="15"/>
      <c r="D20" s="6" t="s">
        <v>1140</v>
      </c>
      <c r="E20" s="40">
        <v>17393</v>
      </c>
      <c r="F20" s="15"/>
      <c r="G20" s="6"/>
      <c r="H20" s="6"/>
      <c r="J20" s="30"/>
      <c r="K20" s="30"/>
      <c r="L20" s="30"/>
    </row>
    <row r="21" spans="1:12">
      <c r="A21" s="19" t="s">
        <v>681</v>
      </c>
      <c r="B21" s="19"/>
      <c r="D21" s="6" t="s">
        <v>1140</v>
      </c>
      <c r="E21" s="39">
        <v>17395</v>
      </c>
      <c r="F21" s="19"/>
      <c r="G21" s="6"/>
      <c r="H21" s="6"/>
      <c r="J21" s="30"/>
      <c r="K21" s="30"/>
      <c r="L21" s="30"/>
    </row>
    <row r="22" spans="1:12">
      <c r="A22" s="41"/>
      <c r="B22" s="41"/>
      <c r="C22" s="42"/>
      <c r="D22" s="26"/>
      <c r="E22" s="26"/>
      <c r="F22" s="41"/>
      <c r="G22" s="26"/>
      <c r="H22" s="26"/>
      <c r="J22" s="30"/>
      <c r="K22" s="30"/>
      <c r="L22" s="30"/>
    </row>
    <row r="23" spans="1:12">
      <c r="A23" s="30"/>
      <c r="B23" s="41"/>
      <c r="C23" s="42"/>
      <c r="D23" s="26"/>
      <c r="E23" s="26"/>
      <c r="F23" s="41"/>
      <c r="G23" s="26"/>
      <c r="H23" s="26"/>
      <c r="J23" s="30"/>
      <c r="K23" s="30"/>
      <c r="L23" s="30"/>
    </row>
    <row r="24" spans="1:12">
      <c r="A24" s="30"/>
      <c r="B24" s="43"/>
      <c r="C24" s="42"/>
      <c r="D24" s="26"/>
      <c r="E24" s="26"/>
      <c r="F24" s="41"/>
      <c r="G24" s="26"/>
      <c r="H24" s="26"/>
      <c r="J24" s="30"/>
      <c r="K24" s="30"/>
      <c r="L24" s="30"/>
    </row>
    <row r="25" spans="1:12">
      <c r="A25" s="41"/>
      <c r="B25" s="43"/>
      <c r="C25" s="42"/>
      <c r="D25" s="26"/>
      <c r="E25" s="26"/>
      <c r="F25" s="41"/>
      <c r="G25" s="26"/>
      <c r="H25" s="26"/>
      <c r="J25" s="30"/>
      <c r="K25" s="30"/>
      <c r="L25" s="30"/>
    </row>
    <row r="26" spans="1:12">
      <c r="A26" s="41"/>
      <c r="B26" s="41"/>
      <c r="C26" s="42"/>
      <c r="D26" s="26"/>
      <c r="E26" s="26"/>
      <c r="F26" s="41"/>
      <c r="G26" s="26"/>
      <c r="H26" s="26"/>
      <c r="J26" s="30"/>
      <c r="K26" s="30"/>
      <c r="L26" s="30"/>
    </row>
    <row r="27" spans="1:12">
      <c r="A27" s="41"/>
      <c r="B27" s="41"/>
      <c r="C27" s="42"/>
      <c r="D27" s="26"/>
      <c r="E27" s="26"/>
      <c r="F27" s="41"/>
      <c r="G27" s="26"/>
      <c r="H27" s="26"/>
    </row>
    <row r="28" spans="1:12">
      <c r="A28" s="41"/>
      <c r="B28" s="41"/>
      <c r="C28" s="42"/>
      <c r="D28" s="26"/>
      <c r="E28" s="26"/>
      <c r="F28" s="41"/>
      <c r="G28" s="26"/>
      <c r="H28" s="26"/>
    </row>
    <row r="29" spans="1:12">
      <c r="A29" s="41"/>
      <c r="B29" s="41"/>
      <c r="C29" s="42"/>
      <c r="D29" s="26"/>
      <c r="E29" s="26"/>
      <c r="F29" s="41"/>
      <c r="G29" s="26"/>
      <c r="H29" s="26"/>
    </row>
    <row r="30" spans="1:12">
      <c r="A30" s="41"/>
      <c r="B30" s="43"/>
      <c r="C30" s="42"/>
      <c r="D30" s="26"/>
      <c r="E30" s="26"/>
      <c r="F30" s="41"/>
      <c r="G30" s="26"/>
      <c r="H30" s="26"/>
    </row>
    <row r="31" spans="1:12">
      <c r="A31" s="30"/>
      <c r="B31" s="43"/>
      <c r="C31" s="42"/>
      <c r="D31" s="26"/>
      <c r="E31" s="26"/>
      <c r="F31" s="41"/>
      <c r="G31" s="26"/>
      <c r="H31" s="26"/>
    </row>
    <row r="32" spans="1:12">
      <c r="A32" s="41"/>
      <c r="B32" s="41"/>
      <c r="C32" s="42"/>
      <c r="D32" s="26"/>
      <c r="E32" s="26"/>
      <c r="F32" s="41"/>
      <c r="G32" s="26"/>
      <c r="H32" s="26"/>
    </row>
    <row r="33" spans="1:8">
      <c r="A33" s="41"/>
      <c r="B33" s="41"/>
      <c r="C33" s="42"/>
      <c r="D33" s="26"/>
      <c r="E33" s="26"/>
      <c r="F33" s="41"/>
      <c r="G33" s="26"/>
      <c r="H33" s="26"/>
    </row>
    <row r="34" spans="1:8">
      <c r="A34" s="41"/>
      <c r="B34" s="43"/>
      <c r="C34" s="42"/>
      <c r="D34" s="26"/>
      <c r="E34" s="26"/>
      <c r="F34" s="41"/>
      <c r="G34" s="26"/>
      <c r="H34" s="26"/>
    </row>
    <row r="35" spans="1:8">
      <c r="A35" s="41"/>
      <c r="B35" s="41"/>
      <c r="C35" s="42"/>
      <c r="D35" s="26"/>
      <c r="E35" s="26"/>
      <c r="F35" s="41"/>
      <c r="G35" s="26"/>
      <c r="H35" s="26"/>
    </row>
    <row r="36" spans="1:8">
      <c r="A36" s="41"/>
      <c r="B36" s="41"/>
      <c r="C36" s="42"/>
      <c r="D36" s="26"/>
      <c r="E36" s="26"/>
      <c r="F36" s="41"/>
      <c r="G36" s="26"/>
      <c r="H36" s="26"/>
    </row>
    <row r="37" spans="1:8">
      <c r="A37" s="41"/>
      <c r="B37" s="41"/>
      <c r="C37" s="42"/>
      <c r="D37" s="26"/>
      <c r="E37" s="26"/>
      <c r="F37" s="41"/>
      <c r="G37" s="26"/>
      <c r="H37" s="26"/>
    </row>
    <row r="38" spans="1:8">
      <c r="A38" s="41"/>
      <c r="B38" s="41"/>
      <c r="C38" s="42"/>
      <c r="D38" s="26"/>
      <c r="E38" s="26"/>
      <c r="F38" s="41"/>
      <c r="G38" s="26"/>
      <c r="H38" s="26"/>
    </row>
    <row r="39" spans="1:8">
      <c r="A39" s="41"/>
      <c r="B39" s="41"/>
      <c r="C39" s="42"/>
      <c r="D39" s="26"/>
      <c r="E39" s="26"/>
      <c r="F39" s="41"/>
      <c r="G39" s="26"/>
      <c r="H39" s="26"/>
    </row>
    <row r="40" spans="1:8">
      <c r="A40" s="41"/>
      <c r="B40" s="41"/>
      <c r="C40" s="42"/>
      <c r="D40" s="26"/>
      <c r="E40" s="26"/>
      <c r="F40" s="41"/>
      <c r="G40" s="26"/>
      <c r="H40" s="26"/>
    </row>
    <row r="41" spans="1:8">
      <c r="A41" s="41"/>
      <c r="B41" s="41"/>
      <c r="C41" s="42"/>
      <c r="D41" s="26"/>
      <c r="E41" s="26"/>
      <c r="F41" s="41"/>
      <c r="G41" s="26"/>
      <c r="H41" s="26"/>
    </row>
    <row r="42" spans="1:8">
      <c r="A42" s="41"/>
      <c r="B42" s="41"/>
      <c r="C42" s="42"/>
      <c r="D42" s="26"/>
      <c r="E42" s="26"/>
      <c r="F42" s="41"/>
      <c r="G42" s="26"/>
      <c r="H42" s="26"/>
    </row>
    <row r="43" spans="1:8">
      <c r="A43" s="41"/>
      <c r="B43" s="41"/>
      <c r="C43" s="42"/>
      <c r="D43" s="26"/>
      <c r="E43" s="26"/>
      <c r="F43" s="41"/>
      <c r="G43" s="26"/>
      <c r="H43" s="26"/>
    </row>
    <row r="44" spans="1:8">
      <c r="A44" s="41"/>
      <c r="B44" s="43"/>
      <c r="C44" s="42"/>
      <c r="D44" s="26"/>
      <c r="E44" s="26"/>
      <c r="F44" s="44"/>
      <c r="G44" s="26"/>
      <c r="H44" s="26"/>
    </row>
    <row r="45" spans="1:8">
      <c r="A45" s="41"/>
      <c r="B45" s="41"/>
      <c r="C45" s="42"/>
      <c r="D45" s="26"/>
      <c r="E45" s="26"/>
      <c r="F45" s="44"/>
      <c r="G45" s="26"/>
      <c r="H45" s="26"/>
    </row>
    <row r="46" spans="1:8">
      <c r="A46" s="41"/>
      <c r="B46" s="41"/>
      <c r="C46" s="42"/>
      <c r="D46" s="26"/>
      <c r="E46" s="26"/>
      <c r="F46" s="44"/>
      <c r="G46" s="26"/>
      <c r="H46" s="26"/>
    </row>
    <row r="47" spans="1:8">
      <c r="A47" s="41"/>
      <c r="B47" s="41"/>
      <c r="C47" s="42"/>
      <c r="D47" s="26"/>
      <c r="E47" s="26"/>
      <c r="F47" s="44"/>
      <c r="G47" s="26"/>
      <c r="H47" s="26"/>
    </row>
    <row r="48" spans="1:8">
      <c r="A48" s="41"/>
      <c r="B48" s="41"/>
      <c r="C48" s="42"/>
      <c r="D48" s="26"/>
      <c r="E48" s="26"/>
      <c r="F48" s="44"/>
      <c r="G48" s="26"/>
      <c r="H48" s="26"/>
    </row>
    <row r="49" spans="1:8">
      <c r="A49" s="41"/>
      <c r="B49" s="43"/>
      <c r="C49" s="42"/>
      <c r="D49" s="26"/>
      <c r="E49" s="26"/>
      <c r="F49" s="44"/>
      <c r="G49" s="26"/>
      <c r="H49" s="26"/>
    </row>
    <row r="50" spans="1:8">
      <c r="A50" s="41"/>
      <c r="B50" s="43"/>
      <c r="C50" s="42"/>
      <c r="D50" s="26"/>
      <c r="E50" s="26"/>
      <c r="F50" s="44"/>
      <c r="G50" s="26"/>
      <c r="H50" s="26"/>
    </row>
    <row r="51" spans="1:8">
      <c r="A51" s="41"/>
      <c r="B51" s="43"/>
      <c r="C51" s="42"/>
      <c r="D51" s="26"/>
      <c r="E51" s="26"/>
      <c r="F51" s="44"/>
      <c r="G51" s="26"/>
      <c r="H51" s="26"/>
    </row>
    <row r="52" spans="1:8">
      <c r="A52" s="41"/>
      <c r="B52" s="41"/>
      <c r="C52" s="42"/>
      <c r="D52" s="26"/>
      <c r="E52" s="26"/>
      <c r="F52" s="44"/>
      <c r="G52" s="26"/>
      <c r="H52" s="26"/>
    </row>
    <row r="53" spans="1:8">
      <c r="A53" s="41"/>
      <c r="B53" s="41"/>
      <c r="C53" s="42"/>
      <c r="D53" s="26"/>
      <c r="E53" s="26"/>
      <c r="F53" s="44"/>
      <c r="G53" s="26"/>
      <c r="H53" s="26"/>
    </row>
    <row r="54" spans="1:8">
      <c r="A54" s="41"/>
      <c r="B54" s="41"/>
      <c r="C54" s="42"/>
      <c r="D54" s="26"/>
      <c r="E54" s="26"/>
      <c r="F54" s="44"/>
      <c r="G54" s="26"/>
      <c r="H54" s="26"/>
    </row>
    <row r="55" spans="1:8">
      <c r="A55" s="30"/>
      <c r="B55" s="43"/>
      <c r="C55" s="42"/>
      <c r="D55" s="26"/>
      <c r="E55" s="26"/>
      <c r="F55" s="44"/>
      <c r="G55" s="26"/>
      <c r="H55" s="26"/>
    </row>
    <row r="56" spans="1:8">
      <c r="A56" s="41"/>
      <c r="B56" s="43"/>
      <c r="C56" s="42"/>
      <c r="D56" s="26"/>
      <c r="E56" s="26"/>
      <c r="F56" s="44"/>
      <c r="G56" s="26"/>
      <c r="H56" s="26"/>
    </row>
    <row r="57" spans="1:8">
      <c r="A57" s="41"/>
      <c r="B57" s="41"/>
      <c r="C57" s="42"/>
      <c r="D57" s="26"/>
      <c r="E57" s="26"/>
      <c r="F57" s="44"/>
      <c r="G57" s="26"/>
      <c r="H57" s="26"/>
    </row>
    <row r="58" spans="1:8">
      <c r="A58" s="41"/>
      <c r="B58" s="41"/>
      <c r="C58" s="42"/>
      <c r="D58" s="26"/>
      <c r="E58" s="26"/>
      <c r="F58" s="44"/>
      <c r="G58" s="26"/>
      <c r="H58" s="26"/>
    </row>
    <row r="59" spans="1:8">
      <c r="A59" s="41"/>
      <c r="B59" s="41"/>
      <c r="C59" s="42"/>
      <c r="D59" s="26"/>
      <c r="E59" s="26"/>
      <c r="F59" s="44"/>
      <c r="G59" s="26"/>
      <c r="H59" s="26"/>
    </row>
    <row r="60" spans="1:8">
      <c r="A60" s="30"/>
      <c r="B60" s="41"/>
      <c r="C60" s="42"/>
      <c r="D60" s="26"/>
      <c r="E60" s="26"/>
      <c r="F60" s="44"/>
      <c r="G60" s="26"/>
      <c r="H60" s="26"/>
    </row>
    <row r="61" spans="1:8">
      <c r="A61" s="41"/>
      <c r="B61" s="43"/>
      <c r="C61" s="42"/>
      <c r="D61" s="26"/>
      <c r="E61" s="26"/>
      <c r="F61" s="44"/>
      <c r="G61" s="26"/>
      <c r="H61" s="26"/>
    </row>
    <row r="62" spans="1:8">
      <c r="A62" s="41"/>
      <c r="B62" s="41"/>
      <c r="C62" s="42"/>
      <c r="D62" s="26"/>
      <c r="E62" s="26"/>
      <c r="F62" s="44"/>
      <c r="G62" s="26"/>
      <c r="H62" s="26"/>
    </row>
    <row r="63" spans="1:8">
      <c r="A63" s="41"/>
      <c r="B63" s="41"/>
      <c r="C63" s="42"/>
      <c r="D63" s="26"/>
      <c r="E63" s="26"/>
      <c r="F63" s="44"/>
      <c r="G63" s="26"/>
      <c r="H63" s="26"/>
    </row>
    <row r="64" spans="1:8">
      <c r="A64" s="41"/>
      <c r="B64" s="41"/>
      <c r="C64" s="42"/>
      <c r="D64" s="26"/>
      <c r="E64" s="26"/>
      <c r="F64" s="44"/>
      <c r="G64" s="26"/>
      <c r="H64" s="26"/>
    </row>
    <row r="65" spans="1:8">
      <c r="A65" s="41"/>
      <c r="B65" s="43"/>
      <c r="C65" s="45"/>
      <c r="D65" s="26"/>
      <c r="E65" s="26"/>
      <c r="F65" s="44"/>
      <c r="G65" s="26"/>
      <c r="H65" s="26"/>
    </row>
    <row r="66" spans="1:8">
      <c r="A66" s="41"/>
      <c r="B66" s="43"/>
      <c r="C66" s="45"/>
      <c r="D66" s="26"/>
      <c r="E66" s="26"/>
      <c r="F66" s="44"/>
      <c r="G66" s="26"/>
      <c r="H66" s="26"/>
    </row>
    <row r="67" spans="1:8">
      <c r="A67" s="41"/>
      <c r="B67" s="43"/>
      <c r="C67" s="45"/>
      <c r="D67" s="26"/>
      <c r="E67" s="26"/>
      <c r="F67" s="44"/>
      <c r="G67" s="26"/>
      <c r="H67" s="26"/>
    </row>
    <row r="68" spans="1:8">
      <c r="A68" s="41"/>
      <c r="B68" s="43"/>
      <c r="C68" s="45"/>
      <c r="D68" s="26"/>
      <c r="E68" s="26"/>
      <c r="F68" s="44"/>
      <c r="G68" s="26"/>
      <c r="H68" s="26"/>
    </row>
    <row r="69" spans="1:8">
      <c r="A69" s="41"/>
      <c r="B69" s="41"/>
      <c r="C69" s="42"/>
      <c r="D69" s="26"/>
      <c r="E69" s="26"/>
      <c r="F69" s="44"/>
      <c r="G69" s="26"/>
      <c r="H69" s="26"/>
    </row>
    <row r="70" spans="1:8">
      <c r="A70" s="41"/>
      <c r="B70" s="41"/>
      <c r="C70" s="42"/>
      <c r="D70" s="26"/>
      <c r="E70" s="26"/>
      <c r="F70" s="44"/>
      <c r="G70" s="26"/>
      <c r="H70" s="26"/>
    </row>
    <row r="71" spans="1:8">
      <c r="A71" s="41"/>
      <c r="B71" s="41"/>
      <c r="C71" s="42"/>
      <c r="D71" s="26"/>
      <c r="E71" s="26"/>
      <c r="F71" s="44"/>
      <c r="G71" s="26"/>
      <c r="H71" s="26"/>
    </row>
    <row r="72" spans="1:8">
      <c r="A72" s="41"/>
      <c r="B72" s="41"/>
      <c r="C72" s="42"/>
      <c r="D72" s="26"/>
      <c r="E72" s="26"/>
      <c r="F72" s="44"/>
      <c r="G72" s="26"/>
      <c r="H72" s="26"/>
    </row>
    <row r="73" spans="1:8">
      <c r="A73" s="41"/>
      <c r="B73" s="43"/>
      <c r="C73" s="42"/>
      <c r="D73" s="26"/>
      <c r="E73" s="26"/>
      <c r="F73" s="44"/>
      <c r="G73" s="26"/>
      <c r="H73" s="26"/>
    </row>
    <row r="74" spans="1:8">
      <c r="A74" s="41"/>
      <c r="B74" s="43"/>
      <c r="C74" s="42"/>
      <c r="D74" s="26"/>
      <c r="E74" s="26"/>
      <c r="F74" s="44"/>
      <c r="G74" s="26"/>
      <c r="H74" s="26"/>
    </row>
    <row r="75" spans="1:8">
      <c r="A75" s="41"/>
      <c r="B75" s="41"/>
      <c r="C75" s="42"/>
      <c r="D75" s="26"/>
      <c r="E75" s="26"/>
      <c r="F75" s="44"/>
      <c r="G75" s="26"/>
      <c r="H75" s="26"/>
    </row>
    <row r="76" spans="1:8">
      <c r="A76" s="41"/>
      <c r="B76" s="41"/>
      <c r="C76" s="30"/>
      <c r="D76" s="26"/>
      <c r="E76" s="26"/>
      <c r="F76" s="44"/>
      <c r="G76" s="26"/>
      <c r="H76" s="26"/>
    </row>
    <row r="77" spans="1:8">
      <c r="A77" s="41"/>
      <c r="B77" s="41"/>
      <c r="C77" s="42"/>
      <c r="D77" s="26"/>
      <c r="E77" s="26"/>
      <c r="F77" s="44"/>
      <c r="G77" s="26"/>
      <c r="H77" s="26"/>
    </row>
    <row r="78" spans="1:8">
      <c r="A78" s="41"/>
      <c r="B78" s="41"/>
      <c r="C78" s="42"/>
      <c r="D78" s="26"/>
      <c r="E78" s="26"/>
      <c r="F78" s="44"/>
      <c r="G78" s="26"/>
      <c r="H78" s="26"/>
    </row>
    <row r="79" spans="1:8">
      <c r="A79" s="41"/>
      <c r="B79" s="41"/>
      <c r="C79" s="42"/>
      <c r="D79" s="26"/>
      <c r="E79" s="26"/>
      <c r="F79" s="44"/>
      <c r="G79" s="26"/>
      <c r="H79" s="26"/>
    </row>
    <row r="80" spans="1:8">
      <c r="A80" s="30"/>
      <c r="B80" s="43"/>
      <c r="C80" s="42"/>
      <c r="D80" s="26"/>
      <c r="E80" s="26"/>
      <c r="F80" s="44"/>
      <c r="G80" s="26"/>
      <c r="H80" s="26"/>
    </row>
    <row r="81" spans="1:8">
      <c r="A81" s="41"/>
      <c r="B81" s="43"/>
      <c r="C81" s="42"/>
      <c r="D81" s="26"/>
      <c r="E81" s="26"/>
      <c r="F81" s="44"/>
      <c r="G81" s="26"/>
      <c r="H81" s="26"/>
    </row>
    <row r="82" spans="1:8">
      <c r="A82" s="41"/>
      <c r="B82" s="43"/>
      <c r="C82" s="42"/>
      <c r="D82" s="26"/>
      <c r="E82" s="26"/>
      <c r="F82" s="44"/>
      <c r="G82" s="26"/>
      <c r="H82" s="26"/>
    </row>
    <row r="83" spans="1:8">
      <c r="A83" s="41"/>
      <c r="B83" s="41"/>
      <c r="C83" s="42"/>
      <c r="D83" s="26"/>
      <c r="E83" s="26"/>
      <c r="F83" s="44"/>
      <c r="G83" s="26"/>
      <c r="H83" s="26"/>
    </row>
    <row r="84" spans="1:8">
      <c r="A84" s="41"/>
      <c r="B84" s="41"/>
      <c r="C84" s="42"/>
      <c r="D84" s="26"/>
      <c r="E84" s="26"/>
      <c r="F84" s="44"/>
      <c r="G84" s="26"/>
      <c r="H84" s="26"/>
    </row>
    <row r="85" spans="1:8">
      <c r="A85" s="41"/>
      <c r="B85" s="43"/>
      <c r="C85" s="42"/>
      <c r="D85" s="26"/>
      <c r="E85" s="26"/>
      <c r="F85" s="44"/>
      <c r="G85" s="26"/>
      <c r="H85" s="26"/>
    </row>
    <row r="86" spans="1:8">
      <c r="A86" s="41"/>
      <c r="B86" s="43"/>
      <c r="C86" s="42"/>
      <c r="D86" s="26"/>
      <c r="E86" s="26"/>
      <c r="F86" s="44"/>
      <c r="G86" s="26"/>
      <c r="H86" s="26"/>
    </row>
    <row r="87" spans="1:8">
      <c r="A87" s="26"/>
      <c r="B87" s="27"/>
      <c r="C87" s="26"/>
      <c r="D87" s="26"/>
      <c r="E87" s="26"/>
      <c r="F87" s="26"/>
      <c r="G87" s="26"/>
      <c r="H87" s="26"/>
    </row>
    <row r="88" spans="1:8">
      <c r="A88" s="26"/>
      <c r="B88" s="27"/>
      <c r="C88" s="26"/>
      <c r="D88" s="26"/>
      <c r="E88" s="26"/>
      <c r="F88" s="26"/>
      <c r="G88" s="26"/>
      <c r="H88" s="26"/>
    </row>
    <row r="89" spans="1:8">
      <c r="A89" s="26"/>
      <c r="B89" s="27"/>
      <c r="C89" s="26"/>
      <c r="D89" s="26"/>
      <c r="E89" s="26"/>
      <c r="F89" s="26"/>
      <c r="G89" s="26"/>
      <c r="H89" s="26"/>
    </row>
    <row r="90" spans="1:8">
      <c r="A90" s="26"/>
      <c r="B90" s="27"/>
      <c r="C90" s="26"/>
      <c r="D90" s="26"/>
      <c r="E90" s="26"/>
      <c r="F90" s="26"/>
      <c r="G90" s="26"/>
      <c r="H90" s="26"/>
    </row>
    <row r="91" spans="1:8">
      <c r="A91" s="26"/>
      <c r="B91" s="27"/>
      <c r="C91" s="26"/>
      <c r="D91" s="26"/>
      <c r="E91" s="26"/>
      <c r="F91" s="26"/>
      <c r="G91" s="26"/>
      <c r="H91" s="26"/>
    </row>
    <row r="92" spans="1:8">
      <c r="A92" s="26"/>
      <c r="B92" s="27"/>
      <c r="C92" s="26"/>
      <c r="D92" s="26"/>
      <c r="E92" s="26"/>
      <c r="F92" s="26"/>
      <c r="G92" s="26"/>
      <c r="H92" s="26"/>
    </row>
    <row r="93" spans="1:8">
      <c r="A93" s="26"/>
      <c r="B93" s="27"/>
      <c r="C93" s="26"/>
      <c r="D93" s="26"/>
      <c r="E93" s="26"/>
      <c r="F93" s="26"/>
      <c r="G93" s="26"/>
      <c r="H93" s="26"/>
    </row>
    <row r="94" spans="1:8">
      <c r="A94" s="26"/>
      <c r="B94" s="27"/>
      <c r="C94" s="26"/>
      <c r="D94" s="26"/>
      <c r="E94" s="26"/>
      <c r="F94" s="26"/>
      <c r="G94" s="26"/>
      <c r="H94" s="26"/>
    </row>
    <row r="95" spans="1:8">
      <c r="A95" s="26"/>
      <c r="B95" s="27"/>
      <c r="C95" s="26"/>
      <c r="D95" s="26"/>
      <c r="E95" s="26"/>
      <c r="F95" s="26"/>
      <c r="G95" s="26"/>
      <c r="H95" s="26"/>
    </row>
    <row r="96" spans="1:8">
      <c r="A96" s="26"/>
      <c r="B96" s="27"/>
      <c r="C96" s="26"/>
      <c r="D96" s="26"/>
      <c r="E96" s="26"/>
      <c r="F96" s="26"/>
      <c r="G96" s="26"/>
      <c r="H96" s="26"/>
    </row>
    <row r="97" spans="1:8">
      <c r="A97" s="26"/>
      <c r="B97" s="27"/>
      <c r="C97" s="26"/>
      <c r="D97" s="26"/>
      <c r="E97" s="26"/>
      <c r="F97" s="26"/>
      <c r="G97" s="26"/>
      <c r="H97" s="26"/>
    </row>
    <row r="98" spans="1:8">
      <c r="A98" s="26"/>
      <c r="B98" s="27"/>
      <c r="C98" s="26"/>
      <c r="D98" s="26"/>
      <c r="E98" s="26"/>
      <c r="F98" s="26"/>
      <c r="G98" s="26"/>
      <c r="H98" s="26"/>
    </row>
    <row r="99" spans="1:8">
      <c r="A99" s="26"/>
      <c r="B99" s="27"/>
      <c r="C99" s="26"/>
      <c r="D99" s="26"/>
      <c r="E99" s="26"/>
      <c r="F99" s="26"/>
      <c r="G99" s="26"/>
      <c r="H99" s="26"/>
    </row>
    <row r="100" spans="1:8">
      <c r="A100" s="42"/>
      <c r="B100" s="27"/>
      <c r="C100" s="26"/>
      <c r="D100" s="26"/>
      <c r="E100" s="26"/>
      <c r="F100" s="26"/>
      <c r="G100" s="26"/>
      <c r="H100" s="26"/>
    </row>
    <row r="101" spans="1:8">
      <c r="A101" s="26"/>
      <c r="B101" s="27"/>
      <c r="C101" s="26"/>
      <c r="D101" s="26"/>
      <c r="E101" s="26"/>
      <c r="F101" s="26"/>
      <c r="G101" s="26"/>
      <c r="H101" s="26"/>
    </row>
    <row r="102" spans="1:8">
      <c r="A102" s="26"/>
      <c r="B102" s="27"/>
      <c r="C102" s="26"/>
      <c r="D102" s="26"/>
      <c r="E102" s="26"/>
      <c r="F102" s="26"/>
      <c r="G102" s="26"/>
      <c r="H102" s="26"/>
    </row>
    <row r="103" spans="1:8">
      <c r="A103" s="26"/>
      <c r="B103" s="27"/>
      <c r="C103" s="26"/>
      <c r="D103" s="26"/>
      <c r="E103" s="26"/>
      <c r="F103" s="26"/>
      <c r="G103" s="26"/>
      <c r="H103" s="26"/>
    </row>
    <row r="104" spans="1:8">
      <c r="A104" s="26"/>
      <c r="B104" s="27"/>
      <c r="C104" s="26"/>
      <c r="D104" s="26"/>
      <c r="E104" s="26"/>
      <c r="F104" s="26"/>
      <c r="G104" s="26"/>
      <c r="H104" s="26"/>
    </row>
    <row r="105" spans="1:8">
      <c r="A105" s="26"/>
      <c r="B105" s="27"/>
      <c r="C105" s="26"/>
      <c r="D105" s="26"/>
      <c r="E105" s="26"/>
      <c r="F105" s="26"/>
      <c r="G105" s="26"/>
      <c r="H105" s="2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H2:H43">
      <formula1>INDEX($V$5:$Y$12,0,MATCH(OFFSET(INDIRECT(ADDRESS(ROW(), COLUMN())),0,-1),$V$4:$Y$4,0))</formula1>
    </dataValidation>
    <dataValidation type="list" allowBlank="1" showInputMessage="1" showErrorMessage="1" sqref="G2:G43">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H176 G75:G1048576 G1">
      <formula1>CajonerasMovil54</formula1>
    </dataValidation>
    <dataValidation type="list" allowBlank="1" showInputMessage="1" showErrorMessage="1" sqref="P4">
      <formula1>BolsosMovil54</formula1>
    </dataValidation>
    <dataValidation type="list" allowBlank="1" showInputMessage="1" showErrorMessage="1" sqref="C1">
      <formula1>Medidas</formula1>
    </dataValidation>
    <dataValidation type="list" allowBlank="1" showInputMessage="1" showErrorMessage="1" sqref="A141 A145:A148 A152:A157 A159:A168 A170:A173 A175:A1048576 J4:J8 B33 B37:B39 B26:B27 A17:B17 A20:B20 J10:J1048576 B46:B47 A81:A139 B57:B60 A56:A59 B62:B63 A61:A79 B83:B84 A18:A19 A21:A54 A1:A16">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Destacamento 2</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2019-08-22T20:32:28Z</dcterms:modified>
</cp:coreProperties>
</file>