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141EDCA2-A3DA-441D-9F4F-4DFEFD1242FB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Movil 51" sheetId="1" r:id="rId1"/>
    <sheet name="Inventario general" sheetId="2" r:id="rId2"/>
    <sheet name="Configuracion" sheetId="3" r:id="rId3"/>
  </sheets>
  <functionGroups builtInGroupCount="19"/>
  <definedNames>
    <definedName name="Bolsos">Table2[Bolsos]</definedName>
    <definedName name="ca">#REF!</definedName>
    <definedName name="categorias">Table4[[#All],[Categorias disponibles]]</definedName>
    <definedName name="Medidas">Table3[#All]</definedName>
    <definedName name="validacion">Table3[#All]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1" l="1"/>
  <c r="B25" i="1"/>
</calcChain>
</file>

<file path=xl/sharedStrings.xml><?xml version="1.0" encoding="utf-8"?>
<sst xmlns="http://schemas.openxmlformats.org/spreadsheetml/2006/main" count="379" uniqueCount="137">
  <si>
    <t>Categoria</t>
  </si>
  <si>
    <t>Descripcion</t>
  </si>
  <si>
    <t>Medidas</t>
  </si>
  <si>
    <t>marca</t>
  </si>
  <si>
    <t>N/ de serie</t>
  </si>
  <si>
    <t>Cajoneras</t>
  </si>
  <si>
    <t>Cajonera 2</t>
  </si>
  <si>
    <t>Cajonera 3</t>
  </si>
  <si>
    <t>Interior</t>
  </si>
  <si>
    <t>Cajonera 1</t>
  </si>
  <si>
    <t>Cajonera 4</t>
  </si>
  <si>
    <t>Cajonera 5</t>
  </si>
  <si>
    <t>Tramos</t>
  </si>
  <si>
    <t>Herramientas electricas</t>
  </si>
  <si>
    <t>Cajonera</t>
  </si>
  <si>
    <t>Tablas auxiliares del movil</t>
  </si>
  <si>
    <t>Bolso</t>
  </si>
  <si>
    <t>Caja de herramientas 1</t>
  </si>
  <si>
    <t>Material</t>
  </si>
  <si>
    <t>Pico de loro</t>
  </si>
  <si>
    <t>Cantidad</t>
  </si>
  <si>
    <t>Martillo</t>
  </si>
  <si>
    <t>Alicate</t>
  </si>
  <si>
    <t>Tijera para chapa</t>
  </si>
  <si>
    <t>llave fija 17mm</t>
  </si>
  <si>
    <t>pinza</t>
  </si>
  <si>
    <t>pinza de punta</t>
  </si>
  <si>
    <t>llave stilson</t>
  </si>
  <si>
    <t>Llave union</t>
  </si>
  <si>
    <t>no aplica</t>
  </si>
  <si>
    <t>Bolsos</t>
  </si>
  <si>
    <t>Bolso de corte</t>
  </si>
  <si>
    <t>45S-45-45S</t>
  </si>
  <si>
    <t>cantidad</t>
  </si>
  <si>
    <t>63S-71-63S</t>
  </si>
  <si>
    <t>Lanzas</t>
  </si>
  <si>
    <t>45S</t>
  </si>
  <si>
    <t>Categorias disponibles</t>
  </si>
  <si>
    <t>Escaleras</t>
  </si>
  <si>
    <t>Techo</t>
  </si>
  <si>
    <t>10m</t>
  </si>
  <si>
    <t>6m</t>
  </si>
  <si>
    <t>Escalera extensible</t>
  </si>
  <si>
    <t>Manguerote</t>
  </si>
  <si>
    <t>114S-114-114S</t>
  </si>
  <si>
    <t>manguerote semirigido 6M largo</t>
  </si>
  <si>
    <t>Adaptador</t>
  </si>
  <si>
    <t>Reductor</t>
  </si>
  <si>
    <t>63S-38S</t>
  </si>
  <si>
    <t>Cilindros</t>
  </si>
  <si>
    <t>Scott</t>
  </si>
  <si>
    <t>MSA</t>
  </si>
  <si>
    <t>Caucho Rojo</t>
  </si>
  <si>
    <t>36S-51-63S</t>
  </si>
  <si>
    <t>c/ regulador de cuadal, c/ corte rapido, POK</t>
  </si>
  <si>
    <t>63S</t>
  </si>
  <si>
    <t>Conos</t>
  </si>
  <si>
    <t>Conos de transito</t>
  </si>
  <si>
    <t>Trineo</t>
  </si>
  <si>
    <t>45S-45S</t>
  </si>
  <si>
    <t>kugel-bypp</t>
  </si>
  <si>
    <t>tela</t>
  </si>
  <si>
    <t>63S-38-63S</t>
  </si>
  <si>
    <t>Lanzas especiales</t>
  </si>
  <si>
    <t>lanza de espuma de baja expansion</t>
  </si>
  <si>
    <t>Filtros</t>
  </si>
  <si>
    <t>Filtro para succion</t>
  </si>
  <si>
    <t>63W</t>
  </si>
  <si>
    <t>25S-19D</t>
  </si>
  <si>
    <t>Reductor para extension de devanadera</t>
  </si>
  <si>
    <t>45W-45S</t>
  </si>
  <si>
    <t>63W-63S</t>
  </si>
  <si>
    <t>hembra</t>
  </si>
  <si>
    <t>63S-45S</t>
  </si>
  <si>
    <t>Macho</t>
  </si>
  <si>
    <t>45S-38S</t>
  </si>
  <si>
    <t>45S-25S</t>
  </si>
  <si>
    <t>POK, c/corte rapido, c/reg. De caudal</t>
  </si>
  <si>
    <t>38S</t>
  </si>
  <si>
    <t>lanzas</t>
  </si>
  <si>
    <t>POK, c/corte rapido, s/reg. De caudal</t>
  </si>
  <si>
    <t>Sintetico, amarillo, estiba</t>
  </si>
  <si>
    <t>Sintetico, marron, estiba</t>
  </si>
  <si>
    <t>Tela, azul, estiba</t>
  </si>
  <si>
    <t>63S-38-38S</t>
  </si>
  <si>
    <t>SG3012</t>
  </si>
  <si>
    <t>sintetico marron, 50Mts, estiba</t>
  </si>
  <si>
    <t>38S-38-38S</t>
  </si>
  <si>
    <t>Equipo de rescate</t>
  </si>
  <si>
    <t>Core</t>
  </si>
  <si>
    <t>briggs</t>
  </si>
  <si>
    <t>corta-pedal</t>
  </si>
  <si>
    <t>core</t>
  </si>
  <si>
    <t>Bomba manual para herramientas hidraulicas. No CORE</t>
  </si>
  <si>
    <t>manguera hidraulica</t>
  </si>
  <si>
    <t>CORE</t>
  </si>
  <si>
    <t>Monitor</t>
  </si>
  <si>
    <t>Taco escalonado</t>
  </si>
  <si>
    <t>Color negro, sintetico</t>
  </si>
  <si>
    <t>Tabla espinal</t>
  </si>
  <si>
    <t>2 con spider, 2 con straps</t>
  </si>
  <si>
    <t>Chaleco salvavidas</t>
  </si>
  <si>
    <t>Traje de aproximacion</t>
  </si>
  <si>
    <t>nivel A</t>
  </si>
  <si>
    <t>Caja o bolso</t>
  </si>
  <si>
    <t>Bolso de collares</t>
  </si>
  <si>
    <t>collar G</t>
  </si>
  <si>
    <t>Collar M</t>
  </si>
  <si>
    <t>collar ch</t>
  </si>
  <si>
    <t>collar P</t>
  </si>
  <si>
    <t>dual</t>
  </si>
  <si>
    <t>Ram hidraulico</t>
  </si>
  <si>
    <t>holmatro</t>
  </si>
  <si>
    <t>Herr Multiproposito hidraul.</t>
  </si>
  <si>
    <t>moto-disco</t>
  </si>
  <si>
    <t>2 tiempos</t>
  </si>
  <si>
    <t>still</t>
  </si>
  <si>
    <t>moto-sierra</t>
  </si>
  <si>
    <t>Accesorio EQ. Rescate</t>
  </si>
  <si>
    <t>esquinero para RAM</t>
  </si>
  <si>
    <t>cadenas</t>
  </si>
  <si>
    <t>3m</t>
  </si>
  <si>
    <t>1m</t>
  </si>
  <si>
    <t>Grilletes</t>
  </si>
  <si>
    <t>pequeño</t>
  </si>
  <si>
    <t>mediano</t>
  </si>
  <si>
    <t>grande</t>
  </si>
  <si>
    <t>bidon</t>
  </si>
  <si>
    <t>Para mezcla 2T</t>
  </si>
  <si>
    <t>cubre air-bar</t>
  </si>
  <si>
    <t>Lona</t>
  </si>
  <si>
    <t>lona para parque de materiales</t>
  </si>
  <si>
    <t>Accesorio de traccion</t>
  </si>
  <si>
    <t>para Nafta, 5L, con pico vertedor</t>
  </si>
  <si>
    <t>Tabla corta con straps</t>
  </si>
  <si>
    <t>Cable de acero</t>
  </si>
  <si>
    <t>12m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</si>
</sst>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0" fontId="1" fillId="2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3" borderId="3" xfId="0" applyFont="1" applyFill="1" applyBorder="1"/>
    <xf numFmtId="0" fontId="0" fillId="0" borderId="0" xfId="0" applyFont="1" applyBorder="1"/>
    <xf numFmtId="0" fontId="0" fillId="0" borderId="2" xfId="0" applyBorder="1"/>
    <xf numFmtId="0" fontId="1" fillId="2" borderId="0" xfId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0" xfId="0" applyBorder="1"/>
  </cellXfs>
  <cellStyles count="2">
    <cellStyle name="Accent1" xfId="1" builtinId="29"/>
    <cellStyle name="Normal" xfId="0" builtinId="0"/>
  </cellStyles>
  <dxfs count="11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60" totalsRowShown="0" dataDxfId="7">
  <autoFilter ref="A1:G60" xr:uid="{00000000-0009-0000-0100-000001000000}"/>
  <sortState ref="A2:G25">
    <sortCondition ref="C1:C25"/>
  </sortState>
  <tableColumns count="7">
    <tableColumn id="1" xr3:uid="{00000000-0010-0000-0000-000001000000}" name="Categoria" dataDxfId="6"/>
    <tableColumn id="2" xr3:uid="{00000000-0010-0000-0000-000002000000}" name="Descripcion" dataDxfId="5"/>
    <tableColumn id="3" xr3:uid="{00000000-0010-0000-0000-000003000000}" name="Medidas" dataDxfId="4"/>
    <tableColumn id="4" xr3:uid="{00000000-0010-0000-0000-000004000000}" name="marca" dataDxfId="3"/>
    <tableColumn id="5" xr3:uid="{00000000-0010-0000-0000-000005000000}" name="N/ de serie" dataDxfId="2"/>
    <tableColumn id="6" xr3:uid="{00000000-0010-0000-0000-000006000000}" name="Cajonera" dataDxfId="1"/>
    <tableColumn id="7" xr3:uid="{20A560DE-96A4-4C20-8E3B-6987DAD27B3D}" name="cantidad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I3:K16" totalsRowShown="0">
  <autoFilter ref="I3:K16" xr:uid="{00000000-0009-0000-0100-000006000000}"/>
  <tableColumns count="3">
    <tableColumn id="1" xr3:uid="{00000000-0010-0000-0100-000001000000}" name="Material"/>
    <tableColumn id="2" xr3:uid="{00000000-0010-0000-0100-000002000000}" name="Cantidad"/>
    <tableColumn id="3" xr3:uid="{00000000-0010-0000-0100-000003000000}" name="Bols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D275F-F343-4103-B4F5-0F419099A652}" name="Table2" displayName="Table2" ref="M3:M6" totalsRowShown="0">
  <autoFilter ref="M3:M6" xr:uid="{EE8CA32C-3909-47AF-9D21-A6D698228C0D}"/>
  <tableColumns count="1">
    <tableColumn id="1" xr3:uid="{AF0E4D2D-E1F2-437E-B41B-C134F1A1D409}" name="Bolso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2E9F0-FFB6-4EED-8740-C027541DE089}" name="Table7" displayName="Table7" ref="Q4:Q11" totalsRowShown="0" tableBorderDxfId="10" headerRowCellStyle="Accent1">
  <autoFilter ref="Q4:Q11" xr:uid="{D39E5231-2489-4CBD-A235-DB0A69727AA9}"/>
  <tableColumns count="1">
    <tableColumn id="1" xr3:uid="{5ACBA6EC-1268-4382-B64B-4CF8C06EE06C}" name="Cajonera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8C855C-2090-41EF-BB2D-E6ADA766E784}" name="Table3" displayName="Table3" ref="F1:P7" totalsRowShown="0">
  <autoFilter ref="F1:P7" xr:uid="{1055A59D-20B2-4F59-BA98-5A360C8D58B6}"/>
  <sortState ref="F2:M6">
    <sortCondition ref="K1:K6"/>
  </sortState>
  <tableColumns count="11">
    <tableColumn id="1" xr3:uid="{2544FA51-F8B2-41C3-B812-D5DFF3470881}" name="Tramos"/>
    <tableColumn id="2" xr3:uid="{3FB9FA73-51F1-44CB-918D-228168812748}" name="Lanzas"/>
    <tableColumn id="3" xr3:uid="{B9197608-8A52-4322-860E-30C04ACFC82C}" name="Escaleras"/>
    <tableColumn id="4" xr3:uid="{2AB5406A-92CA-4CE4-A538-514469501972}" name="Manguerote"/>
    <tableColumn id="5" xr3:uid="{3F66F513-0813-4B7C-AE42-683E43F0E320}" name="Adaptador"/>
    <tableColumn id="6" xr3:uid="{64439A83-9719-4FF4-9EC0-5FAAD733C784}" name="Reductor"/>
    <tableColumn id="7" xr3:uid="{8CDFACF5-787D-432D-8E31-5B30E3519924}" name="Trineo"/>
    <tableColumn id="8" xr3:uid="{7DAF3A3A-C3B2-4BA2-A7DB-7ADAB2165F9A}" name="Filtros"/>
    <tableColumn id="9" xr3:uid="{A4D73C16-78F2-4B2E-AD6F-3F67FF8EF8B7}" name="Lanzas especiales"/>
    <tableColumn id="10" xr3:uid="{96EFAB3F-8EFC-47FE-B66E-3E3CDFE12773}" name="Monitor"/>
    <tableColumn id="11" xr3:uid="{D5A15B32-A143-453F-96BE-F84358048289}" name="Grillete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F40EB2-6A7A-4347-B2C7-48A910378576}" name="Table4" displayName="Table4" ref="A1:A32" totalsRowShown="0" headerRowDxfId="9" tableBorderDxfId="8">
  <autoFilter ref="A1:A32" xr:uid="{174CB354-0B9D-4924-BB13-8A0DA131CB54}"/>
  <sortState ref="A2:A10">
    <sortCondition ref="A1:A10"/>
  </sortState>
  <tableColumns count="1">
    <tableColumn id="1" xr3:uid="{C30558D4-D1AA-40E7-AAB9-B74AC8C72DD6}" name="Categorias disponibl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60"/>
  <sheetViews>
    <sheetView tabSelected="1" workbookViewId="0">
      <pane ySplit="1" topLeftCell="A42" activePane="bottomLeft" state="frozen"/>
      <selection pane="bottomLeft" activeCell="G61" sqref="G61"/>
    </sheetView>
  </sheetViews>
  <sheetFormatPr defaultRowHeight="15" x14ac:dyDescent="0.25"/>
  <cols>
    <col min="1" max="1" width="26.42578125" bestFit="1" customWidth="1"/>
    <col min="2" max="2" width="39" style="2" customWidth="1"/>
    <col min="3" max="3" width="14.5703125" customWidth="1"/>
    <col min="4" max="4" width="13.28515625" customWidth="1"/>
    <col min="5" max="5" width="23.7109375" customWidth="1"/>
    <col min="6" max="6" width="11.140625" bestFit="1" customWidth="1"/>
    <col min="7" max="7" width="10.85546875" bestFit="1" customWidth="1"/>
    <col min="8" max="8" width="13.140625" customWidth="1"/>
    <col min="9" max="9" width="21" bestFit="1" customWidth="1"/>
    <col min="10" max="11" width="21.5703125" bestFit="1" customWidth="1"/>
    <col min="13" max="13" width="26" customWidth="1"/>
    <col min="17" max="17" width="11.85546875" customWidth="1"/>
  </cols>
  <sheetData>
    <row r="1" spans="1:20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14</v>
      </c>
      <c r="G1" t="s">
        <v>33</v>
      </c>
    </row>
    <row r="2" spans="1:20" x14ac:dyDescent="0.25">
      <c r="A2" s="3" t="s">
        <v>38</v>
      </c>
      <c r="B2" s="4" t="s">
        <v>42</v>
      </c>
      <c r="C2" s="3" t="s">
        <v>40</v>
      </c>
      <c r="D2" s="3" t="s">
        <v>29</v>
      </c>
      <c r="E2" s="3" t="s">
        <v>29</v>
      </c>
      <c r="F2" s="3" t="s">
        <v>39</v>
      </c>
      <c r="G2" s="3">
        <v>1</v>
      </c>
    </row>
    <row r="3" spans="1:20" x14ac:dyDescent="0.25">
      <c r="A3" s="3" t="s">
        <v>43</v>
      </c>
      <c r="B3" s="4" t="s">
        <v>45</v>
      </c>
      <c r="C3" s="3" t="s">
        <v>44</v>
      </c>
      <c r="D3" s="3" t="s">
        <v>29</v>
      </c>
      <c r="E3" s="3" t="s">
        <v>29</v>
      </c>
      <c r="F3" s="3" t="s">
        <v>39</v>
      </c>
      <c r="G3" s="3">
        <v>2</v>
      </c>
      <c r="I3" t="s">
        <v>18</v>
      </c>
      <c r="J3" t="s">
        <v>20</v>
      </c>
      <c r="K3" t="s">
        <v>16</v>
      </c>
      <c r="M3" t="s">
        <v>30</v>
      </c>
      <c r="Q3" s="8" t="s">
        <v>15</v>
      </c>
      <c r="R3" s="9"/>
      <c r="S3" s="9"/>
      <c r="T3" s="9"/>
    </row>
    <row r="4" spans="1:20" x14ac:dyDescent="0.25">
      <c r="A4" s="3" t="s">
        <v>47</v>
      </c>
      <c r="B4" s="4" t="s">
        <v>69</v>
      </c>
      <c r="C4" s="3" t="s">
        <v>68</v>
      </c>
      <c r="D4" s="3" t="s">
        <v>29</v>
      </c>
      <c r="E4" s="3" t="s">
        <v>29</v>
      </c>
      <c r="F4" s="3" t="s">
        <v>7</v>
      </c>
      <c r="G4" s="3">
        <v>1</v>
      </c>
      <c r="I4" t="s">
        <v>19</v>
      </c>
      <c r="J4">
        <v>2</v>
      </c>
      <c r="K4" t="s">
        <v>17</v>
      </c>
      <c r="M4" t="s">
        <v>17</v>
      </c>
      <c r="Q4" s="1" t="s">
        <v>5</v>
      </c>
    </row>
    <row r="5" spans="1:20" x14ac:dyDescent="0.25">
      <c r="A5" s="3" t="s">
        <v>63</v>
      </c>
      <c r="B5" s="4" t="s">
        <v>64</v>
      </c>
      <c r="C5" s="3" t="s">
        <v>36</v>
      </c>
      <c r="D5" s="3" t="s">
        <v>29</v>
      </c>
      <c r="E5" s="3" t="s">
        <v>29</v>
      </c>
      <c r="F5" s="3" t="s">
        <v>7</v>
      </c>
      <c r="G5" s="3">
        <v>1</v>
      </c>
      <c r="I5" t="s">
        <v>21</v>
      </c>
      <c r="J5">
        <v>2</v>
      </c>
      <c r="K5" t="s">
        <v>17</v>
      </c>
      <c r="M5" t="s">
        <v>31</v>
      </c>
      <c r="Q5" t="s">
        <v>9</v>
      </c>
    </row>
    <row r="6" spans="1:20" x14ac:dyDescent="0.25">
      <c r="A6" s="3" t="s">
        <v>47</v>
      </c>
      <c r="B6" s="4"/>
      <c r="C6" s="3" t="s">
        <v>76</v>
      </c>
      <c r="D6" s="3" t="s">
        <v>29</v>
      </c>
      <c r="E6" s="3" t="s">
        <v>29</v>
      </c>
      <c r="F6" s="3" t="s">
        <v>7</v>
      </c>
      <c r="G6" s="3">
        <v>1</v>
      </c>
      <c r="I6" t="s">
        <v>22</v>
      </c>
      <c r="J6">
        <v>1</v>
      </c>
      <c r="K6" t="s">
        <v>17</v>
      </c>
      <c r="M6" t="s">
        <v>105</v>
      </c>
      <c r="Q6" t="s">
        <v>6</v>
      </c>
    </row>
    <row r="7" spans="1:20" x14ac:dyDescent="0.25">
      <c r="A7" s="3" t="s">
        <v>47</v>
      </c>
      <c r="B7" s="4"/>
      <c r="C7" s="3" t="s">
        <v>75</v>
      </c>
      <c r="D7" s="3" t="s">
        <v>29</v>
      </c>
      <c r="E7" s="3" t="s">
        <v>29</v>
      </c>
      <c r="F7" s="3" t="s">
        <v>7</v>
      </c>
      <c r="G7" s="3">
        <v>1</v>
      </c>
      <c r="I7" t="s">
        <v>23</v>
      </c>
      <c r="J7">
        <v>1</v>
      </c>
      <c r="K7" t="s">
        <v>17</v>
      </c>
      <c r="Q7" t="s">
        <v>7</v>
      </c>
    </row>
    <row r="8" spans="1:20" x14ac:dyDescent="0.25">
      <c r="A8" s="3" t="s">
        <v>58</v>
      </c>
      <c r="B8" s="4"/>
      <c r="C8" s="3" t="s">
        <v>59</v>
      </c>
      <c r="D8" s="3" t="s">
        <v>60</v>
      </c>
      <c r="E8" s="3">
        <v>30674</v>
      </c>
      <c r="F8" s="3" t="s">
        <v>7</v>
      </c>
      <c r="G8" s="3">
        <v>1</v>
      </c>
      <c r="I8" t="s">
        <v>24</v>
      </c>
      <c r="J8">
        <v>1</v>
      </c>
      <c r="K8" t="s">
        <v>17</v>
      </c>
      <c r="Q8" t="s">
        <v>10</v>
      </c>
    </row>
    <row r="9" spans="1:20" x14ac:dyDescent="0.25">
      <c r="A9" s="3" t="s">
        <v>46</v>
      </c>
      <c r="B9" s="4"/>
      <c r="C9" s="3" t="s">
        <v>70</v>
      </c>
      <c r="D9" s="3" t="s">
        <v>29</v>
      </c>
      <c r="E9" s="3" t="s">
        <v>29</v>
      </c>
      <c r="F9" s="3" t="s">
        <v>7</v>
      </c>
      <c r="G9" s="3">
        <v>1</v>
      </c>
      <c r="I9" t="s">
        <v>26</v>
      </c>
      <c r="J9">
        <v>1</v>
      </c>
      <c r="K9" t="s">
        <v>17</v>
      </c>
      <c r="Q9" t="s">
        <v>11</v>
      </c>
    </row>
    <row r="10" spans="1:20" ht="30" x14ac:dyDescent="0.25">
      <c r="A10" s="3" t="s">
        <v>46</v>
      </c>
      <c r="B10" s="4" t="s">
        <v>72</v>
      </c>
      <c r="C10" s="3" t="s">
        <v>70</v>
      </c>
      <c r="D10" s="3" t="s">
        <v>29</v>
      </c>
      <c r="E10" s="3" t="s">
        <v>29</v>
      </c>
      <c r="F10" s="3" t="s">
        <v>7</v>
      </c>
      <c r="G10" s="3">
        <v>1</v>
      </c>
      <c r="I10" t="s">
        <v>27</v>
      </c>
      <c r="J10">
        <v>1</v>
      </c>
      <c r="K10" t="s">
        <v>17</v>
      </c>
      <c r="Q10" t="s">
        <v>8</v>
      </c>
    </row>
    <row r="11" spans="1:20" x14ac:dyDescent="0.25">
      <c r="A11" s="3" t="s">
        <v>46</v>
      </c>
      <c r="B11" s="4"/>
      <c r="C11" s="3" t="s">
        <v>70</v>
      </c>
      <c r="D11" s="3" t="s">
        <v>29</v>
      </c>
      <c r="E11" s="3" t="s">
        <v>29</v>
      </c>
      <c r="F11" s="3" t="s">
        <v>7</v>
      </c>
      <c r="G11" s="3">
        <v>1</v>
      </c>
      <c r="I11" t="s">
        <v>28</v>
      </c>
      <c r="J11">
        <v>4</v>
      </c>
      <c r="K11" t="s">
        <v>17</v>
      </c>
      <c r="Q11" t="s">
        <v>39</v>
      </c>
    </row>
    <row r="12" spans="1:20" x14ac:dyDescent="0.25">
      <c r="A12" s="3" t="s">
        <v>35</v>
      </c>
      <c r="B12" s="4" t="s">
        <v>54</v>
      </c>
      <c r="C12" s="3" t="s">
        <v>55</v>
      </c>
      <c r="D12" s="3" t="s">
        <v>29</v>
      </c>
      <c r="E12" s="3" t="s">
        <v>29</v>
      </c>
      <c r="F12" s="3" t="s">
        <v>7</v>
      </c>
      <c r="G12" s="3">
        <v>1</v>
      </c>
      <c r="I12" t="s">
        <v>25</v>
      </c>
      <c r="J12">
        <v>1</v>
      </c>
      <c r="K12" t="s">
        <v>17</v>
      </c>
    </row>
    <row r="13" spans="1:20" x14ac:dyDescent="0.25">
      <c r="A13" s="3" t="s">
        <v>12</v>
      </c>
      <c r="B13" s="4" t="s">
        <v>61</v>
      </c>
      <c r="C13" s="3" t="s">
        <v>62</v>
      </c>
      <c r="D13" s="3" t="s">
        <v>29</v>
      </c>
      <c r="E13" s="3" t="s">
        <v>29</v>
      </c>
      <c r="F13" s="3" t="s">
        <v>7</v>
      </c>
      <c r="G13" s="3">
        <v>1</v>
      </c>
      <c r="I13" t="s">
        <v>106</v>
      </c>
      <c r="J13">
        <v>7</v>
      </c>
      <c r="K13" t="s">
        <v>105</v>
      </c>
    </row>
    <row r="14" spans="1:20" x14ac:dyDescent="0.25">
      <c r="A14" s="3" t="s">
        <v>47</v>
      </c>
      <c r="B14" s="4"/>
      <c r="C14" s="3" t="s">
        <v>48</v>
      </c>
      <c r="D14" s="3" t="s">
        <v>29</v>
      </c>
      <c r="E14" s="3" t="s">
        <v>29</v>
      </c>
      <c r="F14" s="3" t="s">
        <v>7</v>
      </c>
      <c r="G14" s="3">
        <v>1</v>
      </c>
      <c r="I14" t="s">
        <v>107</v>
      </c>
      <c r="J14">
        <v>2</v>
      </c>
      <c r="K14" t="s">
        <v>105</v>
      </c>
    </row>
    <row r="15" spans="1:20" x14ac:dyDescent="0.25">
      <c r="A15" s="3" t="s">
        <v>47</v>
      </c>
      <c r="B15" s="4"/>
      <c r="C15" s="3" t="s">
        <v>48</v>
      </c>
      <c r="D15" s="3" t="s">
        <v>29</v>
      </c>
      <c r="E15" s="3" t="s">
        <v>29</v>
      </c>
      <c r="F15" s="3" t="s">
        <v>7</v>
      </c>
      <c r="G15" s="3">
        <v>2</v>
      </c>
      <c r="I15" t="s">
        <v>108</v>
      </c>
      <c r="J15">
        <v>3</v>
      </c>
      <c r="K15" t="s">
        <v>105</v>
      </c>
    </row>
    <row r="16" spans="1:20" x14ac:dyDescent="0.25">
      <c r="A16" s="3" t="s">
        <v>47</v>
      </c>
      <c r="B16" s="4"/>
      <c r="C16" s="3" t="s">
        <v>73</v>
      </c>
      <c r="D16" s="3" t="s">
        <v>29</v>
      </c>
      <c r="E16" s="3" t="s">
        <v>29</v>
      </c>
      <c r="F16" s="3" t="s">
        <v>7</v>
      </c>
      <c r="G16" s="3">
        <v>3</v>
      </c>
      <c r="I16" t="s">
        <v>109</v>
      </c>
      <c r="J16">
        <v>1</v>
      </c>
      <c r="K16" t="s">
        <v>105</v>
      </c>
    </row>
    <row r="17" spans="1:7" x14ac:dyDescent="0.25">
      <c r="A17" s="3" t="s">
        <v>12</v>
      </c>
      <c r="B17" s="4" t="s">
        <v>52</v>
      </c>
      <c r="C17" s="3" t="s">
        <v>34</v>
      </c>
      <c r="D17" s="3" t="s">
        <v>29</v>
      </c>
      <c r="E17" s="3" t="s">
        <v>29</v>
      </c>
      <c r="F17" s="3" t="s">
        <v>7</v>
      </c>
      <c r="G17" s="3">
        <v>4</v>
      </c>
    </row>
    <row r="18" spans="1:7" x14ac:dyDescent="0.25">
      <c r="A18" s="3" t="s">
        <v>65</v>
      </c>
      <c r="B18" s="4" t="s">
        <v>66</v>
      </c>
      <c r="C18" s="3" t="s">
        <v>67</v>
      </c>
      <c r="D18" s="3" t="s">
        <v>29</v>
      </c>
      <c r="E18" s="3" t="s">
        <v>29</v>
      </c>
      <c r="F18" s="3" t="s">
        <v>7</v>
      </c>
      <c r="G18" s="3">
        <v>1</v>
      </c>
    </row>
    <row r="19" spans="1:7" x14ac:dyDescent="0.25">
      <c r="A19" s="3" t="s">
        <v>46</v>
      </c>
      <c r="B19" s="4" t="s">
        <v>74</v>
      </c>
      <c r="C19" s="3" t="s">
        <v>71</v>
      </c>
      <c r="D19" s="3" t="s">
        <v>29</v>
      </c>
      <c r="E19" s="3" t="s">
        <v>29</v>
      </c>
      <c r="F19" s="3" t="s">
        <v>7</v>
      </c>
      <c r="G19" s="3">
        <v>1</v>
      </c>
    </row>
    <row r="20" spans="1:7" x14ac:dyDescent="0.25">
      <c r="A20" s="3" t="s">
        <v>46</v>
      </c>
      <c r="B20" s="4"/>
      <c r="C20" s="3" t="s">
        <v>71</v>
      </c>
      <c r="D20" s="3" t="s">
        <v>29</v>
      </c>
      <c r="E20" s="3" t="s">
        <v>29</v>
      </c>
      <c r="F20" s="3" t="s">
        <v>7</v>
      </c>
      <c r="G20" s="3">
        <v>1</v>
      </c>
    </row>
    <row r="21" spans="1:7" x14ac:dyDescent="0.25">
      <c r="A21" s="3" t="s">
        <v>38</v>
      </c>
      <c r="B21" s="4" t="s">
        <v>42</v>
      </c>
      <c r="C21" s="3" t="s">
        <v>41</v>
      </c>
      <c r="D21" s="3" t="s">
        <v>29</v>
      </c>
      <c r="E21" s="3" t="s">
        <v>29</v>
      </c>
      <c r="F21" s="3" t="s">
        <v>39</v>
      </c>
      <c r="G21" s="3">
        <v>1</v>
      </c>
    </row>
    <row r="22" spans="1:7" x14ac:dyDescent="0.25">
      <c r="A22" s="3" t="s">
        <v>49</v>
      </c>
      <c r="B22" s="4"/>
      <c r="C22" s="3"/>
      <c r="D22" s="3" t="s">
        <v>50</v>
      </c>
      <c r="E22" s="3" t="s">
        <v>29</v>
      </c>
      <c r="F22" s="3" t="s">
        <v>7</v>
      </c>
      <c r="G22" s="3">
        <v>1</v>
      </c>
    </row>
    <row r="23" spans="1:7" x14ac:dyDescent="0.25">
      <c r="A23" s="3" t="s">
        <v>49</v>
      </c>
      <c r="B23" s="4"/>
      <c r="C23" s="3"/>
      <c r="D23" s="3" t="s">
        <v>51</v>
      </c>
      <c r="E23" s="3" t="s">
        <v>29</v>
      </c>
      <c r="F23" s="3" t="s">
        <v>7</v>
      </c>
      <c r="G23" s="3">
        <v>3</v>
      </c>
    </row>
    <row r="24" spans="1:7" x14ac:dyDescent="0.25">
      <c r="A24" s="3" t="s">
        <v>56</v>
      </c>
      <c r="B24" s="4" t="s">
        <v>57</v>
      </c>
      <c r="C24" s="3"/>
      <c r="D24" s="3" t="s">
        <v>29</v>
      </c>
      <c r="E24" s="3" t="s">
        <v>29</v>
      </c>
      <c r="F24" s="3" t="s">
        <v>7</v>
      </c>
      <c r="G24" s="3">
        <v>6</v>
      </c>
    </row>
    <row r="25" spans="1:7" ht="75" x14ac:dyDescent="0.25">
      <c r="A25" s="3" t="s">
        <v>104</v>
      </c>
      <c r="B25" s="4" t="str">
        <f>bolso($M$4,Table6[])</f>
        <v xml:space="preserve">Caja de herramientas 1 Contiene:  Pico de loro x2,  Martillo x2,  Alicate x1,  Tijera para chapa x1,  llave fija 17mm x1,  pinza de punta x1,  llave stilson x1,  Llave union x4,  pinza x1, </v>
      </c>
      <c r="C25" s="3"/>
      <c r="D25" s="3" t="s">
        <v>29</v>
      </c>
      <c r="E25" s="3" t="s">
        <v>29</v>
      </c>
      <c r="F25" s="3" t="s">
        <v>6</v>
      </c>
      <c r="G25" s="3">
        <v>1</v>
      </c>
    </row>
    <row r="26" spans="1:7" x14ac:dyDescent="0.25">
      <c r="A26" s="3" t="s">
        <v>35</v>
      </c>
      <c r="B26" s="4" t="s">
        <v>77</v>
      </c>
      <c r="C26" s="3" t="s">
        <v>36</v>
      </c>
      <c r="D26" s="3" t="s">
        <v>29</v>
      </c>
      <c r="E26" s="3">
        <v>2130600061</v>
      </c>
      <c r="F26" s="3" t="s">
        <v>6</v>
      </c>
      <c r="G26" s="3">
        <v>2</v>
      </c>
    </row>
    <row r="27" spans="1:7" x14ac:dyDescent="0.25">
      <c r="A27" s="3" t="s">
        <v>35</v>
      </c>
      <c r="B27" s="4" t="s">
        <v>80</v>
      </c>
      <c r="C27" s="3" t="s">
        <v>78</v>
      </c>
      <c r="D27" s="3" t="s">
        <v>29</v>
      </c>
      <c r="E27" s="3" t="s">
        <v>29</v>
      </c>
      <c r="F27" s="3" t="s">
        <v>6</v>
      </c>
      <c r="G27" s="3"/>
    </row>
    <row r="28" spans="1:7" x14ac:dyDescent="0.25">
      <c r="A28" s="3" t="s">
        <v>12</v>
      </c>
      <c r="B28" s="4" t="s">
        <v>81</v>
      </c>
      <c r="C28" s="3" t="s">
        <v>32</v>
      </c>
      <c r="D28" s="3" t="s">
        <v>29</v>
      </c>
      <c r="E28" s="3" t="s">
        <v>29</v>
      </c>
      <c r="F28" s="3" t="s">
        <v>6</v>
      </c>
      <c r="G28" s="3">
        <v>3</v>
      </c>
    </row>
    <row r="29" spans="1:7" x14ac:dyDescent="0.25">
      <c r="A29" s="3" t="s">
        <v>12</v>
      </c>
      <c r="B29" s="4" t="s">
        <v>83</v>
      </c>
      <c r="C29" s="3" t="s">
        <v>32</v>
      </c>
      <c r="D29" s="3" t="s">
        <v>29</v>
      </c>
      <c r="E29" s="3" t="s">
        <v>29</v>
      </c>
      <c r="F29" s="3" t="s">
        <v>6</v>
      </c>
      <c r="G29" s="3">
        <v>1</v>
      </c>
    </row>
    <row r="30" spans="1:7" x14ac:dyDescent="0.25">
      <c r="A30" s="3" t="s">
        <v>12</v>
      </c>
      <c r="B30" s="4" t="s">
        <v>82</v>
      </c>
      <c r="C30" s="3" t="s">
        <v>84</v>
      </c>
      <c r="D30" s="3" t="s">
        <v>29</v>
      </c>
      <c r="E30" s="3" t="s">
        <v>29</v>
      </c>
      <c r="F30" s="3" t="s">
        <v>6</v>
      </c>
      <c r="G30" s="3">
        <v>1</v>
      </c>
    </row>
    <row r="31" spans="1:7" x14ac:dyDescent="0.25">
      <c r="A31" s="3" t="s">
        <v>35</v>
      </c>
      <c r="B31" s="4" t="s">
        <v>77</v>
      </c>
      <c r="C31" s="3" t="s">
        <v>78</v>
      </c>
      <c r="D31" s="3" t="s">
        <v>29</v>
      </c>
      <c r="E31" s="3" t="s">
        <v>85</v>
      </c>
      <c r="F31" s="3" t="s">
        <v>6</v>
      </c>
      <c r="G31" s="3">
        <v>1</v>
      </c>
    </row>
    <row r="32" spans="1:7" x14ac:dyDescent="0.25">
      <c r="A32" s="3" t="s">
        <v>12</v>
      </c>
      <c r="B32" s="4" t="s">
        <v>86</v>
      </c>
      <c r="C32" s="3" t="s">
        <v>87</v>
      </c>
      <c r="D32" s="3" t="s">
        <v>29</v>
      </c>
      <c r="E32" s="3" t="s">
        <v>29</v>
      </c>
      <c r="F32" s="3" t="s">
        <v>6</v>
      </c>
      <c r="G32" s="3">
        <v>1</v>
      </c>
    </row>
    <row r="33" spans="1:7" x14ac:dyDescent="0.25">
      <c r="A33" s="3" t="s">
        <v>79</v>
      </c>
      <c r="B33" s="4" t="s">
        <v>77</v>
      </c>
      <c r="C33" s="3" t="s">
        <v>78</v>
      </c>
      <c r="D33" s="3" t="s">
        <v>29</v>
      </c>
      <c r="E33" s="3" t="s">
        <v>29</v>
      </c>
      <c r="F33" s="3" t="s">
        <v>6</v>
      </c>
      <c r="G33" s="3">
        <v>1</v>
      </c>
    </row>
    <row r="34" spans="1:7" x14ac:dyDescent="0.25">
      <c r="A34" s="3" t="s">
        <v>88</v>
      </c>
      <c r="B34" s="4" t="s">
        <v>89</v>
      </c>
      <c r="C34" s="3"/>
      <c r="D34" s="3" t="s">
        <v>90</v>
      </c>
      <c r="E34" s="3">
        <v>25</v>
      </c>
      <c r="F34" s="3" t="s">
        <v>9</v>
      </c>
      <c r="G34" s="3">
        <v>1</v>
      </c>
    </row>
    <row r="35" spans="1:7" x14ac:dyDescent="0.25">
      <c r="A35" s="3" t="s">
        <v>91</v>
      </c>
      <c r="B35" s="4" t="s">
        <v>92</v>
      </c>
      <c r="C35" s="3"/>
      <c r="D35" s="3"/>
      <c r="E35" s="3"/>
      <c r="F35" s="3" t="s">
        <v>9</v>
      </c>
      <c r="G35" s="3">
        <v>1</v>
      </c>
    </row>
    <row r="36" spans="1:7" ht="30" x14ac:dyDescent="0.25">
      <c r="A36" s="3" t="s">
        <v>88</v>
      </c>
      <c r="B36" s="4" t="s">
        <v>93</v>
      </c>
      <c r="C36" s="3"/>
      <c r="D36" s="3"/>
      <c r="E36" s="3"/>
      <c r="F36" s="3" t="s">
        <v>9</v>
      </c>
      <c r="G36" s="3">
        <v>1</v>
      </c>
    </row>
    <row r="37" spans="1:7" x14ac:dyDescent="0.25">
      <c r="A37" s="3" t="s">
        <v>94</v>
      </c>
      <c r="B37" s="4" t="s">
        <v>95</v>
      </c>
      <c r="C37" s="3"/>
      <c r="D37" s="3"/>
      <c r="E37" s="3"/>
      <c r="F37" s="3" t="s">
        <v>9</v>
      </c>
      <c r="G37" s="3">
        <v>1</v>
      </c>
    </row>
    <row r="38" spans="1:7" x14ac:dyDescent="0.25">
      <c r="A38" s="3" t="s">
        <v>96</v>
      </c>
      <c r="B38" s="4"/>
      <c r="C38" s="3" t="s">
        <v>55</v>
      </c>
      <c r="D38" s="3"/>
      <c r="E38" s="3"/>
      <c r="F38" s="3" t="s">
        <v>9</v>
      </c>
      <c r="G38" s="3"/>
    </row>
    <row r="39" spans="1:7" x14ac:dyDescent="0.25">
      <c r="A39" s="3" t="s">
        <v>97</v>
      </c>
      <c r="B39" s="4" t="s">
        <v>98</v>
      </c>
      <c r="C39" s="3"/>
      <c r="D39" s="3"/>
      <c r="E39" s="3"/>
      <c r="F39" s="3" t="s">
        <v>9</v>
      </c>
      <c r="G39" s="3">
        <v>2</v>
      </c>
    </row>
    <row r="40" spans="1:7" x14ac:dyDescent="0.25">
      <c r="A40" s="3" t="s">
        <v>99</v>
      </c>
      <c r="B40" s="4" t="s">
        <v>100</v>
      </c>
      <c r="C40" s="3"/>
      <c r="D40" s="3"/>
      <c r="E40" s="3"/>
      <c r="F40" s="3" t="s">
        <v>9</v>
      </c>
      <c r="G40" s="3">
        <v>4</v>
      </c>
    </row>
    <row r="41" spans="1:7" x14ac:dyDescent="0.25">
      <c r="A41" s="3" t="s">
        <v>101</v>
      </c>
      <c r="B41" s="4"/>
      <c r="C41" s="3"/>
      <c r="D41" s="3"/>
      <c r="E41" s="3"/>
      <c r="F41" s="3" t="s">
        <v>9</v>
      </c>
      <c r="G41" s="3">
        <v>3</v>
      </c>
    </row>
    <row r="42" spans="1:7" x14ac:dyDescent="0.25">
      <c r="A42" s="3" t="s">
        <v>102</v>
      </c>
      <c r="B42" s="4" t="s">
        <v>103</v>
      </c>
      <c r="C42" s="3"/>
      <c r="D42" s="3"/>
      <c r="E42" s="3"/>
      <c r="F42" s="3" t="s">
        <v>9</v>
      </c>
      <c r="G42" s="3">
        <v>1</v>
      </c>
    </row>
    <row r="43" spans="1:7" ht="30" x14ac:dyDescent="0.25">
      <c r="A43" s="3" t="s">
        <v>104</v>
      </c>
      <c r="B43" s="4" t="str">
        <f>bolso($M$6,Table6[])</f>
        <v xml:space="preserve">Bolso de collares Contiene:  collar G x7,  Collar M x2,  collar ch x3,  collar P x1, </v>
      </c>
      <c r="C43" s="3"/>
      <c r="D43" s="3"/>
      <c r="E43" s="3"/>
      <c r="F43" s="3" t="s">
        <v>9</v>
      </c>
      <c r="G43" s="3">
        <v>1</v>
      </c>
    </row>
    <row r="44" spans="1:7" x14ac:dyDescent="0.25">
      <c r="A44" s="3" t="s">
        <v>94</v>
      </c>
      <c r="B44" s="4" t="s">
        <v>110</v>
      </c>
      <c r="C44" s="3"/>
      <c r="D44" s="3"/>
      <c r="E44" s="3"/>
      <c r="F44" s="3" t="s">
        <v>9</v>
      </c>
      <c r="G44" s="3">
        <v>1</v>
      </c>
    </row>
    <row r="45" spans="1:7" x14ac:dyDescent="0.25">
      <c r="A45" s="3" t="s">
        <v>111</v>
      </c>
      <c r="B45" s="4" t="s">
        <v>95</v>
      </c>
      <c r="C45" s="3"/>
      <c r="D45" s="3" t="s">
        <v>112</v>
      </c>
      <c r="E45" s="3">
        <v>28999</v>
      </c>
      <c r="F45" s="3" t="s">
        <v>9</v>
      </c>
      <c r="G45" s="3">
        <v>1</v>
      </c>
    </row>
    <row r="46" spans="1:7" x14ac:dyDescent="0.25">
      <c r="A46" t="s">
        <v>113</v>
      </c>
      <c r="B46" s="4" t="s">
        <v>95</v>
      </c>
      <c r="C46" s="3"/>
      <c r="D46" s="3" t="s">
        <v>112</v>
      </c>
      <c r="E46" s="3">
        <v>315000341</v>
      </c>
      <c r="F46" s="3" t="s">
        <v>9</v>
      </c>
      <c r="G46" s="3">
        <v>1</v>
      </c>
    </row>
    <row r="47" spans="1:7" x14ac:dyDescent="0.25">
      <c r="A47" s="3" t="s">
        <v>114</v>
      </c>
      <c r="B47" s="4" t="s">
        <v>115</v>
      </c>
      <c r="C47" s="3"/>
      <c r="D47" s="3" t="s">
        <v>116</v>
      </c>
      <c r="E47" s="3"/>
      <c r="F47" s="3" t="s">
        <v>9</v>
      </c>
      <c r="G47" s="3">
        <v>1</v>
      </c>
    </row>
    <row r="48" spans="1:7" x14ac:dyDescent="0.25">
      <c r="A48" s="3" t="s">
        <v>117</v>
      </c>
      <c r="B48" s="4" t="s">
        <v>115</v>
      </c>
      <c r="C48" s="3"/>
      <c r="D48" s="3"/>
      <c r="E48" s="3"/>
      <c r="F48" s="3" t="s">
        <v>9</v>
      </c>
      <c r="G48" s="3">
        <v>1</v>
      </c>
    </row>
    <row r="49" spans="1:7" x14ac:dyDescent="0.25">
      <c r="A49" s="3" t="s">
        <v>118</v>
      </c>
      <c r="B49" s="4" t="s">
        <v>119</v>
      </c>
      <c r="C49" s="3"/>
      <c r="D49" s="3" t="s">
        <v>112</v>
      </c>
      <c r="E49" s="3">
        <v>150181011</v>
      </c>
      <c r="F49" s="3" t="s">
        <v>9</v>
      </c>
      <c r="G49" s="3">
        <v>2</v>
      </c>
    </row>
    <row r="50" spans="1:7" x14ac:dyDescent="0.25">
      <c r="A50" s="3" t="s">
        <v>118</v>
      </c>
      <c r="B50" s="4" t="s">
        <v>120</v>
      </c>
      <c r="C50" s="3" t="s">
        <v>121</v>
      </c>
      <c r="D50" s="3"/>
      <c r="E50" s="3"/>
      <c r="F50" s="3" t="s">
        <v>9</v>
      </c>
      <c r="G50" s="3">
        <v>1</v>
      </c>
    </row>
    <row r="51" spans="1:7" x14ac:dyDescent="0.25">
      <c r="A51" s="3" t="s">
        <v>118</v>
      </c>
      <c r="B51" s="4" t="s">
        <v>120</v>
      </c>
      <c r="C51" s="3" t="s">
        <v>122</v>
      </c>
      <c r="D51" s="3"/>
      <c r="E51" s="3"/>
      <c r="F51" s="3" t="s">
        <v>9</v>
      </c>
      <c r="G51" s="3">
        <v>1</v>
      </c>
    </row>
    <row r="52" spans="1:7" x14ac:dyDescent="0.25">
      <c r="A52" s="3" t="s">
        <v>123</v>
      </c>
      <c r="B52" s="4"/>
      <c r="C52" s="3" t="s">
        <v>125</v>
      </c>
      <c r="D52" s="3"/>
      <c r="E52" s="3"/>
      <c r="F52" s="3" t="s">
        <v>9</v>
      </c>
      <c r="G52" s="3">
        <v>5</v>
      </c>
    </row>
    <row r="53" spans="1:7" x14ac:dyDescent="0.25">
      <c r="A53" s="3" t="s">
        <v>127</v>
      </c>
      <c r="B53" s="4" t="s">
        <v>128</v>
      </c>
      <c r="C53" s="3"/>
      <c r="D53" s="3"/>
      <c r="E53" s="3"/>
      <c r="F53" s="3" t="s">
        <v>9</v>
      </c>
      <c r="G53" s="3">
        <v>2</v>
      </c>
    </row>
    <row r="54" spans="1:7" x14ac:dyDescent="0.25">
      <c r="A54" s="3" t="s">
        <v>129</v>
      </c>
      <c r="B54" s="4"/>
      <c r="C54" s="3"/>
      <c r="D54" s="3" t="s">
        <v>112</v>
      </c>
      <c r="E54" s="3"/>
      <c r="F54" s="3" t="s">
        <v>9</v>
      </c>
      <c r="G54" s="3">
        <v>1</v>
      </c>
    </row>
    <row r="55" spans="1:7" x14ac:dyDescent="0.25">
      <c r="A55" s="3" t="s">
        <v>130</v>
      </c>
      <c r="B55" s="4" t="s">
        <v>131</v>
      </c>
      <c r="C55" s="3"/>
      <c r="D55" s="3"/>
      <c r="E55" s="3"/>
      <c r="F55" s="3" t="s">
        <v>9</v>
      </c>
      <c r="G55" s="3">
        <v>1</v>
      </c>
    </row>
    <row r="56" spans="1:7" x14ac:dyDescent="0.25">
      <c r="A56" s="3" t="s">
        <v>118</v>
      </c>
      <c r="B56" s="4" t="s">
        <v>132</v>
      </c>
      <c r="C56" s="3"/>
      <c r="D56" s="3" t="s">
        <v>112</v>
      </c>
      <c r="E56" s="3"/>
      <c r="F56" s="3" t="s">
        <v>9</v>
      </c>
      <c r="G56" s="3">
        <v>2</v>
      </c>
    </row>
    <row r="57" spans="1:7" x14ac:dyDescent="0.25">
      <c r="A57" s="3" t="s">
        <v>127</v>
      </c>
      <c r="B57" s="4" t="s">
        <v>133</v>
      </c>
      <c r="C57" s="3"/>
      <c r="D57" s="3"/>
      <c r="E57" s="3"/>
      <c r="F57" s="3" t="s">
        <v>9</v>
      </c>
      <c r="G57" s="3">
        <v>1</v>
      </c>
    </row>
    <row r="58" spans="1:7" x14ac:dyDescent="0.25">
      <c r="A58" s="3" t="s">
        <v>99</v>
      </c>
      <c r="B58" s="4" t="s">
        <v>134</v>
      </c>
      <c r="C58" s="3"/>
      <c r="D58" s="3"/>
      <c r="E58" s="3"/>
      <c r="F58" s="3" t="s">
        <v>9</v>
      </c>
      <c r="G58" s="3">
        <v>1</v>
      </c>
    </row>
    <row r="59" spans="1:7" x14ac:dyDescent="0.25">
      <c r="A59" s="3" t="s">
        <v>135</v>
      </c>
      <c r="B59" s="4"/>
      <c r="C59" s="3" t="s">
        <v>136</v>
      </c>
      <c r="D59" s="3"/>
      <c r="E59" s="3"/>
      <c r="F59" s="3" t="s">
        <v>9</v>
      </c>
      <c r="G59" s="3">
        <v>1</v>
      </c>
    </row>
    <row r="60" spans="1:7" x14ac:dyDescent="0.25">
      <c r="A60" s="3" t="s">
        <v>135</v>
      </c>
      <c r="B60" s="4"/>
      <c r="C60" s="3" t="s">
        <v>41</v>
      </c>
      <c r="D60" s="3"/>
      <c r="E60" s="3"/>
      <c r="F60" s="3" t="s">
        <v>9</v>
      </c>
      <c r="G60" s="3">
        <v>1</v>
      </c>
    </row>
  </sheetData>
  <mergeCells count="1">
    <mergeCell ref="Q3:T3"/>
  </mergeCells>
  <dataValidations count="4">
    <dataValidation type="list" allowBlank="1" showInputMessage="1" showErrorMessage="1" sqref="A1:A45 A47:A48 A52:A53 A55 A57:A1048576" xr:uid="{00000000-0002-0000-0000-000000000000}">
      <formula1>categorias</formula1>
    </dataValidation>
    <dataValidation type="list" allowBlank="1" showInputMessage="1" showErrorMessage="1" sqref="C1 C7:C8 C11 C14:C15" xr:uid="{00000000-0002-0000-0000-000001000000}">
      <formula1>Medidas</formula1>
    </dataValidation>
    <dataValidation type="list" allowBlank="1" showInputMessage="1" showErrorMessage="1" sqref="K4:K16" xr:uid="{B42A14F1-F620-4535-8278-9BE3E2D91DD1}">
      <formula1>Bolsos</formula1>
    </dataValidation>
    <dataValidation type="list" allowBlank="1" showInputMessage="1" showErrorMessage="1" sqref="F1:F1048576" xr:uid="{BE90CED2-C975-4E7D-82E9-3A42B0777B45}">
      <formula1>$Q$5:$Q$11</formula1>
    </dataValidation>
  </dataValidations>
  <pageMargins left="0.7" right="0.7" top="0.75" bottom="0.75" header="0.3" footer="0.3"/>
  <pageSetup paperSize="9" scale="46" fitToHeight="0" orientation="landscape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 xr:uid="{B8E31177-2A12-49ED-98E6-1D4326E95F43}">
          <x14:formula1>
            <xm:f>Configuracion!$G$2:$G$3</xm:f>
          </x14:formula1>
          <xm:sqref>C27 C31</xm:sqref>
        </x14:dataValidation>
        <x14:dataValidation type="list" allowBlank="1" showInputMessage="1" showErrorMessage="1" xr:uid="{D5F4CC4D-2109-41B3-99B4-CA98ED423092}">
          <x14:formula1>
            <xm:f>Configuracion!$K$2:$K$3</xm:f>
          </x14:formula1>
          <xm:sqref>C6</xm:sqref>
        </x14:dataValidation>
        <x14:dataValidation type="list" allowBlank="1" showInputMessage="1" showErrorMessage="1" xr:uid="{063FE316-2FCE-4EF0-9B6A-ACD523F3FCFB}">
          <x14:formula1>
            <xm:f>Configuracion!$F$2:$F$5</xm:f>
          </x14:formula1>
          <xm:sqref>C13 C28:C29</xm:sqref>
        </x14:dataValidation>
        <x14:dataValidation type="list" allowBlank="1" showInputMessage="1" showErrorMessage="1" xr:uid="{29DE0CFE-FC07-4A52-8CAB-D24FC28E61BB}">
          <x14:formula1>
            <xm:f>Configuracion!$J$2:$J$3</xm:f>
          </x14:formula1>
          <xm:sqref>C23</xm:sqref>
        </x14:dataValidation>
        <x14:dataValidation type="list" allowBlank="1" showInputMessage="1" showErrorMessage="1" xr:uid="{292BC257-E625-47CE-8892-ED8AD328A8D8}">
          <x14:formula1>
            <xm:f>Configuracion!$J$2:$J$5</xm:f>
          </x14:formula1>
          <xm:sqref>C25 C19:C20 C9:C10</xm:sqref>
        </x14:dataValidation>
        <x14:dataValidation type="list" allowBlank="1" showInputMessage="1" showErrorMessage="1" xr:uid="{E76FA077-0797-43A6-B34D-1D7D6A28CE28}">
          <x14:formula1>
            <xm:f>Configuracion!$K$2:$K$5</xm:f>
          </x14:formula1>
          <xm:sqref>C22</xm:sqref>
        </x14:dataValidation>
        <x14:dataValidation type="list" allowBlank="1" showInputMessage="1" showErrorMessage="1" xr:uid="{1D081A75-6EF4-4D4E-9A53-FA2DE8B0F5F6}">
          <x14:formula1>
            <xm:f>Configuracion!$K$2:$K$6</xm:f>
          </x14:formula1>
          <xm:sqref>C16 C24 C4</xm:sqref>
        </x14:dataValidation>
        <x14:dataValidation type="list" allowBlank="1" showInputMessage="1" showErrorMessage="1" xr:uid="{D75B5B5C-1EA7-4193-9C88-D415C9A5EC93}">
          <x14:formula1>
            <xm:f>Configuracion!$F$2:$F$3</xm:f>
          </x14:formula1>
          <xm:sqref>C17</xm:sqref>
        </x14:dataValidation>
        <x14:dataValidation type="list" allowBlank="1" showInputMessage="1" showErrorMessage="1" xr:uid="{BF4C76C1-F386-4FB9-857F-F8D7EC4600A6}">
          <x14:formula1>
            <xm:f>Configuracion!$M$2:$M$6</xm:f>
          </x14:formula1>
          <xm:sqref>C18</xm:sqref>
        </x14:dataValidation>
        <x14:dataValidation type="list" allowBlank="1" showInputMessage="1" showErrorMessage="1" xr:uid="{E160497B-A84F-4B61-826C-D9364B7125A0}">
          <x14:formula1>
            <xm:f>Configuracion!$H$2:$H$5</xm:f>
          </x14:formula1>
          <xm:sqref>C21 C2</xm:sqref>
        </x14:dataValidation>
        <x14:dataValidation type="list" allowBlank="1" showInputMessage="1" showErrorMessage="1" xr:uid="{66CD50C1-DB6E-448F-AAA4-B1F5F8F5B10E}">
          <x14:formula1>
            <xm:f>Configuracion!$I$2:$I$5</xm:f>
          </x14:formula1>
          <xm:sqref>C3</xm:sqref>
        </x14:dataValidation>
        <x14:dataValidation type="list" allowBlank="1" showInputMessage="1" showErrorMessage="1" xr:uid="{56E52602-2194-4E3B-A180-C6A3E82D63E4}">
          <x14:formula1>
            <xm:f>Configuracion!$N$2:$N$6</xm:f>
          </x14:formula1>
          <xm:sqref>C5</xm:sqref>
        </x14:dataValidation>
        <x14:dataValidation type="list" allowBlank="1" showInputMessage="1" showErrorMessage="1" xr:uid="{004357AF-9047-4B55-A787-377A96505853}">
          <x14:formula1>
            <xm:f>Configuracion!$G$2:$G$5</xm:f>
          </x14:formula1>
          <xm:sqref>C12 C26</xm:sqref>
        </x14:dataValidation>
        <x14:dataValidation type="list" allowBlank="1" showInputMessage="1" showErrorMessage="1" xr:uid="{038E3EAE-F895-4B47-9AAB-FAC660AFCCB9}">
          <x14:formula1>
            <xm:f>Configuracion!$F$2:$F$6</xm:f>
          </x14:formula1>
          <xm:sqref>C30</xm:sqref>
        </x14:dataValidation>
        <x14:dataValidation type="list" allowBlank="1" showInputMessage="1" showErrorMessage="1" xr:uid="{6457681C-60DB-4D20-AED2-86506039851F}">
          <x14:formula1>
            <xm:f>Configuracion!$F$2:$F$7</xm:f>
          </x14:formula1>
          <xm:sqref>C32</xm:sqref>
        </x14:dataValidation>
        <x14:dataValidation type="list" allowBlank="1" showInputMessage="1" showErrorMessage="1" xr:uid="{D92F6585-F7E1-409D-BFF5-6A89DACAE715}">
          <x14:formula1>
            <xm:f>Configuracion!$O$2:$O$7</xm:f>
          </x14:formula1>
          <xm:sqref>C38 C41</xm:sqref>
        </x14:dataValidation>
        <x14:dataValidation type="list" allowBlank="1" showInputMessage="1" showErrorMessage="1" xr:uid="{2BDD8E02-40A9-4FF6-94A7-8AC67B507BC8}">
          <x14:formula1>
            <xm:f>Configuracion!$P$2:$P$4</xm:f>
          </x14:formula1>
          <xm:sqref>C52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2"/>
  <sheetViews>
    <sheetView topLeftCell="A16" workbookViewId="0">
      <selection activeCell="A33" sqref="A33"/>
    </sheetView>
  </sheetViews>
  <sheetFormatPr defaultRowHeight="15" x14ac:dyDescent="0.25"/>
  <cols>
    <col min="1" max="1" width="22.140625" bestFit="1" customWidth="1"/>
    <col min="2" max="2" width="10.7109375" customWidth="1"/>
    <col min="5" max="5" width="11.28515625" customWidth="1"/>
    <col min="6" max="6" width="10.42578125" bestFit="1" customWidth="1"/>
    <col min="7" max="7" width="9" bestFit="1" customWidth="1"/>
    <col min="9" max="9" width="12.5703125" customWidth="1"/>
    <col min="10" max="10" width="12.5703125" bestFit="1" customWidth="1"/>
    <col min="11" max="11" width="11.28515625" bestFit="1" customWidth="1"/>
  </cols>
  <sheetData>
    <row r="1" spans="1:16" x14ac:dyDescent="0.25">
      <c r="A1" s="5" t="s">
        <v>37</v>
      </c>
      <c r="F1" t="s">
        <v>12</v>
      </c>
      <c r="G1" t="s">
        <v>35</v>
      </c>
      <c r="H1" t="s">
        <v>38</v>
      </c>
      <c r="I1" t="s">
        <v>43</v>
      </c>
      <c r="J1" t="s">
        <v>46</v>
      </c>
      <c r="K1" t="s">
        <v>47</v>
      </c>
      <c r="L1" t="s">
        <v>58</v>
      </c>
      <c r="M1" t="s">
        <v>65</v>
      </c>
      <c r="N1" t="s">
        <v>63</v>
      </c>
      <c r="O1" t="s">
        <v>96</v>
      </c>
      <c r="P1" t="s">
        <v>123</v>
      </c>
    </row>
    <row r="2" spans="1:16" x14ac:dyDescent="0.25">
      <c r="A2" t="s">
        <v>46</v>
      </c>
      <c r="F2" s="6" t="s">
        <v>34</v>
      </c>
      <c r="G2" t="s">
        <v>55</v>
      </c>
      <c r="H2" t="s">
        <v>41</v>
      </c>
      <c r="J2" t="s">
        <v>70</v>
      </c>
      <c r="K2" t="s">
        <v>68</v>
      </c>
      <c r="L2" t="s">
        <v>59</v>
      </c>
      <c r="M2" t="s">
        <v>67</v>
      </c>
      <c r="N2" t="s">
        <v>36</v>
      </c>
      <c r="O2" t="s">
        <v>55</v>
      </c>
      <c r="P2" t="s">
        <v>124</v>
      </c>
    </row>
    <row r="3" spans="1:16" x14ac:dyDescent="0.25">
      <c r="A3" s="3" t="s">
        <v>104</v>
      </c>
      <c r="F3" s="7" t="s">
        <v>53</v>
      </c>
      <c r="G3" t="s">
        <v>78</v>
      </c>
      <c r="K3" t="s">
        <v>76</v>
      </c>
      <c r="P3" t="s">
        <v>125</v>
      </c>
    </row>
    <row r="4" spans="1:16" x14ac:dyDescent="0.25">
      <c r="A4" t="s">
        <v>49</v>
      </c>
      <c r="F4" s="10" t="s">
        <v>32</v>
      </c>
      <c r="K4" t="s">
        <v>75</v>
      </c>
      <c r="P4" t="s">
        <v>126</v>
      </c>
    </row>
    <row r="5" spans="1:16" x14ac:dyDescent="0.25">
      <c r="A5" t="s">
        <v>38</v>
      </c>
      <c r="F5" t="s">
        <v>62</v>
      </c>
      <c r="G5" t="s">
        <v>36</v>
      </c>
      <c r="H5" t="s">
        <v>40</v>
      </c>
      <c r="I5" t="s">
        <v>44</v>
      </c>
      <c r="J5" t="s">
        <v>71</v>
      </c>
      <c r="K5" t="s">
        <v>48</v>
      </c>
    </row>
    <row r="6" spans="1:16" x14ac:dyDescent="0.25">
      <c r="A6" t="s">
        <v>13</v>
      </c>
      <c r="F6" t="s">
        <v>84</v>
      </c>
      <c r="K6" t="s">
        <v>73</v>
      </c>
    </row>
    <row r="7" spans="1:16" x14ac:dyDescent="0.25">
      <c r="A7" t="s">
        <v>35</v>
      </c>
      <c r="F7" t="s">
        <v>87</v>
      </c>
    </row>
    <row r="8" spans="1:16" x14ac:dyDescent="0.25">
      <c r="A8" t="s">
        <v>43</v>
      </c>
    </row>
    <row r="9" spans="1:16" x14ac:dyDescent="0.25">
      <c r="A9" t="s">
        <v>47</v>
      </c>
    </row>
    <row r="10" spans="1:16" x14ac:dyDescent="0.25">
      <c r="A10" t="s">
        <v>12</v>
      </c>
    </row>
    <row r="11" spans="1:16" x14ac:dyDescent="0.25">
      <c r="A11" t="s">
        <v>56</v>
      </c>
    </row>
    <row r="12" spans="1:16" x14ac:dyDescent="0.25">
      <c r="A12" t="s">
        <v>58</v>
      </c>
    </row>
    <row r="13" spans="1:16" x14ac:dyDescent="0.25">
      <c r="A13" t="s">
        <v>63</v>
      </c>
    </row>
    <row r="14" spans="1:16" x14ac:dyDescent="0.25">
      <c r="A14" t="s">
        <v>65</v>
      </c>
    </row>
    <row r="15" spans="1:16" x14ac:dyDescent="0.25">
      <c r="A15" t="s">
        <v>88</v>
      </c>
    </row>
    <row r="16" spans="1:16" x14ac:dyDescent="0.25">
      <c r="A16" t="s">
        <v>91</v>
      </c>
    </row>
    <row r="17" spans="1:1" x14ac:dyDescent="0.25">
      <c r="A17" t="s">
        <v>94</v>
      </c>
    </row>
    <row r="18" spans="1:1" x14ac:dyDescent="0.25">
      <c r="A18" t="s">
        <v>96</v>
      </c>
    </row>
    <row r="19" spans="1:1" x14ac:dyDescent="0.25">
      <c r="A19" t="s">
        <v>97</v>
      </c>
    </row>
    <row r="20" spans="1:1" x14ac:dyDescent="0.25">
      <c r="A20" t="s">
        <v>99</v>
      </c>
    </row>
    <row r="21" spans="1:1" x14ac:dyDescent="0.25">
      <c r="A21" t="s">
        <v>101</v>
      </c>
    </row>
    <row r="22" spans="1:1" x14ac:dyDescent="0.25">
      <c r="A22" t="s">
        <v>102</v>
      </c>
    </row>
    <row r="23" spans="1:1" x14ac:dyDescent="0.25">
      <c r="A23" t="s">
        <v>111</v>
      </c>
    </row>
    <row r="24" spans="1:1" x14ac:dyDescent="0.25">
      <c r="A24" t="s">
        <v>113</v>
      </c>
    </row>
    <row r="25" spans="1:1" x14ac:dyDescent="0.25">
      <c r="A25" t="s">
        <v>114</v>
      </c>
    </row>
    <row r="26" spans="1:1" x14ac:dyDescent="0.25">
      <c r="A26" t="s">
        <v>117</v>
      </c>
    </row>
    <row r="27" spans="1:1" x14ac:dyDescent="0.25">
      <c r="A27" t="s">
        <v>118</v>
      </c>
    </row>
    <row r="28" spans="1:1" x14ac:dyDescent="0.25">
      <c r="A28" t="s">
        <v>123</v>
      </c>
    </row>
    <row r="29" spans="1:1" x14ac:dyDescent="0.25">
      <c r="A29" t="s">
        <v>127</v>
      </c>
    </row>
    <row r="30" spans="1:1" x14ac:dyDescent="0.25">
      <c r="A30" t="s">
        <v>129</v>
      </c>
    </row>
    <row r="31" spans="1:1" x14ac:dyDescent="0.25">
      <c r="A31" t="s">
        <v>130</v>
      </c>
    </row>
    <row r="32" spans="1:1" x14ac:dyDescent="0.25">
      <c r="A32" t="s">
        <v>135</v>
      </c>
    </row>
  </sheetData>
  <dataValidations count="1">
    <dataValidation type="list" allowBlank="1" showInputMessage="1" showErrorMessage="1" sqref="A5" xr:uid="{CA02A1E7-7F8B-4366-B3D8-3CEE4A6D4640}">
      <formula1>categorias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Movil 51</vt:lpstr>
      <vt:lpstr>Inventario general</vt:lpstr>
      <vt:lpstr>Configuracion</vt:lpstr>
      <vt:lpstr>Bolsos</vt:lpstr>
      <vt:lpstr>categorias</vt:lpstr>
      <vt:lpstr>Medidas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2018-07-05T02:52:45Z</dcterms:modified>
</cp:coreProperties>
</file>