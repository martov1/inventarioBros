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09D0CB1B-E3F1-4BA6-AA71-EA1C426637DB}" xr6:coauthVersionLast="33" xr6:coauthVersionMax="33" xr10:uidLastSave="{00000000-0000-0000-0000-000000000000}"/>
  <bookViews>
    <workbookView xWindow="0" yWindow="0" windowWidth="22260" windowHeight="12645" activeTab="2" xr2:uid="{00000000-000D-0000-FFFF-FFFF00000000}"/>
  </bookViews>
  <sheets>
    <sheet name="Movil 51" sheetId="1" r:id="rId1"/>
    <sheet name="Inventario general" sheetId="2" r:id="rId2"/>
    <sheet name="Configuracion" sheetId="3" r:id="rId3"/>
  </sheets>
  <functionGroups builtInGroupCount="19"/>
  <definedNames>
    <definedName name="Bolsos">Table2[Bolsos]</definedName>
    <definedName name="ca">#REF!</definedName>
    <definedName name="categorias">Table4[[#All],[Categorias disponibles]]</definedName>
    <definedName name="Medidas">Table3[#All]</definedName>
    <definedName name="validacion">Table3[#All]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<sst xmlns="http://schemas.openxmlformats.org/spreadsheetml/2006/main" count="76" uniqueCount="46">
  <si>
    <t>Categoria</t>
  </si>
  <si>
    <t>Descripcion</t>
  </si>
  <si>
    <t>Medidas</t>
  </si>
  <si>
    <t>marca</t>
  </si>
  <si>
    <t>N/ de serie</t>
  </si>
  <si>
    <t>Cajoneras</t>
  </si>
  <si>
    <t>Cajonera 2</t>
  </si>
  <si>
    <t>Cajonera 3</t>
  </si>
  <si>
    <t>Interior</t>
  </si>
  <si>
    <t>Cajonera 1</t>
  </si>
  <si>
    <t>Cajonera 4</t>
  </si>
  <si>
    <t>Cajonera 5</t>
  </si>
  <si>
    <t>Tramos</t>
  </si>
  <si>
    <t>Herramientas electricas</t>
  </si>
  <si>
    <t>Cajonera</t>
  </si>
  <si>
    <t>Martillo demoledor 220v HM0810t</t>
  </si>
  <si>
    <t>Makita</t>
  </si>
  <si>
    <t>No aplica</t>
  </si>
  <si>
    <t>Caja de Herramientas</t>
  </si>
  <si>
    <t>Tablas auxiliares del movil</t>
  </si>
  <si>
    <t>Bolso</t>
  </si>
  <si>
    <t>Caja de herramientas 1</t>
  </si>
  <si>
    <t>Material</t>
  </si>
  <si>
    <t>Pico de loro</t>
  </si>
  <si>
    <t>Cantidad</t>
  </si>
  <si>
    <t>Martillo</t>
  </si>
  <si>
    <t>Alicate</t>
  </si>
  <si>
    <t>Tijera para chapa</t>
  </si>
  <si>
    <t>llave fija 17mm</t>
  </si>
  <si>
    <t>pinza</t>
  </si>
  <si>
    <t>pinza de punta</t>
  </si>
  <si>
    <t>llave stilson</t>
  </si>
  <si>
    <t>Llave union</t>
  </si>
  <si>
    <t>no aplica</t>
  </si>
  <si>
    <t>Bolsos</t>
  </si>
  <si>
    <t>Bolso de corte</t>
  </si>
  <si>
    <t>sintetico amarillo (rollo)</t>
  </si>
  <si>
    <t>45S-45-45S</t>
  </si>
  <si>
    <t>cantidad</t>
  </si>
  <si>
    <t>sintetico rojo (rollo)</t>
  </si>
  <si>
    <t>63S-71-63S</t>
  </si>
  <si>
    <t>Lanzas</t>
  </si>
  <si>
    <t>POK, corte rapido, con regulador de caudal</t>
  </si>
  <si>
    <t>45S</t>
  </si>
  <si>
    <t>Categorias disponibles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</si>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</sst>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">
    <xf numFmtId="0" fontId="0" fillId="0" borderId="0" xfId="0"/>
    <xf numFmtId="0" fontId="1" fillId="2" borderId="0" xfId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Font="1" applyBorder="1"/>
    <xf numFmtId="0" fontId="2" fillId="3" borderId="3" xfId="0" applyFont="1" applyFill="1" applyBorder="1"/>
    <xf numFmtId="0" fontId="1" fillId="2" borderId="1" xfId="1" applyBorder="1" applyAlignment="1">
      <alignment horizontal="center"/>
    </xf>
  </cellXfs>
  <cellStyles count="2">
    <cellStyle name="Accent1" xfId="1" builtinId="29"/>
    <cellStyle name="Normal" xfId="0" builtinId="0"/>
  </cellStyles>
  <dxfs count="10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21" totalsRowShown="0" dataDxfId="9">
  <autoFilter ref="A1:G21" xr:uid="{00000000-0009-0000-0100-000001000000}"/>
  <tableColumns count="7">
    <tableColumn id="1" xr3:uid="{00000000-0010-0000-0000-000001000000}" name="Categoria" dataDxfId="8"/>
    <tableColumn id="2" xr3:uid="{00000000-0010-0000-0000-000002000000}" name="Descripcion" dataDxfId="7"/>
    <tableColumn id="3" xr3:uid="{00000000-0010-0000-0000-000003000000}" name="Medidas" dataDxfId="6"/>
    <tableColumn id="4" xr3:uid="{00000000-0010-0000-0000-000004000000}" name="marca" dataDxfId="5"/>
    <tableColumn id="5" xr3:uid="{00000000-0010-0000-0000-000005000000}" name="N/ de serie" dataDxfId="4"/>
    <tableColumn id="6" xr3:uid="{00000000-0010-0000-0000-000006000000}" name="Cajonera" dataDxfId="3"/>
    <tableColumn id="7" xr3:uid="{20A560DE-96A4-4C20-8E3B-6987DAD27B3D}" name="cantidad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6" displayName="Table6" ref="I3:K13" totalsRowShown="0">
  <autoFilter ref="I3:K13" xr:uid="{00000000-0009-0000-0100-000006000000}"/>
  <tableColumns count="3">
    <tableColumn id="1" xr3:uid="{00000000-0010-0000-0100-000001000000}" name="Material"/>
    <tableColumn id="2" xr3:uid="{00000000-0010-0000-0100-000002000000}" name="Cantidad"/>
    <tableColumn id="3" xr3:uid="{00000000-0010-0000-0100-000003000000}" name="Bolso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0D275F-F343-4103-B4F5-0F419099A652}" name="Table2" displayName="Table2" ref="M3:M5" totalsRowShown="0">
  <autoFilter ref="M3:M5" xr:uid="{EE8CA32C-3909-47AF-9D21-A6D698228C0D}"/>
  <tableColumns count="1">
    <tableColumn id="1" xr3:uid="{AF0E4D2D-E1F2-437E-B41B-C134F1A1D409}" name="Bolsos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88C855C-2090-41EF-BB2D-E6ADA766E784}" name="Table3" displayName="Table3" ref="F1:G3" totalsRowShown="0">
  <autoFilter ref="F1:G3" xr:uid="{1055A59D-20B2-4F59-BA98-5A360C8D58B6}"/>
  <tableColumns count="2">
    <tableColumn id="1" xr3:uid="{2544FA51-F8B2-41C3-B812-D5DFF3470881}" name="Tramos"/>
    <tableColumn id="2" xr3:uid="{3FB9FA73-51F1-44CB-918D-228168812748}" name="Lanzas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F40EB2-6A7A-4347-B2C7-48A910378576}" name="Table4" displayName="Table4" ref="A1:A5" totalsRowShown="0" headerRowDxfId="1" tableBorderDxfId="0">
  <autoFilter ref="A1:A5" xr:uid="{174CB354-0B9D-4924-BB13-8A0DA131CB54}"/>
  <tableColumns count="1">
    <tableColumn id="1" xr3:uid="{C30558D4-D1AA-40E7-AAB9-B74AC8C72DD6}" name="Categorias disponibl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21"/>
  <sheetViews>
    <sheetView workbookViewId="0">
      <selection activeCell="D5" sqref="D5"/>
    </sheetView>
  </sheetViews>
  <sheetFormatPr defaultRowHeight="15" x14ac:dyDescent="0.25"/>
  <cols>
    <col min="1" max="1" width="22.28515625" bestFit="1" customWidth="1"/>
    <col min="2" max="2" width="39" style="2" customWidth="1"/>
    <col min="3" max="3" width="14.5703125" customWidth="1"/>
    <col min="4" max="4" width="13.28515625" customWidth="1"/>
    <col min="5" max="5" width="23.7109375" customWidth="1"/>
    <col min="6" max="6" width="11.140625" bestFit="1" customWidth="1"/>
    <col min="7" max="7" width="10.85546875" bestFit="1" customWidth="1"/>
    <col min="8" max="8" width="13.140625" customWidth="1"/>
    <col min="9" max="9" width="21" bestFit="1" customWidth="1"/>
    <col min="10" max="11" width="21.5703125" bestFit="1" customWidth="1"/>
    <col min="13" max="13" width="26" customWidth="1"/>
  </cols>
  <sheetData>
    <row r="1" spans="1:20" x14ac:dyDescent="0.25">
      <c r="A1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14</v>
      </c>
      <c r="G1" t="s">
        <v>38</v>
      </c>
    </row>
    <row r="2" spans="1:20" x14ac:dyDescent="0.25">
      <c r="A2" s="3" t="s">
        <v>13</v>
      </c>
      <c r="B2" s="4" t="s">
        <v>15</v>
      </c>
      <c r="C2" s="3" t="s">
        <v>17</v>
      </c>
      <c r="D2" s="3" t="s">
        <v>16</v>
      </c>
      <c r="E2" s="3">
        <v>610839</v>
      </c>
      <c r="F2" s="3" t="s">
        <v>6</v>
      </c>
      <c r="G2" s="3"/>
    </row>
    <row r="3" spans="1:20" x14ac:dyDescent="0.25">
      <c r="A3" s="3" t="s">
        <v>12</v>
      </c>
      <c r="B3" s="4" t="s">
        <v>36</v>
      </c>
      <c r="C3" s="3" t="s">
        <v>37</v>
      </c>
      <c r="D3" s="3"/>
      <c r="E3" s="3"/>
      <c r="F3" s="3" t="s">
        <v>6</v>
      </c>
      <c r="G3" s="3"/>
      <c r="I3" t="s">
        <v>22</v>
      </c>
      <c r="J3" t="s">
        <v>24</v>
      </c>
      <c r="K3" t="s">
        <v>20</v>
      </c>
      <c r="M3" t="s">
        <v>34</v>
      </c>
      <c r="Q3" s="7" t="s">
        <v>19</v>
      </c>
      <c r="R3" s="7"/>
      <c r="S3" s="7"/>
      <c r="T3" s="7"/>
    </row>
    <row r="4" spans="1:20" x14ac:dyDescent="0.25">
      <c r="A4" s="3" t="s">
        <v>12</v>
      </c>
      <c r="B4" s="4" t="s">
        <v>39</v>
      </c>
      <c r="C4" s="3" t="s">
        <v>40</v>
      </c>
      <c r="D4" s="3"/>
      <c r="E4" s="3"/>
      <c r="F4" s="3" t="s">
        <v>6</v>
      </c>
      <c r="G4" s="3"/>
      <c r="I4" t="s">
        <v>23</v>
      </c>
      <c r="J4">
        <v>2</v>
      </c>
      <c r="K4" t="s">
        <v>21</v>
      </c>
      <c r="M4" t="s">
        <v>21</v>
      </c>
      <c r="Q4" s="1" t="s">
        <v>5</v>
      </c>
    </row>
    <row r="5" spans="1:20" ht="30" x14ac:dyDescent="0.25">
      <c r="A5" s="3" t="s">
        <v>41</v>
      </c>
      <c r="B5" s="4" t="s">
        <v>42</v>
      </c>
      <c r="C5" s="3" t="s">
        <v>43</v>
      </c>
      <c r="D5" s="3"/>
      <c r="E5" s="3"/>
      <c r="F5" s="3"/>
      <c r="G5" s="3"/>
      <c r="I5" t="s">
        <v>25</v>
      </c>
      <c r="J5">
        <v>2</v>
      </c>
      <c r="K5" t="s">
        <v>21</v>
      </c>
      <c r="M5" t="s">
        <v>35</v>
      </c>
      <c r="Q5" t="s">
        <v>9</v>
      </c>
    </row>
    <row r="6" spans="1:20" x14ac:dyDescent="0.25">
      <c r="A6" s="3"/>
      <c r="B6" s="4"/>
      <c r="C6" s="3"/>
      <c r="D6" s="3"/>
      <c r="E6" s="3"/>
      <c r="F6" s="3"/>
      <c r="G6" s="3"/>
      <c r="I6" t="s">
        <v>26</v>
      </c>
      <c r="J6">
        <v>1</v>
      </c>
      <c r="K6" t="s">
        <v>21</v>
      </c>
      <c r="Q6" t="s">
        <v>6</v>
      </c>
    </row>
    <row r="7" spans="1:20" x14ac:dyDescent="0.25">
      <c r="A7" s="3" t="s">
        <v>41</v>
      </c>
      <c r="B7" s="4"/>
      <c r="C7" s="3"/>
      <c r="D7" s="3"/>
      <c r="E7" s="3"/>
      <c r="F7" s="3"/>
      <c r="G7" s="3"/>
      <c r="I7" t="s">
        <v>27</v>
      </c>
      <c r="J7">
        <v>1</v>
      </c>
      <c r="K7" t="s">
        <v>21</v>
      </c>
      <c r="Q7" t="s">
        <v>7</v>
      </c>
    </row>
    <row r="8" spans="1:20" x14ac:dyDescent="0.25">
      <c r="A8" s="3" t="s">
        <v>12</v>
      </c>
      <c r="B8" s="4"/>
      <c r="C8" s="3"/>
      <c r="D8" s="3"/>
      <c r="E8" s="3"/>
      <c r="F8" s="3"/>
      <c r="G8" s="3"/>
      <c r="I8" t="s">
        <v>28</v>
      </c>
      <c r="J8">
        <v>1</v>
      </c>
      <c r="K8" t="s">
        <v>21</v>
      </c>
      <c r="Q8" t="s">
        <v>10</v>
      </c>
    </row>
    <row r="9" spans="1:20" x14ac:dyDescent="0.25">
      <c r="A9" s="3" t="s">
        <v>12</v>
      </c>
      <c r="B9" s="4"/>
      <c r="C9" s="3"/>
      <c r="D9" s="3"/>
      <c r="E9" s="3"/>
      <c r="F9" s="3"/>
      <c r="G9" s="3"/>
      <c r="I9" t="s">
        <v>30</v>
      </c>
      <c r="J9">
        <v>1</v>
      </c>
      <c r="K9" t="s">
        <v>21</v>
      </c>
      <c r="Q9" t="s">
        <v>11</v>
      </c>
    </row>
    <row r="10" spans="1:20" x14ac:dyDescent="0.25">
      <c r="A10" s="3" t="s">
        <v>41</v>
      </c>
      <c r="B10" s="4"/>
      <c r="C10" s="3"/>
      <c r="D10" s="3"/>
      <c r="E10" s="3"/>
      <c r="F10" s="3"/>
      <c r="G10" s="3"/>
      <c r="I10" t="s">
        <v>31</v>
      </c>
      <c r="J10">
        <v>1</v>
      </c>
      <c r="K10" t="s">
        <v>21</v>
      </c>
      <c r="Q10" t="s">
        <v>8</v>
      </c>
    </row>
    <row r="11" spans="1:20" x14ac:dyDescent="0.25">
      <c r="A11" s="3" t="s">
        <v>12</v>
      </c>
      <c r="B11" s="4"/>
      <c r="C11" s="3"/>
      <c r="D11" s="3"/>
      <c r="E11" s="3"/>
      <c r="F11" s="3"/>
      <c r="G11" s="3"/>
      <c r="I11" t="s">
        <v>32</v>
      </c>
      <c r="J11">
        <v>4</v>
      </c>
      <c r="K11" t="s">
        <v>21</v>
      </c>
    </row>
    <row r="12" spans="1:20" x14ac:dyDescent="0.25">
      <c r="A12" s="3"/>
      <c r="B12" s="4"/>
      <c r="C12" s="3"/>
      <c r="D12" s="3"/>
      <c r="E12" s="3"/>
      <c r="F12" s="3"/>
      <c r="G12" s="3"/>
      <c r="I12" t="s">
        <v>29</v>
      </c>
      <c r="J12">
        <v>1</v>
      </c>
      <c r="K12" t="s">
        <v>21</v>
      </c>
    </row>
    <row r="13" spans="1:20" x14ac:dyDescent="0.25">
      <c r="A13" s="3"/>
      <c r="B13" s="4"/>
      <c r="C13" s="3"/>
      <c r="D13" s="3"/>
      <c r="E13" s="3"/>
      <c r="F13" s="3"/>
      <c r="G13" s="3"/>
    </row>
    <row r="14" spans="1:20" ht="75" x14ac:dyDescent="0.25">
      <c r="A14" s="3" t="s">
        <v>18</v>
      </c>
      <c r="B14" s="4" t="str">
        <f>bolso(M4,Table6[])</f>
        <v xml:space="preserve">Caja de herramientas 1 Contiene:  Pico de loro x2,  Martillo x2,  Alicate x1,  Tijera para chapa x1,  llave fija 17mm x1,  pinza de punta x1,  llave stilson x1,  Llave union x4,  pinza x1, </v>
      </c>
      <c r="C14" s="3" t="s">
        <v>17</v>
      </c>
      <c r="D14" s="3" t="s">
        <v>33</v>
      </c>
      <c r="E14" s="3" t="s">
        <v>33</v>
      </c>
      <c r="F14" s="3" t="s">
        <v>6</v>
      </c>
      <c r="G14" s="3"/>
    </row>
    <row r="15" spans="1:20" x14ac:dyDescent="0.25">
      <c r="A15" s="3"/>
      <c r="B15" s="4"/>
      <c r="C15" s="3"/>
      <c r="D15" s="3"/>
      <c r="E15" s="3"/>
      <c r="F15" s="3"/>
      <c r="G15" s="3"/>
    </row>
    <row r="16" spans="1:20" x14ac:dyDescent="0.25">
      <c r="A16" s="3"/>
      <c r="B16" s="4"/>
      <c r="C16" s="3"/>
      <c r="D16" s="3"/>
      <c r="E16" s="3"/>
      <c r="F16" s="3"/>
      <c r="G16" s="3"/>
    </row>
    <row r="17" spans="1:7" x14ac:dyDescent="0.25">
      <c r="A17" s="3"/>
      <c r="B17" s="4"/>
      <c r="C17" s="3"/>
      <c r="D17" s="3"/>
      <c r="E17" s="3"/>
      <c r="F17" s="3"/>
      <c r="G17" s="3"/>
    </row>
    <row r="18" spans="1:7" x14ac:dyDescent="0.25">
      <c r="A18" s="3"/>
      <c r="B18" s="4"/>
      <c r="C18" s="3"/>
      <c r="D18" s="3"/>
      <c r="E18" s="3"/>
      <c r="F18" s="3"/>
      <c r="G18" s="3"/>
    </row>
    <row r="19" spans="1:7" x14ac:dyDescent="0.25">
      <c r="A19" s="3"/>
      <c r="B19" s="4"/>
      <c r="C19" s="3"/>
      <c r="D19" s="3"/>
      <c r="E19" s="3"/>
      <c r="F19" s="3"/>
      <c r="G19" s="3"/>
    </row>
    <row r="20" spans="1:7" x14ac:dyDescent="0.25">
      <c r="A20" s="3"/>
      <c r="B20" s="4"/>
      <c r="C20" s="3"/>
      <c r="D20" s="3"/>
      <c r="E20" s="3"/>
      <c r="F20" s="3"/>
      <c r="G20" s="3"/>
    </row>
    <row r="21" spans="1:7" x14ac:dyDescent="0.25">
      <c r="A21" s="3"/>
      <c r="B21" s="4"/>
      <c r="C21" s="3"/>
      <c r="D21" s="3"/>
      <c r="E21" s="3"/>
      <c r="F21" s="3"/>
      <c r="G21" s="3"/>
    </row>
  </sheetData>
  <mergeCells count="1">
    <mergeCell ref="Q3:T3"/>
  </mergeCells>
  <dataValidations count="4">
    <dataValidation type="list" allowBlank="1" showInputMessage="1" showErrorMessage="1" sqref="A1:A1048576" xr:uid="{00000000-0002-0000-0000-000000000000}">
      <formula1>categorias</formula1>
    </dataValidation>
    <dataValidation type="list" allowBlank="1" showInputMessage="1" showErrorMessage="1" sqref="C1 C11:C21 C2 C6:C9" xr:uid="{00000000-0002-0000-0000-000001000000}">
      <formula1>Medidas</formula1>
    </dataValidation>
    <dataValidation type="list" allowBlank="1" showInputMessage="1" showErrorMessage="1" sqref="F1:F2 F4:F1048576" xr:uid="{00000000-0002-0000-0000-000002000000}">
      <formula1>$Q$5:$Q$10</formula1>
    </dataValidation>
    <dataValidation type="list" allowBlank="1" showInputMessage="1" showErrorMessage="1" sqref="K4:K13" xr:uid="{B42A14F1-F620-4535-8278-9BE3E2D91DD1}">
      <formula1>Bolsos</formula1>
    </dataValidation>
  </dataValidations>
  <pageMargins left="0.7" right="0.7" top="0.75" bottom="0.75" header="0.3" footer="0.3"/>
  <pageSetup paperSize="9" scale="46" fitToHeight="0" orientation="landscape"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90BFDC7-ED59-4A95-8AB8-C78BF900A822}">
          <x14:formula1>
            <xm:f>Configuracion!$F$2:$F$3</xm:f>
          </x14:formula1>
          <xm:sqref>C3 C4</xm:sqref>
        </x14:dataValidation>
        <x14:dataValidation type="list" allowBlank="1" showInputMessage="1" showErrorMessage="1" xr:uid="{B8E31177-2A12-49ED-98E6-1D4326E95F43}">
          <x14:formula1>
            <xm:f>Configuracion!$G$2:$G$3</xm:f>
          </x14:formula1>
          <xm:sqref>C10 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5"/>
  <sheetViews>
    <sheetView tabSelected="1" workbookViewId="0">
      <selection activeCell="F8" sqref="F8"/>
    </sheetView>
  </sheetViews>
  <sheetFormatPr defaultRowHeight="15" x14ac:dyDescent="0.25"/>
  <cols>
    <col min="1" max="1" width="22.140625" bestFit="1" customWidth="1"/>
    <col min="2" max="2" width="10.7109375" customWidth="1"/>
    <col min="5" max="5" width="11.28515625" customWidth="1"/>
    <col min="6" max="6" width="10.5703125" customWidth="1"/>
    <col min="9" max="9" width="12.5703125" customWidth="1"/>
    <col min="10" max="10" width="12.140625" customWidth="1"/>
  </cols>
  <sheetData>
    <row r="1" spans="1:7" x14ac:dyDescent="0.25">
      <c r="A1" s="6" t="s">
        <v>44</v>
      </c>
      <c r="F1" t="s">
        <v>12</v>
      </c>
      <c r="G1" t="s">
        <v>41</v>
      </c>
    </row>
    <row r="2" spans="1:7" x14ac:dyDescent="0.25">
      <c r="A2" t="s">
        <v>12</v>
      </c>
      <c r="F2" t="s">
        <v>37</v>
      </c>
      <c r="G2" t="s">
        <v>43</v>
      </c>
    </row>
    <row r="3" spans="1:7" x14ac:dyDescent="0.25">
      <c r="A3" t="s">
        <v>41</v>
      </c>
      <c r="F3" s="5" t="s">
        <v>40</v>
      </c>
      <c r="G3" t="s">
        <v>45</v>
      </c>
    </row>
    <row r="4" spans="1:7" x14ac:dyDescent="0.25">
      <c r="A4" t="s">
        <v>13</v>
      </c>
    </row>
    <row r="5" spans="1:7" x14ac:dyDescent="0.25">
      <c r="A5" s="3" t="s">
        <v>18</v>
      </c>
    </row>
  </sheetData>
  <dataValidations count="1">
    <dataValidation type="list" allowBlank="1" showInputMessage="1" showErrorMessage="1" sqref="A5" xr:uid="{CA02A1E7-7F8B-4366-B3D8-3CEE4A6D4640}">
      <formula1>categorias</formula1>
    </dataValidation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Movil 51</vt:lpstr>
      <vt:lpstr>Inventario general</vt:lpstr>
      <vt:lpstr>Configuracion</vt:lpstr>
      <vt:lpstr>Bolsos</vt:lpstr>
      <vt:lpstr>categorias</vt:lpstr>
      <vt:lpstr>Medidas</vt:lpstr>
      <vt:lpstr>validacion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2018-07-04T02:10:37Z</dcterms:modified>
</cp:coreProperties>
</file>