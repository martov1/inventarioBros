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filterPrivacy="1" codeName="ThisWorkbook"/>
  <xr:revisionPtr revIDLastSave="0" documentId="10_ncr:8100000_{66C6C9B7-987B-440C-B4AF-42D53EF9E70A}" xr6:coauthVersionLast="34" xr6:coauthVersionMax="34" xr10:uidLastSave="{00000000-0000-0000-0000-000000000000}"/>
  <bookViews>
    <workbookView xWindow="0" yWindow="0" windowWidth="22260" windowHeight="12645" xr2:uid="{00000000-000D-0000-FFFF-FFFF00000000}"/>
  </bookViews>
  <sheets>
    <sheet name="Movil 51" sheetId="1" r:id="rId1"/>
    <sheet name="Inventario general" sheetId="2" r:id="rId2"/>
    <sheet name="Configuracion" sheetId="3" r:id="rId3"/>
  </sheets>
  <functionGroups builtInGroupCount="19"/>
  <definedNames>
    <definedName name="Bolsos">Table2[Bolsos]</definedName>
    <definedName name="ca">#REF!</definedName>
    <definedName name="categorias">Table4[[#All],[Categorias disponibles]]</definedName>
    <definedName name="Medidas">Table3[#All]</definedName>
    <definedName name="validacion">Table3[#All]</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13" i="1" l="1"/>
  <c r="B105" i="1"/>
  <c r="B77" i="1"/>
  <c r="B43" i="1"/>
  <c r="B76" i="1"/>
  <c r="B25" i="1"/>
</calcChain>
</file>

<file path=xl/sharedStrings.xml><?xml version="1.0" encoding="utf-8"?>
<sst xmlns="http://schemas.openxmlformats.org/spreadsheetml/2006/main" count="677" uniqueCount="262">
  <si>
    <t>Categoria</t>
  </si>
  <si>
    <t>Descripcion</t>
  </si>
  <si>
    <t>Medidas</t>
  </si>
  <si>
    <t>marca</t>
  </si>
  <si>
    <t>N/ de serie</t>
  </si>
  <si>
    <t>Cajoneras</t>
  </si>
  <si>
    <t>Cajonera 2</t>
  </si>
  <si>
    <t>Cajonera 3</t>
  </si>
  <si>
    <t>Interior</t>
  </si>
  <si>
    <t>Cajonera 1</t>
  </si>
  <si>
    <t>Cajonera 4</t>
  </si>
  <si>
    <t>Cajonera 5</t>
  </si>
  <si>
    <t>Tramos</t>
  </si>
  <si>
    <t>Herramientas electricas</t>
  </si>
  <si>
    <t>Cajonera</t>
  </si>
  <si>
    <t>Tablas auxiliares del movil</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</si>
  <si>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</si>
  <si>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</si>
  <si>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</si>
  <si>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</si>
  <si>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</si>
  <si>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</si>
  <si>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</si>
  <si>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</si>
  <si>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</si>
  <si>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</si>
  <si>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</si>
  <si>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</si>
  <si>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</si>
  <si>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</si>
  <si>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</si>
  <si>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</si>
  <si>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</si>
  <si>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cantidad</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</si>
  <si>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</si>
  <si>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</si>
  <si>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</si>
  <si>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</si>
  <si>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</si>
  <si>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</si>
  <si>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</si>
  <si>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</si>
  <si>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</si>
  <si>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</si>
  <si>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</si>
  <si>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</si>
  <si>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</si>
  <si>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</si>
  <si>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</si>
  <si>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</si>
  <si>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</si>
  <si>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</si>
  <si>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</si>
  <si>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</si>
  <si>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</si>
  <si>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</si>
  <si>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</si>
  <si>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Conos de transito</t>
  </si>
  <si>
    <t>Trineo</t>
  </si>
  <si>
    <t>45S-45S</t>
  </si>
  <si>
    <t>kugel-bypp</t>
  </si>
  <si>
    <t>tela</t>
  </si>
  <si>
    <t>63S-38-63S</t>
  </si>
  <si>
    <t>Lanzas especiales</t>
  </si>
  <si>
    <t>lanza de espuma de baja expansion</t>
  </si>
  <si>
    <t>Filtros</t>
  </si>
  <si>
    <t>Filtro para succion</t>
  </si>
  <si>
    <t>63W</t>
  </si>
  <si>
    <t>25S-19D</t>
  </si>
  <si>
    <t>Reductor para extension de devanadera</t>
  </si>
  <si>
    <t>45W-45S</t>
  </si>
  <si>
    <t>63W-63S</t>
  </si>
  <si>
    <t>hembra</t>
  </si>
  <si>
    <t>63S-45S</t>
  </si>
  <si>
    <t>Macho</t>
  </si>
  <si>
    <t>45S-38S</t>
  </si>
  <si>
    <t>45S-25S</t>
  </si>
  <si>
    <t>POK, c/corte rapido, c/reg. De caudal</t>
  </si>
  <si>
    <t>38S</t>
  </si>
  <si>
    <t>lanzas</t>
  </si>
  <si>
    <t>POK, c/corte rapido, s/reg. De caudal</t>
  </si>
  <si>
    <t>Sintetico, amarillo, estiba</t>
  </si>
  <si>
    <t>Sintetico, marron, estiba</t>
  </si>
  <si>
    <t>Tela, azul, estiba</t>
  </si>
  <si>
    <t>63S-38-38S</t>
  </si>
  <si>
    <t>SG3012</t>
  </si>
  <si>
    <t>sintetico marron, 50Mts, estiba</t>
  </si>
  <si>
    <t>38S-38-38S</t>
  </si>
  <si>
    <t>Equipo de rescate</t>
  </si>
  <si>
    <t>Core</t>
  </si>
  <si>
    <t>briggs</t>
  </si>
  <si>
    <t>corta-pedal</t>
  </si>
  <si>
    <t>core</t>
  </si>
  <si>
    <t>Bomba manual para herramientas hidraulicas. No CORE</t>
  </si>
  <si>
    <t>manguera hidraulica</t>
  </si>
  <si>
    <t>CORE</t>
  </si>
  <si>
    <t>Monitor</t>
  </si>
  <si>
    <t>Taco escalonado</t>
  </si>
  <si>
    <t>Color negro, sintetico</t>
  </si>
  <si>
    <t>Tabla espinal</t>
  </si>
  <si>
    <t>2 con spider, 2 con straps</t>
  </si>
  <si>
    <t>Chaleco salvavidas</t>
  </si>
  <si>
    <t>Traje de aproximacion</t>
  </si>
  <si>
    <t>nivel A</t>
  </si>
  <si>
    <t>Caja o bolso</t>
  </si>
  <si>
    <t>Bolso de collares</t>
  </si>
  <si>
    <t>collar G</t>
  </si>
  <si>
    <t>Collar M</t>
  </si>
  <si>
    <t>collar ch</t>
  </si>
  <si>
    <t>collar P</t>
  </si>
  <si>
    <t>dual</t>
  </si>
  <si>
    <t>Ram hidraulico</t>
  </si>
  <si>
    <t>holmatro</t>
  </si>
  <si>
    <t>Herr Multiproposito hidraul.</t>
  </si>
  <si>
    <t>moto-disco</t>
  </si>
  <si>
    <t>2 tiempos</t>
  </si>
  <si>
    <t>still</t>
  </si>
  <si>
    <t>moto-sierra</t>
  </si>
  <si>
    <t>Accesorio EQ. Rescate</t>
  </si>
  <si>
    <t>esquinero para RAM</t>
  </si>
  <si>
    <t>cadenas</t>
  </si>
  <si>
    <t>3m</t>
  </si>
  <si>
    <t>1m</t>
  </si>
  <si>
    <t>Grilletes</t>
  </si>
  <si>
    <t>pequeño</t>
  </si>
  <si>
    <t>mediano</t>
  </si>
  <si>
    <t>grande</t>
  </si>
  <si>
    <t>bidon</t>
  </si>
  <si>
    <t>Para mezcla 2T</t>
  </si>
  <si>
    <t>cubre air-bar</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</si>
  <si>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</si>
  <si>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</si>
  <si>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</si>
  <si>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</si>
  <si>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</si>
  <si>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</si>
  <si>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</si>
  <si>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</si>
  <si>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</si>
  <si>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</si>
  <si>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</si>
  <si>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</si>
  <si>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</si>
  <si>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</si>
  <si>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</si>
  <si>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</si>
  <si>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</si>
  <si>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</si>
  <si>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</si>
  <si>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</si>
  <si>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</si>
  <si>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</si>
  <si>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</si>
  <si>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</si>
  <si>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</si>
  <si>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</si>
  <si>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</si>
  <si>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</si>
  <si>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</si>
  <si>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</si>
  <si>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</si>
  <si>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</si>
  <si>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</si>
  <si>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</si>
  <si>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lampara de prueba</t>
  </si>
  <si>
    <t>Barra de corte electrico para tercer riel</t>
  </si>
  <si>
    <t>pinza de madera para manipular cables</t>
  </si>
  <si>
    <t>Bolso de trauma</t>
  </si>
  <si>
    <t>collar CH</t>
  </si>
  <si>
    <t>Ambù con bolsa de Oxigenacion</t>
  </si>
  <si>
    <t>Ambù sin bolsa de Oxigenacion</t>
  </si>
  <si>
    <t>Dispositivo de succion manual</t>
  </si>
  <si>
    <t>Rollo papel aluminio</t>
  </si>
  <si>
    <t>Mascara RCP</t>
  </si>
  <si>
    <t>Tijera de trauma</t>
  </si>
  <si>
    <t>Caja de tacos</t>
  </si>
  <si>
    <t>Taco 30cm*6cm*4cm</t>
  </si>
  <si>
    <t>Taco cuña 45cm*13cm*47cm</t>
  </si>
  <si>
    <t>Tacos varios</t>
  </si>
  <si>
    <t>Material electrico</t>
  </si>
  <si>
    <t>Alargue en rollo</t>
  </si>
  <si>
    <t>44Mts</t>
  </si>
  <si>
    <t>Herramienta de brecheo</t>
  </si>
  <si>
    <t>Ariete</t>
  </si>
  <si>
    <t>cubre air-bag</t>
  </si>
  <si>
    <t>Herramienta manual</t>
  </si>
  <si>
    <t>Cortaperno</t>
  </si>
  <si>
    <t>Grande</t>
  </si>
  <si>
    <t>Pequeño</t>
  </si>
  <si>
    <t>Hooligan</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</si>
  <si>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</si>
  <si>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</si>
  <si>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</si>
  <si>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</si>
  <si>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</si>
  <si>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</si>
  <si>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</si>
  <si>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</si>
  <si>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</si>
  <si>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</si>
  <si>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</si>
  <si>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</si>
  <si>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</si>
  <si>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</si>
  <si>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</si>
  <si>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</si>
  <si>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</si>
  <si>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63S-63S-63S</t>
  </si>
  <si>
    <t>63S-63S-63S-63S</t>
  </si>
  <si>
    <t>Sierra para parabrisas manual</t>
  </si>
  <si>
    <t>llave stillson</t>
  </si>
  <si>
    <t>Corta fierro</t>
  </si>
  <si>
    <t>Masa 10kg</t>
  </si>
  <si>
    <t>Amoladora 220V</t>
  </si>
  <si>
    <t>Sierra sable 220V</t>
  </si>
  <si>
    <t>bosch</t>
  </si>
  <si>
    <t>makita</t>
  </si>
  <si>
    <t>JR3070CT</t>
  </si>
  <si>
    <t>GSA1100E-3-601F4c-8H0</t>
  </si>
  <si>
    <t>180mm</t>
  </si>
  <si>
    <t>KG1820</t>
  </si>
  <si>
    <t xml:space="preserve"> black &amp; decker</t>
  </si>
  <si>
    <t>115mm</t>
  </si>
  <si>
    <t>Bolso para cadaveres</t>
  </si>
  <si>
    <t>Traje de aproximacion C</t>
  </si>
  <si>
    <t>Guantes para cadaveres</t>
  </si>
  <si>
    <t>Lentes para proteccion ocular</t>
  </si>
  <si>
    <t>EPR</t>
  </si>
  <si>
    <t>Atalajes</t>
  </si>
  <si>
    <t>cilindros</t>
  </si>
  <si>
    <t>Cuerda de izado</t>
  </si>
  <si>
    <t>cuerda de izado</t>
  </si>
  <si>
    <t>Sensor de campo electrico</t>
  </si>
  <si>
    <t>Baston de deteccion de campo electromagnetico</t>
  </si>
  <si>
    <t>HotStick</t>
  </si>
  <si>
    <t>Lapiz de deteccion de campo electromagnetico</t>
  </si>
  <si>
    <t>Manta ignifuga</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</si>
  <si>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</si>
  <si>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</si>
  <si>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</si>
  <si>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</si>
  <si>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</si>
  <si>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</si>
  <si>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</si>
  <si>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</si>
  <si>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</si>
  <si>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</si>
  <si>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</si>
  <si>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</si>
  <si>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</si>
  <si>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</si>
  <si>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</si>
  <si>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</si>
  <si>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</si>
  <si>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</si>
  <si>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</si>
  <si>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</si>
  <si>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</si>
  <si>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</si>
  <si>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</si>
  <si>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</si>
  <si>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Baofeng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</si>
</sst>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4">
    <border>
      <left/>
      <right/>
      <top/>
      <bottom/>
      <diagonal/>
    </border>
    <border>
      <left/>
      <right/>
      <top/>
      <bottom style="thin">
        <color indexed="64"/>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1">
    <xf numFmtId="0" fontId="0" fillId="0" borderId="0" xfId="0"/>
    <xf numFmtId="0" fontId="1" fillId="2" borderId="0" xfId="1"/>
    <xf numFmtId="0" fontId="0" fillId="0" borderId="0" xfId="0" applyAlignment="1">
      <alignment wrapText="1"/>
    </xf>
    <xf numFmtId="0" fontId="0" fillId="0" borderId="0" xfId="0" applyAlignment="1">
      <alignment horizontal="center" vertical="center"/>
    </xf>
    <xf numFmtId="0" fontId="0" fillId="0" borderId="0" xfId="0" applyAlignment="1">
      <alignment horizontal="center" vertical="center" wrapText="1"/>
    </xf>
    <xf numFmtId="0" fontId="2" fillId="3" borderId="3" xfId="0" applyFont="1" applyFill="1" applyBorder="1"/>
    <xf numFmtId="0" fontId="0" fillId="0" borderId="0" xfId="0" applyFont="1" applyBorder="1"/>
    <xf numFmtId="0" fontId="0" fillId="0" borderId="2" xfId="0" applyBorder="1"/>
    <xf numFmtId="0" fontId="0" fillId="0" borderId="0" xfId="0" applyBorder="1"/>
    <xf numFmtId="0" fontId="1" fillId="2" borderId="0" xfId="1" applyBorder="1" applyAlignment="1">
      <alignment horizontal="center"/>
    </xf>
    <xf numFmtId="0" fontId="1" fillId="2" borderId="1" xfId="1" applyBorder="1" applyAlignment="1">
      <alignment horizontal="center"/>
    </xf>
  </cellXfs>
  <cellStyles count="2">
    <cellStyle name="Accent1" xfId="1" builtinId="29"/>
    <cellStyle name="Normal" xfId="0" builtinId="0"/>
  </cellStyles>
  <dxfs count="11">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border outline="0">
        <top style="thin">
          <color indexed="64"/>
        </top>
      </border>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G118" totalsRowShown="0" dataDxfId="10">
  <autoFilter ref="A1:G118" xr:uid="{00000000-0009-0000-0100-000001000000}"/>
  <sortState ref="A2:G25">
    <sortCondition ref="C1:C25"/>
  </sortState>
  <tableColumns count="7">
    <tableColumn id="1" xr3:uid="{00000000-0010-0000-0000-000001000000}" name="Categoria" dataDxfId="9"/>
    <tableColumn id="2" xr3:uid="{00000000-0010-0000-0000-000002000000}" name="Descripcion" dataDxfId="8"/>
    <tableColumn id="3" xr3:uid="{00000000-0010-0000-0000-000003000000}" name="Medidas" dataDxfId="7"/>
    <tableColumn id="4" xr3:uid="{00000000-0010-0000-0000-000004000000}" name="marca" dataDxfId="6"/>
    <tableColumn id="5" xr3:uid="{00000000-0010-0000-0000-000005000000}" name="N/ de serie" dataDxfId="5"/>
    <tableColumn id="6" xr3:uid="{00000000-0010-0000-0000-000006000000}" name="Cajonera" dataDxfId="4"/>
    <tableColumn id="7" xr3:uid="{20A560DE-96A4-4C20-8E3B-6987DAD27B3D}" name="cantidad" dataDxfId="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I3:K46" totalsRowShown="0">
  <autoFilter ref="I3:K46" xr:uid="{00000000-0009-0000-0100-000006000000}"/>
  <tableColumns count="3">
    <tableColumn id="1" xr3:uid="{00000000-0010-0000-0100-000001000000}" name="Material"/>
    <tableColumn id="2" xr3:uid="{00000000-0010-0000-0100-000002000000}"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M3:M10" totalsRowShown="0">
  <autoFilter ref="M3:M10"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B22E9F0-FFB6-4EED-8740-C027541DE089}" name="Table7" displayName="Table7" ref="Q4:Q11" totalsRowShown="0" tableBorderDxfId="2" headerRowCellStyle="Accent1">
  <autoFilter ref="Q4:Q11" xr:uid="{D39E5231-2489-4CBD-A235-DB0A69727AA9}"/>
  <tableColumns count="1">
    <tableColumn id="1" xr3:uid="{5ACBA6EC-1268-4382-B64B-4CF8C06EE06C}" name="Cajoneras"/>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0" totalsRowShown="0">
  <autoFilter ref="F1:S10"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53" totalsRowShown="0" headerRowDxfId="1" tableBorderDxfId="0">
  <autoFilter ref="A1:A53" xr:uid="{174CB354-0B9D-4924-BB13-8A0DA131CB54}"/>
  <sortState ref="A2:A10">
    <sortCondition ref="A1:A10"/>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T118"/>
  <sheetViews>
    <sheetView tabSelected="1" workbookViewId="0">
      <pane ySplit="1" topLeftCell="A116" activePane="bottomLeft" state="frozen"/>
      <selection pane="bottomLeft" activeCell="B125" sqref="B125"/>
    </sheetView>
  </sheetViews>
  <sheetFormatPr defaultRowHeight="15" x14ac:dyDescent="0.25"/>
  <cols>
    <col min="1" max="1" width="26.42578125" bestFit="1" customWidth="1"/>
    <col min="2" max="2" width="39" style="2" customWidth="1"/>
    <col min="3" max="3" width="14.5703125" customWidth="1"/>
    <col min="4" max="4" width="13.28515625" customWidth="1"/>
    <col min="5" max="5" width="23.7109375" customWidth="1"/>
    <col min="6" max="6" width="11.140625" bestFit="1" customWidth="1"/>
    <col min="7" max="7" width="10.85546875" bestFit="1" customWidth="1"/>
    <col min="8" max="8" width="13.140625" customWidth="1"/>
    <col min="9" max="9" width="21" bestFit="1" customWidth="1"/>
    <col min="10" max="11" width="21.5703125" bestFit="1" customWidth="1"/>
    <col min="13" max="13" width="26" customWidth="1"/>
    <col min="17" max="17" width="11.85546875" customWidth="1"/>
  </cols>
  <sheetData>
    <row r="1" spans="1:20" x14ac:dyDescent="0.25">
      <c r="A1" t="s">
        <v>0</v>
      </c>
      <c r="B1" s="2" t="s">
        <v>1</v>
      </c>
      <c r="C1" t="s">
        <v>2</v>
      </c>
      <c r="D1" t="s">
        <v>3</v>
      </c>
      <c r="E1" t="s">
        <v>4</v>
      </c>
      <c r="F1" t="s">
        <v>14</v>
      </c>
      <c r="G1" t="s">
        <v>33</v>
      </c>
    </row>
    <row r="2" spans="1:20" x14ac:dyDescent="0.25">
      <c r="A2" s="3" t="s">
        <v>38</v>
      </c>
      <c r="B2" s="4" t="s">
        <v>42</v>
      </c>
      <c r="C2" s="3" t="s">
        <v>40</v>
      </c>
      <c r="D2" s="3" t="s">
        <v>29</v>
      </c>
      <c r="E2" s="3" t="s">
        <v>29</v>
      </c>
      <c r="F2" s="3" t="s">
        <v>39</v>
      </c>
      <c r="G2" s="3">
        <v>1</v>
      </c>
    </row>
    <row r="3" spans="1:20" x14ac:dyDescent="0.25">
      <c r="A3" s="3" t="s">
        <v>43</v>
      </c>
      <c r="B3" s="4" t="s">
        <v>45</v>
      </c>
      <c r="C3" s="3" t="s">
        <v>44</v>
      </c>
      <c r="D3" s="3" t="s">
        <v>29</v>
      </c>
      <c r="E3" s="3" t="s">
        <v>29</v>
      </c>
      <c r="F3" s="3" t="s">
        <v>39</v>
      </c>
      <c r="G3" s="3">
        <v>2</v>
      </c>
      <c r="I3" t="s">
        <v>18</v>
      </c>
      <c r="J3" t="s">
        <v>20</v>
      </c>
      <c r="K3" t="s">
        <v>16</v>
      </c>
      <c r="M3" t="s">
        <v>30</v>
      </c>
      <c r="Q3" s="9" t="s">
        <v>15</v>
      </c>
      <c r="R3" s="10"/>
      <c r="S3" s="10"/>
      <c r="T3" s="10"/>
    </row>
    <row r="4" spans="1:20" x14ac:dyDescent="0.25">
      <c r="A4" s="3" t="s">
        <v>47</v>
      </c>
      <c r="B4" s="4" t="s">
        <v>69</v>
      </c>
      <c r="C4" s="3" t="s">
        <v>68</v>
      </c>
      <c r="D4" s="3" t="s">
        <v>29</v>
      </c>
      <c r="E4" s="3" t="s">
        <v>29</v>
      </c>
      <c r="F4" s="3" t="s">
        <v>7</v>
      </c>
      <c r="G4" s="3">
        <v>1</v>
      </c>
      <c r="I4" t="s">
        <v>19</v>
      </c>
      <c r="J4">
        <v>2</v>
      </c>
      <c r="K4" t="s">
        <v>17</v>
      </c>
      <c r="M4" t="s">
        <v>17</v>
      </c>
      <c r="Q4" s="1" t="s">
        <v>5</v>
      </c>
    </row>
    <row r="5" spans="1:20" x14ac:dyDescent="0.25">
      <c r="A5" s="3" t="s">
        <v>63</v>
      </c>
      <c r="B5" s="4" t="s">
        <v>64</v>
      </c>
      <c r="C5" s="3" t="s">
        <v>36</v>
      </c>
      <c r="D5" s="3" t="s">
        <v>29</v>
      </c>
      <c r="E5" s="3" t="s">
        <v>29</v>
      </c>
      <c r="F5" s="3" t="s">
        <v>7</v>
      </c>
      <c r="G5" s="3">
        <v>1</v>
      </c>
      <c r="I5" t="s">
        <v>21</v>
      </c>
      <c r="J5">
        <v>2</v>
      </c>
      <c r="K5" t="s">
        <v>17</v>
      </c>
      <c r="M5" t="s">
        <v>31</v>
      </c>
      <c r="Q5" t="s">
        <v>9</v>
      </c>
    </row>
    <row r="6" spans="1:20" x14ac:dyDescent="0.25">
      <c r="A6" s="3" t="s">
        <v>47</v>
      </c>
      <c r="B6" s="4"/>
      <c r="C6" s="3" t="s">
        <v>76</v>
      </c>
      <c r="D6" s="3" t="s">
        <v>29</v>
      </c>
      <c r="E6" s="3" t="s">
        <v>29</v>
      </c>
      <c r="F6" s="3" t="s">
        <v>7</v>
      </c>
      <c r="G6" s="3">
        <v>1</v>
      </c>
      <c r="I6" t="s">
        <v>22</v>
      </c>
      <c r="J6">
        <v>1</v>
      </c>
      <c r="K6" t="s">
        <v>17</v>
      </c>
      <c r="M6" t="s">
        <v>105</v>
      </c>
      <c r="Q6" t="s">
        <v>6</v>
      </c>
    </row>
    <row r="7" spans="1:20" x14ac:dyDescent="0.25">
      <c r="A7" s="3" t="s">
        <v>47</v>
      </c>
      <c r="B7" s="4"/>
      <c r="C7" s="3" t="s">
        <v>75</v>
      </c>
      <c r="D7" s="3" t="s">
        <v>29</v>
      </c>
      <c r="E7" s="3" t="s">
        <v>29</v>
      </c>
      <c r="F7" s="3" t="s">
        <v>7</v>
      </c>
      <c r="G7" s="3">
        <v>1</v>
      </c>
      <c r="I7" t="s">
        <v>23</v>
      </c>
      <c r="J7">
        <v>1</v>
      </c>
      <c r="K7" t="s">
        <v>17</v>
      </c>
      <c r="M7" t="s">
        <v>167</v>
      </c>
      <c r="Q7" t="s">
        <v>7</v>
      </c>
    </row>
    <row r="8" spans="1:20" x14ac:dyDescent="0.25">
      <c r="A8" s="3" t="s">
        <v>58</v>
      </c>
      <c r="B8" s="4"/>
      <c r="C8" s="3" t="s">
        <v>59</v>
      </c>
      <c r="D8" s="3" t="s">
        <v>60</v>
      </c>
      <c r="E8" s="3">
        <v>30674</v>
      </c>
      <c r="F8" s="3" t="s">
        <v>7</v>
      </c>
      <c r="G8" s="3">
        <v>1</v>
      </c>
      <c r="I8" t="s">
        <v>24</v>
      </c>
      <c r="J8">
        <v>1</v>
      </c>
      <c r="K8" t="s">
        <v>17</v>
      </c>
      <c r="M8" t="s">
        <v>175</v>
      </c>
      <c r="Q8" t="s">
        <v>10</v>
      </c>
    </row>
    <row r="9" spans="1:20" x14ac:dyDescent="0.25">
      <c r="A9" s="3" t="s">
        <v>46</v>
      </c>
      <c r="B9" s="4"/>
      <c r="C9" s="3" t="s">
        <v>70</v>
      </c>
      <c r="D9" s="3" t="s">
        <v>29</v>
      </c>
      <c r="E9" s="3" t="s">
        <v>29</v>
      </c>
      <c r="F9" s="3" t="s">
        <v>7</v>
      </c>
      <c r="G9" s="3">
        <v>1</v>
      </c>
      <c r="I9" t="s">
        <v>26</v>
      </c>
      <c r="J9">
        <v>1</v>
      </c>
      <c r="K9" t="s">
        <v>17</v>
      </c>
      <c r="M9" t="s">
        <v>223</v>
      </c>
      <c r="Q9" t="s">
        <v>11</v>
      </c>
    </row>
    <row r="10" spans="1:20" ht="30" x14ac:dyDescent="0.25">
      <c r="A10" s="3" t="s">
        <v>46</v>
      </c>
      <c r="B10" s="4" t="s">
        <v>72</v>
      </c>
      <c r="C10" s="3" t="s">
        <v>70</v>
      </c>
      <c r="D10" s="3" t="s">
        <v>29</v>
      </c>
      <c r="E10" s="3" t="s">
        <v>29</v>
      </c>
      <c r="F10" s="3" t="s">
        <v>7</v>
      </c>
      <c r="G10" s="3">
        <v>1</v>
      </c>
      <c r="I10" t="s">
        <v>27</v>
      </c>
      <c r="J10">
        <v>1</v>
      </c>
      <c r="K10" t="s">
        <v>17</v>
      </c>
      <c r="M10" t="s">
        <v>31</v>
      </c>
      <c r="Q10" t="s">
        <v>8</v>
      </c>
    </row>
    <row r="11" spans="1:20" x14ac:dyDescent="0.25">
      <c r="A11" s="3" t="s">
        <v>46</v>
      </c>
      <c r="B11" s="4"/>
      <c r="C11" s="3" t="s">
        <v>70</v>
      </c>
      <c r="D11" s="3" t="s">
        <v>29</v>
      </c>
      <c r="E11" s="3" t="s">
        <v>29</v>
      </c>
      <c r="F11" s="3" t="s">
        <v>7</v>
      </c>
      <c r="G11" s="3">
        <v>1</v>
      </c>
      <c r="I11" t="s">
        <v>28</v>
      </c>
      <c r="J11">
        <v>4</v>
      </c>
      <c r="K11" t="s">
        <v>17</v>
      </c>
      <c r="Q11" t="s">
        <v>39</v>
      </c>
    </row>
    <row r="12" spans="1:20" x14ac:dyDescent="0.25">
      <c r="A12" s="3" t="s">
        <v>35</v>
      </c>
      <c r="B12" s="4" t="s">
        <v>54</v>
      </c>
      <c r="C12" s="3" t="s">
        <v>55</v>
      </c>
      <c r="D12" s="3" t="s">
        <v>29</v>
      </c>
      <c r="E12" s="3" t="s">
        <v>29</v>
      </c>
      <c r="F12" s="3" t="s">
        <v>7</v>
      </c>
      <c r="G12" s="3">
        <v>1</v>
      </c>
      <c r="I12" t="s">
        <v>25</v>
      </c>
      <c r="J12">
        <v>1</v>
      </c>
      <c r="K12" t="s">
        <v>17</v>
      </c>
    </row>
    <row r="13" spans="1:20" x14ac:dyDescent="0.25">
      <c r="A13" s="3" t="s">
        <v>12</v>
      </c>
      <c r="B13" s="4" t="s">
        <v>61</v>
      </c>
      <c r="C13" s="3" t="s">
        <v>62</v>
      </c>
      <c r="D13" s="3" t="s">
        <v>29</v>
      </c>
      <c r="E13" s="3" t="s">
        <v>29</v>
      </c>
      <c r="F13" s="3" t="s">
        <v>7</v>
      </c>
      <c r="G13" s="3">
        <v>1</v>
      </c>
      <c r="I13" t="s">
        <v>106</v>
      </c>
      <c r="J13">
        <v>7</v>
      </c>
      <c r="K13" t="s">
        <v>105</v>
      </c>
    </row>
    <row r="14" spans="1:20" x14ac:dyDescent="0.25">
      <c r="A14" s="3" t="s">
        <v>47</v>
      </c>
      <c r="B14" s="4"/>
      <c r="C14" s="3" t="s">
        <v>48</v>
      </c>
      <c r="D14" s="3" t="s">
        <v>29</v>
      </c>
      <c r="E14" s="3" t="s">
        <v>29</v>
      </c>
      <c r="F14" s="3" t="s">
        <v>7</v>
      </c>
      <c r="G14" s="3">
        <v>1</v>
      </c>
      <c r="I14" t="s">
        <v>107</v>
      </c>
      <c r="J14">
        <v>2</v>
      </c>
      <c r="K14" t="s">
        <v>105</v>
      </c>
    </row>
    <row r="15" spans="1:20" x14ac:dyDescent="0.25">
      <c r="A15" s="3" t="s">
        <v>47</v>
      </c>
      <c r="B15" s="4"/>
      <c r="C15" s="3" t="s">
        <v>48</v>
      </c>
      <c r="D15" s="3" t="s">
        <v>29</v>
      </c>
      <c r="E15" s="3" t="s">
        <v>29</v>
      </c>
      <c r="F15" s="3" t="s">
        <v>7</v>
      </c>
      <c r="G15" s="3">
        <v>2</v>
      </c>
      <c r="I15" t="s">
        <v>108</v>
      </c>
      <c r="J15">
        <v>3</v>
      </c>
      <c r="K15" t="s">
        <v>105</v>
      </c>
    </row>
    <row r="16" spans="1:20" x14ac:dyDescent="0.25">
      <c r="A16" s="3" t="s">
        <v>47</v>
      </c>
      <c r="B16" s="4"/>
      <c r="C16" s="3" t="s">
        <v>73</v>
      </c>
      <c r="D16" s="3" t="s">
        <v>29</v>
      </c>
      <c r="E16" s="3" t="s">
        <v>29</v>
      </c>
      <c r="F16" s="3" t="s">
        <v>7</v>
      </c>
      <c r="G16" s="3">
        <v>3</v>
      </c>
      <c r="I16" t="s">
        <v>109</v>
      </c>
      <c r="J16">
        <v>1</v>
      </c>
      <c r="K16" t="s">
        <v>105</v>
      </c>
    </row>
    <row r="17" spans="1:11" x14ac:dyDescent="0.25">
      <c r="A17" s="3" t="s">
        <v>12</v>
      </c>
      <c r="B17" s="4" t="s">
        <v>52</v>
      </c>
      <c r="C17" s="3" t="s">
        <v>34</v>
      </c>
      <c r="D17" s="3" t="s">
        <v>29</v>
      </c>
      <c r="E17" s="3" t="s">
        <v>29</v>
      </c>
      <c r="F17" s="3" t="s">
        <v>7</v>
      </c>
      <c r="G17" s="3">
        <v>4</v>
      </c>
      <c r="I17" t="s">
        <v>107</v>
      </c>
      <c r="J17">
        <v>3</v>
      </c>
      <c r="K17" t="s">
        <v>167</v>
      </c>
    </row>
    <row r="18" spans="1:11" x14ac:dyDescent="0.25">
      <c r="A18" s="3" t="s">
        <v>65</v>
      </c>
      <c r="B18" s="4" t="s">
        <v>66</v>
      </c>
      <c r="C18" s="3" t="s">
        <v>67</v>
      </c>
      <c r="D18" s="3" t="s">
        <v>29</v>
      </c>
      <c r="E18" s="3" t="s">
        <v>29</v>
      </c>
      <c r="F18" s="3" t="s">
        <v>7</v>
      </c>
      <c r="G18" s="3">
        <v>1</v>
      </c>
      <c r="I18" t="s">
        <v>168</v>
      </c>
      <c r="J18">
        <v>1</v>
      </c>
      <c r="K18" t="s">
        <v>167</v>
      </c>
    </row>
    <row r="19" spans="1:11" x14ac:dyDescent="0.25">
      <c r="A19" s="3" t="s">
        <v>46</v>
      </c>
      <c r="B19" s="4" t="s">
        <v>74</v>
      </c>
      <c r="C19" s="3" t="s">
        <v>71</v>
      </c>
      <c r="D19" s="3" t="s">
        <v>29</v>
      </c>
      <c r="E19" s="3" t="s">
        <v>29</v>
      </c>
      <c r="F19" s="3" t="s">
        <v>7</v>
      </c>
      <c r="G19" s="3">
        <v>1</v>
      </c>
      <c r="I19" t="s">
        <v>169</v>
      </c>
      <c r="J19">
        <v>1</v>
      </c>
      <c r="K19" t="s">
        <v>167</v>
      </c>
    </row>
    <row r="20" spans="1:11" x14ac:dyDescent="0.25">
      <c r="A20" s="3" t="s">
        <v>46</v>
      </c>
      <c r="B20" s="4"/>
      <c r="C20" s="3" t="s">
        <v>71</v>
      </c>
      <c r="D20" s="3" t="s">
        <v>29</v>
      </c>
      <c r="E20" s="3" t="s">
        <v>29</v>
      </c>
      <c r="F20" s="3" t="s">
        <v>7</v>
      </c>
      <c r="G20" s="3">
        <v>1</v>
      </c>
      <c r="I20" t="s">
        <v>170</v>
      </c>
      <c r="J20">
        <v>1</v>
      </c>
      <c r="K20" t="s">
        <v>167</v>
      </c>
    </row>
    <row r="21" spans="1:11" x14ac:dyDescent="0.25">
      <c r="A21" s="3" t="s">
        <v>38</v>
      </c>
      <c r="B21" s="4" t="s">
        <v>42</v>
      </c>
      <c r="C21" s="3" t="s">
        <v>41</v>
      </c>
      <c r="D21" s="3" t="s">
        <v>29</v>
      </c>
      <c r="E21" s="3" t="s">
        <v>29</v>
      </c>
      <c r="F21" s="3" t="s">
        <v>39</v>
      </c>
      <c r="G21" s="3">
        <v>1</v>
      </c>
      <c r="I21" t="s">
        <v>171</v>
      </c>
      <c r="J21">
        <v>1</v>
      </c>
      <c r="K21" t="s">
        <v>167</v>
      </c>
    </row>
    <row r="22" spans="1:11" x14ac:dyDescent="0.25">
      <c r="A22" s="3" t="s">
        <v>49</v>
      </c>
      <c r="B22" s="4"/>
      <c r="C22" s="3"/>
      <c r="D22" s="3" t="s">
        <v>50</v>
      </c>
      <c r="E22" s="3" t="s">
        <v>29</v>
      </c>
      <c r="F22" s="3" t="s">
        <v>7</v>
      </c>
      <c r="G22" s="3">
        <v>1</v>
      </c>
      <c r="I22" t="s">
        <v>172</v>
      </c>
      <c r="J22">
        <v>1</v>
      </c>
      <c r="K22" t="s">
        <v>167</v>
      </c>
    </row>
    <row r="23" spans="1:11" x14ac:dyDescent="0.25">
      <c r="A23" s="3" t="s">
        <v>49</v>
      </c>
      <c r="B23" s="4"/>
      <c r="C23" s="3"/>
      <c r="D23" s="3" t="s">
        <v>51</v>
      </c>
      <c r="E23" s="3" t="s">
        <v>29</v>
      </c>
      <c r="F23" s="3" t="s">
        <v>7</v>
      </c>
      <c r="G23" s="3">
        <v>3</v>
      </c>
      <c r="I23" t="s">
        <v>173</v>
      </c>
      <c r="J23">
        <v>2</v>
      </c>
      <c r="K23" t="s">
        <v>167</v>
      </c>
    </row>
    <row r="24" spans="1:11" x14ac:dyDescent="0.25">
      <c r="A24" s="3" t="s">
        <v>56</v>
      </c>
      <c r="B24" s="4" t="s">
        <v>57</v>
      </c>
      <c r="C24" s="3"/>
      <c r="D24" s="3" t="s">
        <v>29</v>
      </c>
      <c r="E24" s="3" t="s">
        <v>29</v>
      </c>
      <c r="F24" s="3" t="s">
        <v>7</v>
      </c>
      <c r="G24" s="3">
        <v>6</v>
      </c>
      <c r="I24" t="s">
        <v>174</v>
      </c>
      <c r="J24">
        <v>1</v>
      </c>
      <c r="K24" t="s">
        <v>167</v>
      </c>
    </row>
    <row r="25" spans="1:11" ht="75" x14ac:dyDescent="0.25">
      <c r="A25" s="3" t="s">
        <v>104</v>
      </c>
      <c r="B25" s="4" t="str">
        <f>bolso("Caja de herramientas 1",Table6[])</f>
        <v xml:space="preserve">Caja de herramientas 1 Contiene:  Pico de loro x2,  Martillo x2,  Alicate x1,  Tijera para chapa x1,  llave fija 17mm x1,  pinza de punta x1,  llave stilson x1,  Llave union x4,  pinza x1, </v>
      </c>
      <c r="C25" s="3"/>
      <c r="D25" s="3" t="s">
        <v>29</v>
      </c>
      <c r="E25" s="3" t="s">
        <v>29</v>
      </c>
      <c r="F25" s="3" t="s">
        <v>6</v>
      </c>
      <c r="G25" s="3">
        <v>1</v>
      </c>
      <c r="I25" t="s">
        <v>176</v>
      </c>
      <c r="J25">
        <v>10</v>
      </c>
      <c r="K25" t="s">
        <v>175</v>
      </c>
    </row>
    <row r="26" spans="1:11" x14ac:dyDescent="0.25">
      <c r="A26" s="3" t="s">
        <v>35</v>
      </c>
      <c r="B26" s="4" t="s">
        <v>77</v>
      </c>
      <c r="C26" s="3" t="s">
        <v>36</v>
      </c>
      <c r="D26" s="3" t="s">
        <v>29</v>
      </c>
      <c r="E26" s="3">
        <v>2130600061</v>
      </c>
      <c r="F26" s="3" t="s">
        <v>6</v>
      </c>
      <c r="G26" s="3">
        <v>2</v>
      </c>
      <c r="I26" t="s">
        <v>177</v>
      </c>
      <c r="J26">
        <v>4</v>
      </c>
      <c r="K26" t="s">
        <v>175</v>
      </c>
    </row>
    <row r="27" spans="1:11" x14ac:dyDescent="0.25">
      <c r="A27" s="3" t="s">
        <v>35</v>
      </c>
      <c r="B27" s="4" t="s">
        <v>80</v>
      </c>
      <c r="C27" s="3" t="s">
        <v>78</v>
      </c>
      <c r="D27" s="3" t="s">
        <v>29</v>
      </c>
      <c r="E27" s="3" t="s">
        <v>29</v>
      </c>
      <c r="F27" s="3" t="s">
        <v>6</v>
      </c>
      <c r="G27" s="3"/>
      <c r="I27" t="s">
        <v>178</v>
      </c>
      <c r="J27">
        <v>3</v>
      </c>
      <c r="K27" t="s">
        <v>175</v>
      </c>
    </row>
    <row r="28" spans="1:11" x14ac:dyDescent="0.25">
      <c r="A28" s="3" t="s">
        <v>12</v>
      </c>
      <c r="B28" s="4" t="s">
        <v>81</v>
      </c>
      <c r="C28" s="3" t="s">
        <v>32</v>
      </c>
      <c r="D28" s="3" t="s">
        <v>29</v>
      </c>
      <c r="E28" s="3" t="s">
        <v>29</v>
      </c>
      <c r="F28" s="3" t="s">
        <v>6</v>
      </c>
      <c r="G28" s="3">
        <v>3</v>
      </c>
      <c r="I28" t="s">
        <v>224</v>
      </c>
      <c r="J28">
        <v>3</v>
      </c>
      <c r="K28" t="s">
        <v>223</v>
      </c>
    </row>
    <row r="29" spans="1:11" x14ac:dyDescent="0.25">
      <c r="A29" s="3" t="s">
        <v>12</v>
      </c>
      <c r="B29" s="4" t="s">
        <v>83</v>
      </c>
      <c r="C29" s="3" t="s">
        <v>32</v>
      </c>
      <c r="D29" s="3" t="s">
        <v>29</v>
      </c>
      <c r="E29" s="3" t="s">
        <v>29</v>
      </c>
      <c r="F29" s="3" t="s">
        <v>6</v>
      </c>
      <c r="G29" s="3">
        <v>1</v>
      </c>
      <c r="I29" t="s">
        <v>225</v>
      </c>
      <c r="J29">
        <v>2</v>
      </c>
      <c r="K29" t="s">
        <v>223</v>
      </c>
    </row>
    <row r="30" spans="1:11" x14ac:dyDescent="0.25">
      <c r="A30" s="3" t="s">
        <v>12</v>
      </c>
      <c r="B30" s="4" t="s">
        <v>82</v>
      </c>
      <c r="C30" s="3" t="s">
        <v>84</v>
      </c>
      <c r="D30" s="3" t="s">
        <v>29</v>
      </c>
      <c r="E30" s="3" t="s">
        <v>29</v>
      </c>
      <c r="F30" s="3" t="s">
        <v>6</v>
      </c>
      <c r="G30" s="3">
        <v>1</v>
      </c>
      <c r="I30" t="s">
        <v>226</v>
      </c>
      <c r="J30">
        <v>1</v>
      </c>
      <c r="K30" t="s">
        <v>223</v>
      </c>
    </row>
    <row r="31" spans="1:11" x14ac:dyDescent="0.25">
      <c r="A31" s="3" t="s">
        <v>35</v>
      </c>
      <c r="B31" s="4" t="s">
        <v>77</v>
      </c>
      <c r="C31" s="3" t="s">
        <v>78</v>
      </c>
      <c r="D31" s="3" t="s">
        <v>29</v>
      </c>
      <c r="E31" s="3" t="s">
        <v>85</v>
      </c>
      <c r="F31" s="3" t="s">
        <v>6</v>
      </c>
      <c r="G31" s="3">
        <v>1</v>
      </c>
      <c r="I31" t="s">
        <v>238</v>
      </c>
      <c r="J31">
        <v>1</v>
      </c>
      <c r="K31" t="s">
        <v>31</v>
      </c>
    </row>
    <row r="32" spans="1:11" x14ac:dyDescent="0.25">
      <c r="A32" s="3" t="s">
        <v>12</v>
      </c>
      <c r="B32" s="4" t="s">
        <v>86</v>
      </c>
      <c r="C32" s="3" t="s">
        <v>87</v>
      </c>
      <c r="D32" s="3" t="s">
        <v>29</v>
      </c>
      <c r="E32" s="3" t="s">
        <v>29</v>
      </c>
      <c r="F32" s="3" t="s">
        <v>6</v>
      </c>
      <c r="G32" s="3">
        <v>1</v>
      </c>
      <c r="I32" t="s">
        <v>160</v>
      </c>
      <c r="J32">
        <v>1</v>
      </c>
      <c r="K32" t="s">
        <v>31</v>
      </c>
    </row>
    <row r="33" spans="1:11" x14ac:dyDescent="0.25">
      <c r="A33" s="3" t="s">
        <v>79</v>
      </c>
      <c r="B33" s="4" t="s">
        <v>77</v>
      </c>
      <c r="C33" s="3" t="s">
        <v>78</v>
      </c>
      <c r="D33" s="3" t="s">
        <v>29</v>
      </c>
      <c r="E33" s="3" t="s">
        <v>29</v>
      </c>
      <c r="F33" s="3" t="s">
        <v>6</v>
      </c>
      <c r="G33" s="3">
        <v>1</v>
      </c>
      <c r="I33" t="s">
        <v>239</v>
      </c>
      <c r="J33">
        <v>1</v>
      </c>
      <c r="K33" t="s">
        <v>31</v>
      </c>
    </row>
    <row r="34" spans="1:11" x14ac:dyDescent="0.25">
      <c r="A34" s="3" t="s">
        <v>88</v>
      </c>
      <c r="B34" s="4" t="s">
        <v>89</v>
      </c>
      <c r="C34" s="3"/>
      <c r="D34" s="3" t="s">
        <v>90</v>
      </c>
      <c r="E34" s="3">
        <v>25</v>
      </c>
      <c r="F34" s="3" t="s">
        <v>9</v>
      </c>
      <c r="G34" s="3">
        <v>1</v>
      </c>
      <c r="I34" t="s">
        <v>240</v>
      </c>
      <c r="J34">
        <v>2</v>
      </c>
      <c r="K34" t="s">
        <v>31</v>
      </c>
    </row>
    <row r="35" spans="1:11" x14ac:dyDescent="0.25">
      <c r="A35" s="3" t="s">
        <v>91</v>
      </c>
      <c r="B35" s="4" t="s">
        <v>92</v>
      </c>
      <c r="C35" s="3"/>
      <c r="D35" s="3"/>
      <c r="E35" s="3"/>
      <c r="F35" s="3" t="s">
        <v>9</v>
      </c>
      <c r="G35" s="3">
        <v>1</v>
      </c>
      <c r="I35" t="s">
        <v>241</v>
      </c>
      <c r="J35">
        <v>4</v>
      </c>
      <c r="K35" t="s">
        <v>31</v>
      </c>
    </row>
    <row r="36" spans="1:11" ht="30" x14ac:dyDescent="0.25">
      <c r="A36" s="3" t="s">
        <v>88</v>
      </c>
      <c r="B36" s="4" t="s">
        <v>93</v>
      </c>
      <c r="C36" s="3"/>
      <c r="D36" s="3"/>
      <c r="E36" s="3"/>
      <c r="F36" s="3" t="s">
        <v>9</v>
      </c>
      <c r="G36" s="3">
        <v>1</v>
      </c>
      <c r="I36" t="s">
        <v>242</v>
      </c>
      <c r="J36">
        <v>1</v>
      </c>
      <c r="K36" t="s">
        <v>31</v>
      </c>
    </row>
    <row r="37" spans="1:11" x14ac:dyDescent="0.25">
      <c r="A37" s="3" t="s">
        <v>94</v>
      </c>
      <c r="B37" s="4" t="s">
        <v>95</v>
      </c>
      <c r="C37" s="3"/>
      <c r="D37" s="3"/>
      <c r="E37" s="3"/>
      <c r="F37" s="3" t="s">
        <v>9</v>
      </c>
      <c r="G37" s="3">
        <v>1</v>
      </c>
      <c r="I37" t="s">
        <v>243</v>
      </c>
      <c r="J37">
        <v>1</v>
      </c>
      <c r="K37" t="s">
        <v>31</v>
      </c>
    </row>
    <row r="38" spans="1:11" x14ac:dyDescent="0.25">
      <c r="A38" s="3" t="s">
        <v>96</v>
      </c>
      <c r="B38" s="4"/>
      <c r="C38" s="3" t="s">
        <v>55</v>
      </c>
      <c r="D38" s="3"/>
      <c r="E38" s="3"/>
      <c r="F38" s="3" t="s">
        <v>9</v>
      </c>
      <c r="G38" s="3"/>
      <c r="I38" t="s">
        <v>28</v>
      </c>
      <c r="J38">
        <v>1</v>
      </c>
      <c r="K38" t="s">
        <v>31</v>
      </c>
    </row>
    <row r="39" spans="1:11" x14ac:dyDescent="0.25">
      <c r="A39" s="3" t="s">
        <v>97</v>
      </c>
      <c r="B39" s="4" t="s">
        <v>98</v>
      </c>
      <c r="C39" s="3"/>
      <c r="D39" s="3"/>
      <c r="E39" s="3"/>
      <c r="F39" s="3" t="s">
        <v>9</v>
      </c>
      <c r="G39" s="3">
        <v>2</v>
      </c>
      <c r="I39" t="s">
        <v>244</v>
      </c>
      <c r="J39">
        <v>4</v>
      </c>
      <c r="K39" t="s">
        <v>31</v>
      </c>
    </row>
    <row r="40" spans="1:11" x14ac:dyDescent="0.25">
      <c r="A40" s="3" t="s">
        <v>99</v>
      </c>
      <c r="B40" s="4" t="s">
        <v>100</v>
      </c>
      <c r="C40" s="3"/>
      <c r="D40" s="3"/>
      <c r="E40" s="3"/>
      <c r="F40" s="3" t="s">
        <v>9</v>
      </c>
      <c r="G40" s="3">
        <v>4</v>
      </c>
      <c r="I40" t="s">
        <v>245</v>
      </c>
      <c r="J40">
        <v>1</v>
      </c>
      <c r="K40" t="s">
        <v>31</v>
      </c>
    </row>
    <row r="41" spans="1:11" x14ac:dyDescent="0.25">
      <c r="A41" s="3" t="s">
        <v>101</v>
      </c>
      <c r="B41" s="4"/>
      <c r="C41" s="3"/>
      <c r="D41" s="3"/>
      <c r="E41" s="3"/>
      <c r="F41" s="3" t="s">
        <v>9</v>
      </c>
      <c r="G41" s="3">
        <v>3</v>
      </c>
      <c r="I41" t="s">
        <v>246</v>
      </c>
      <c r="J41">
        <v>1</v>
      </c>
      <c r="K41" t="s">
        <v>31</v>
      </c>
    </row>
    <row r="42" spans="1:11" x14ac:dyDescent="0.25">
      <c r="A42" s="3" t="s">
        <v>102</v>
      </c>
      <c r="B42" s="4" t="s">
        <v>103</v>
      </c>
      <c r="C42" s="3"/>
      <c r="D42" s="3"/>
      <c r="E42" s="3"/>
      <c r="F42" s="3" t="s">
        <v>9</v>
      </c>
      <c r="G42" s="3">
        <v>1</v>
      </c>
      <c r="I42" t="s">
        <v>247</v>
      </c>
      <c r="J42">
        <v>1</v>
      </c>
      <c r="K42" t="s">
        <v>31</v>
      </c>
    </row>
    <row r="43" spans="1:11" ht="30" x14ac:dyDescent="0.25">
      <c r="A43" s="3" t="s">
        <v>104</v>
      </c>
      <c r="B43" s="4" t="str">
        <f>bolso("Bolso de collares",Table6[])</f>
        <v xml:space="preserve">Bolso de collares Contiene:  collar G x7,  Collar M x2,  collar ch x3,  collar P x1, </v>
      </c>
      <c r="C43" s="3"/>
      <c r="D43" s="3"/>
      <c r="E43" s="3"/>
      <c r="F43" s="3" t="s">
        <v>9</v>
      </c>
      <c r="G43" s="3">
        <v>1</v>
      </c>
      <c r="I43" t="s">
        <v>248</v>
      </c>
      <c r="J43">
        <v>1</v>
      </c>
      <c r="K43" t="s">
        <v>31</v>
      </c>
    </row>
    <row r="44" spans="1:11" x14ac:dyDescent="0.25">
      <c r="A44" s="3" t="s">
        <v>94</v>
      </c>
      <c r="B44" s="4" t="s">
        <v>110</v>
      </c>
      <c r="C44" s="3"/>
      <c r="D44" s="3"/>
      <c r="E44" s="3"/>
      <c r="F44" s="3" t="s">
        <v>9</v>
      </c>
      <c r="G44" s="3">
        <v>1</v>
      </c>
      <c r="I44" t="s">
        <v>249</v>
      </c>
      <c r="J44">
        <v>2</v>
      </c>
      <c r="K44" t="s">
        <v>31</v>
      </c>
    </row>
    <row r="45" spans="1:11" x14ac:dyDescent="0.25">
      <c r="A45" s="3" t="s">
        <v>111</v>
      </c>
      <c r="B45" s="4" t="s">
        <v>95</v>
      </c>
      <c r="C45" s="3"/>
      <c r="D45" s="3" t="s">
        <v>112</v>
      </c>
      <c r="E45" s="3">
        <v>28999</v>
      </c>
      <c r="F45" s="3" t="s">
        <v>9</v>
      </c>
      <c r="G45" s="3">
        <v>1</v>
      </c>
      <c r="I45" t="s">
        <v>250</v>
      </c>
      <c r="J45">
        <v>1</v>
      </c>
      <c r="K45" t="s">
        <v>31</v>
      </c>
    </row>
    <row r="46" spans="1:11" x14ac:dyDescent="0.25">
      <c r="A46" t="s">
        <v>113</v>
      </c>
      <c r="B46" s="4" t="s">
        <v>95</v>
      </c>
      <c r="C46" s="3"/>
      <c r="D46" s="3" t="s">
        <v>112</v>
      </c>
      <c r="E46" s="3">
        <v>315000341</v>
      </c>
      <c r="F46" s="3" t="s">
        <v>9</v>
      </c>
      <c r="G46" s="3">
        <v>1</v>
      </c>
      <c r="I46" t="s">
        <v>251</v>
      </c>
      <c r="J46">
        <v>1</v>
      </c>
      <c r="K46" t="s">
        <v>31</v>
      </c>
    </row>
    <row r="47" spans="1:11" x14ac:dyDescent="0.25">
      <c r="A47" s="3" t="s">
        <v>114</v>
      </c>
      <c r="B47" s="4" t="s">
        <v>115</v>
      </c>
      <c r="C47" s="3"/>
      <c r="D47" s="3" t="s">
        <v>116</v>
      </c>
      <c r="E47" s="3"/>
      <c r="F47" s="3" t="s">
        <v>9</v>
      </c>
      <c r="G47" s="3">
        <v>1</v>
      </c>
    </row>
    <row r="48" spans="1:11" x14ac:dyDescent="0.25">
      <c r="A48" s="3" t="s">
        <v>117</v>
      </c>
      <c r="B48" s="4" t="s">
        <v>115</v>
      </c>
      <c r="C48" s="3"/>
      <c r="D48" s="3"/>
      <c r="E48" s="3"/>
      <c r="F48" s="3" t="s">
        <v>9</v>
      </c>
      <c r="G48" s="3">
        <v>1</v>
      </c>
    </row>
    <row r="49" spans="1:7" x14ac:dyDescent="0.25">
      <c r="A49" s="3" t="s">
        <v>118</v>
      </c>
      <c r="B49" s="4" t="s">
        <v>119</v>
      </c>
      <c r="C49" s="3"/>
      <c r="D49" s="3" t="s">
        <v>112</v>
      </c>
      <c r="E49" s="3">
        <v>150181011</v>
      </c>
      <c r="F49" s="3" t="s">
        <v>9</v>
      </c>
      <c r="G49" s="3">
        <v>2</v>
      </c>
    </row>
    <row r="50" spans="1:7" x14ac:dyDescent="0.25">
      <c r="A50" s="3" t="s">
        <v>118</v>
      </c>
      <c r="B50" s="4" t="s">
        <v>120</v>
      </c>
      <c r="C50" s="3" t="s">
        <v>121</v>
      </c>
      <c r="D50" s="3"/>
      <c r="E50" s="3"/>
      <c r="F50" s="3" t="s">
        <v>9</v>
      </c>
      <c r="G50" s="3">
        <v>1</v>
      </c>
    </row>
    <row r="51" spans="1:7" x14ac:dyDescent="0.25">
      <c r="A51" s="3" t="s">
        <v>118</v>
      </c>
      <c r="B51" s="4" t="s">
        <v>120</v>
      </c>
      <c r="C51" s="3" t="s">
        <v>122</v>
      </c>
      <c r="D51" s="3"/>
      <c r="E51" s="3"/>
      <c r="F51" s="3" t="s">
        <v>9</v>
      </c>
      <c r="G51" s="3">
        <v>1</v>
      </c>
    </row>
    <row r="52" spans="1:7" x14ac:dyDescent="0.25">
      <c r="A52" s="3" t="s">
        <v>123</v>
      </c>
      <c r="B52" s="4"/>
      <c r="C52" s="3" t="s">
        <v>125</v>
      </c>
      <c r="D52" s="3"/>
      <c r="E52" s="3"/>
      <c r="F52" s="3" t="s">
        <v>9</v>
      </c>
      <c r="G52" s="3">
        <v>5</v>
      </c>
    </row>
    <row r="53" spans="1:7" x14ac:dyDescent="0.25">
      <c r="A53" s="3" t="s">
        <v>127</v>
      </c>
      <c r="B53" s="4" t="s">
        <v>128</v>
      </c>
      <c r="C53" s="3" t="s">
        <v>146</v>
      </c>
      <c r="D53" s="3"/>
      <c r="E53" s="3"/>
      <c r="F53" s="3" t="s">
        <v>9</v>
      </c>
      <c r="G53" s="3">
        <v>2</v>
      </c>
    </row>
    <row r="54" spans="1:7" x14ac:dyDescent="0.25">
      <c r="A54" s="3" t="s">
        <v>129</v>
      </c>
      <c r="B54" s="4"/>
      <c r="C54" s="3"/>
      <c r="D54" s="3" t="s">
        <v>112</v>
      </c>
      <c r="E54" s="3"/>
      <c r="F54" s="3" t="s">
        <v>9</v>
      </c>
      <c r="G54" s="3">
        <v>1</v>
      </c>
    </row>
    <row r="55" spans="1:7" x14ac:dyDescent="0.25">
      <c r="A55" s="3" t="s">
        <v>130</v>
      </c>
      <c r="B55" s="4" t="s">
        <v>131</v>
      </c>
      <c r="C55" s="3"/>
      <c r="D55" s="3"/>
      <c r="E55" s="3"/>
      <c r="F55" s="3" t="s">
        <v>9</v>
      </c>
      <c r="G55" s="3">
        <v>1</v>
      </c>
    </row>
    <row r="56" spans="1:7" x14ac:dyDescent="0.25">
      <c r="A56" s="3" t="s">
        <v>118</v>
      </c>
      <c r="B56" s="4" t="s">
        <v>132</v>
      </c>
      <c r="C56" s="3"/>
      <c r="D56" s="3" t="s">
        <v>112</v>
      </c>
      <c r="E56" s="3"/>
      <c r="F56" s="3" t="s">
        <v>9</v>
      </c>
      <c r="G56" s="3">
        <v>2</v>
      </c>
    </row>
    <row r="57" spans="1:7" x14ac:dyDescent="0.25">
      <c r="A57" s="3" t="s">
        <v>127</v>
      </c>
      <c r="B57" s="4" t="s">
        <v>133</v>
      </c>
      <c r="C57" s="3"/>
      <c r="D57" s="3"/>
      <c r="E57" s="3"/>
      <c r="F57" s="3" t="s">
        <v>9</v>
      </c>
      <c r="G57" s="3">
        <v>1</v>
      </c>
    </row>
    <row r="58" spans="1:7" x14ac:dyDescent="0.25">
      <c r="A58" s="3" t="s">
        <v>99</v>
      </c>
      <c r="B58" s="4" t="s">
        <v>134</v>
      </c>
      <c r="C58" s="3"/>
      <c r="D58" s="3"/>
      <c r="E58" s="3"/>
      <c r="F58" s="3" t="s">
        <v>9</v>
      </c>
      <c r="G58" s="3">
        <v>1</v>
      </c>
    </row>
    <row r="59" spans="1:7" x14ac:dyDescent="0.25">
      <c r="A59" s="3" t="s">
        <v>135</v>
      </c>
      <c r="B59" s="4"/>
      <c r="C59" s="3" t="s">
        <v>136</v>
      </c>
      <c r="D59" s="3"/>
      <c r="E59" s="3"/>
      <c r="F59" s="3" t="s">
        <v>9</v>
      </c>
      <c r="G59" s="3">
        <v>1</v>
      </c>
    </row>
    <row r="60" spans="1:7" x14ac:dyDescent="0.25">
      <c r="A60" s="3" t="s">
        <v>135</v>
      </c>
      <c r="B60" s="4"/>
      <c r="C60" s="3" t="s">
        <v>41</v>
      </c>
      <c r="D60" s="3"/>
      <c r="E60" s="3"/>
      <c r="F60" s="3" t="s">
        <v>9</v>
      </c>
      <c r="G60" s="3">
        <v>1</v>
      </c>
    </row>
    <row r="61" spans="1:7" x14ac:dyDescent="0.25">
      <c r="A61" s="3" t="s">
        <v>12</v>
      </c>
      <c r="B61" s="4" t="s">
        <v>137</v>
      </c>
      <c r="C61" s="3" t="s">
        <v>138</v>
      </c>
      <c r="D61" s="3"/>
      <c r="E61" s="3"/>
      <c r="F61" s="3" t="s">
        <v>10</v>
      </c>
      <c r="G61" s="3">
        <v>2</v>
      </c>
    </row>
    <row r="62" spans="1:7" x14ac:dyDescent="0.25">
      <c r="A62" s="3" t="s">
        <v>12</v>
      </c>
      <c r="B62" s="4" t="s">
        <v>61</v>
      </c>
      <c r="C62" s="3" t="s">
        <v>87</v>
      </c>
      <c r="D62" s="3"/>
      <c r="E62" s="3"/>
      <c r="F62" s="3" t="s">
        <v>10</v>
      </c>
      <c r="G62" s="3">
        <v>4</v>
      </c>
    </row>
    <row r="63" spans="1:7" x14ac:dyDescent="0.25">
      <c r="A63" s="3" t="s">
        <v>12</v>
      </c>
      <c r="B63" s="4" t="s">
        <v>139</v>
      </c>
      <c r="C63" s="3" t="s">
        <v>140</v>
      </c>
      <c r="D63" s="3"/>
      <c r="E63" s="3"/>
      <c r="F63" s="3" t="s">
        <v>10</v>
      </c>
      <c r="G63" s="3">
        <v>1</v>
      </c>
    </row>
    <row r="64" spans="1:7" x14ac:dyDescent="0.25">
      <c r="A64" s="3" t="s">
        <v>12</v>
      </c>
      <c r="B64" s="4" t="s">
        <v>141</v>
      </c>
      <c r="C64" s="3" t="s">
        <v>142</v>
      </c>
      <c r="D64" s="3"/>
      <c r="E64" s="3"/>
      <c r="F64" s="3" t="s">
        <v>10</v>
      </c>
      <c r="G64" s="3">
        <v>1</v>
      </c>
    </row>
    <row r="65" spans="1:7" x14ac:dyDescent="0.25">
      <c r="A65" s="3" t="s">
        <v>12</v>
      </c>
      <c r="B65" s="4" t="s">
        <v>139</v>
      </c>
      <c r="C65" s="3" t="s">
        <v>142</v>
      </c>
      <c r="D65" s="3"/>
      <c r="E65" s="3"/>
      <c r="F65" s="3" t="s">
        <v>10</v>
      </c>
      <c r="G65" s="3">
        <v>1</v>
      </c>
    </row>
    <row r="66" spans="1:7" x14ac:dyDescent="0.25">
      <c r="A66" s="3" t="s">
        <v>127</v>
      </c>
      <c r="B66" s="4" t="s">
        <v>143</v>
      </c>
      <c r="C66" s="3" t="s">
        <v>144</v>
      </c>
      <c r="D66" s="3"/>
      <c r="E66" s="3"/>
      <c r="F66" s="3" t="s">
        <v>10</v>
      </c>
      <c r="G66" s="3">
        <v>2</v>
      </c>
    </row>
    <row r="67" spans="1:7" x14ac:dyDescent="0.25">
      <c r="A67" s="3" t="s">
        <v>127</v>
      </c>
      <c r="B67" s="4" t="s">
        <v>143</v>
      </c>
      <c r="C67" s="3" t="s">
        <v>145</v>
      </c>
      <c r="D67" s="3"/>
      <c r="E67" s="3"/>
      <c r="F67" s="3" t="s">
        <v>10</v>
      </c>
      <c r="G67" s="3">
        <v>1</v>
      </c>
    </row>
    <row r="68" spans="1:7" x14ac:dyDescent="0.25">
      <c r="A68" s="3" t="s">
        <v>151</v>
      </c>
      <c r="B68" s="4" t="s">
        <v>152</v>
      </c>
      <c r="C68" s="3" t="s">
        <v>67</v>
      </c>
      <c r="D68" s="3" t="s">
        <v>153</v>
      </c>
      <c r="E68" s="3">
        <v>1078949</v>
      </c>
      <c r="F68" s="3" t="s">
        <v>10</v>
      </c>
      <c r="G68" s="3">
        <v>1</v>
      </c>
    </row>
    <row r="69" spans="1:7" x14ac:dyDescent="0.25">
      <c r="A69" t="s">
        <v>154</v>
      </c>
      <c r="B69" s="4" t="s">
        <v>155</v>
      </c>
      <c r="C69" s="3"/>
      <c r="D69" s="3" t="s">
        <v>156</v>
      </c>
      <c r="E69" s="3" t="s">
        <v>157</v>
      </c>
      <c r="F69" s="3" t="s">
        <v>10</v>
      </c>
      <c r="G69" s="3">
        <v>1</v>
      </c>
    </row>
    <row r="70" spans="1:7" x14ac:dyDescent="0.25">
      <c r="A70" s="3" t="s">
        <v>158</v>
      </c>
      <c r="B70" s="4"/>
      <c r="C70" s="3"/>
      <c r="D70" s="3"/>
      <c r="E70" s="3"/>
      <c r="F70" s="3" t="s">
        <v>11</v>
      </c>
      <c r="G70" s="3">
        <v>1</v>
      </c>
    </row>
    <row r="71" spans="1:7" x14ac:dyDescent="0.25">
      <c r="A71" s="3" t="s">
        <v>159</v>
      </c>
      <c r="B71" s="4" t="s">
        <v>160</v>
      </c>
      <c r="C71" s="3" t="s">
        <v>161</v>
      </c>
      <c r="D71" s="3"/>
      <c r="E71" s="3"/>
      <c r="F71" s="3" t="s">
        <v>11</v>
      </c>
      <c r="G71" s="3">
        <v>1</v>
      </c>
    </row>
    <row r="72" spans="1:7" x14ac:dyDescent="0.25">
      <c r="A72" t="s">
        <v>162</v>
      </c>
      <c r="B72" s="4"/>
      <c r="C72" s="3"/>
      <c r="D72" s="3"/>
      <c r="E72" s="3"/>
      <c r="F72" s="3" t="s">
        <v>11</v>
      </c>
      <c r="G72" s="3">
        <v>1</v>
      </c>
    </row>
    <row r="73" spans="1:7" x14ac:dyDescent="0.25">
      <c r="A73" s="3" t="s">
        <v>163</v>
      </c>
      <c r="B73" s="4" t="s">
        <v>164</v>
      </c>
      <c r="C73" s="3"/>
      <c r="D73" s="3"/>
      <c r="E73" s="3"/>
      <c r="F73" s="3" t="s">
        <v>11</v>
      </c>
      <c r="G73" s="3">
        <v>1</v>
      </c>
    </row>
    <row r="74" spans="1:7" x14ac:dyDescent="0.25">
      <c r="A74" s="3" t="s">
        <v>163</v>
      </c>
      <c r="B74" s="4" t="s">
        <v>165</v>
      </c>
      <c r="C74" s="3"/>
      <c r="D74" s="3"/>
      <c r="E74" s="3"/>
      <c r="F74" s="3" t="s">
        <v>11</v>
      </c>
      <c r="G74" s="3">
        <v>1</v>
      </c>
    </row>
    <row r="75" spans="1:7" x14ac:dyDescent="0.25">
      <c r="A75" s="3" t="s">
        <v>163</v>
      </c>
      <c r="B75" s="4" t="s">
        <v>166</v>
      </c>
      <c r="C75" s="3"/>
      <c r="D75" s="3"/>
      <c r="E75" s="3"/>
      <c r="F75" s="3" t="s">
        <v>11</v>
      </c>
      <c r="G75" s="3">
        <v>1</v>
      </c>
    </row>
    <row r="76" spans="1:7" ht="90" x14ac:dyDescent="0.25">
      <c r="A76" s="3" t="s">
        <v>104</v>
      </c>
      <c r="B76" s="4" t="str">
        <f>bolso("Bolso de trauma",Table6[])</f>
        <v xml:space="preserve">Bolso de trauma Contiene:  Collar M x3,  collar CH x1,  Ambù con bolsa de Oxigenacion x1,  Ambù sin bolsa de Oxigenacion x1,  Dispositivo de succion manual x1,  Rollo papel aluminio x1,  Mascara RCP x2,  Tijera de trauma x1, </v>
      </c>
      <c r="C76" s="3"/>
      <c r="D76" s="3"/>
      <c r="E76" s="3"/>
      <c r="F76" s="3" t="s">
        <v>11</v>
      </c>
      <c r="G76" s="3">
        <v>1</v>
      </c>
    </row>
    <row r="77" spans="1:7" ht="45" x14ac:dyDescent="0.25">
      <c r="A77" s="3" t="s">
        <v>104</v>
      </c>
      <c r="B77" s="4" t="str">
        <f>bolso("Caja de tacos",Table6[])</f>
        <v xml:space="preserve">Caja de tacos Contiene:  Taco 30cm*6cm*4cm x10,  Taco cuña 45cm*13cm*47cm x4,  Tacos varios x3, </v>
      </c>
      <c r="C77" s="3"/>
      <c r="D77" s="3"/>
      <c r="E77" s="3"/>
      <c r="F77" s="3" t="s">
        <v>11</v>
      </c>
      <c r="G77" s="3">
        <v>1</v>
      </c>
    </row>
    <row r="78" spans="1:7" x14ac:dyDescent="0.25">
      <c r="A78" s="3" t="s">
        <v>179</v>
      </c>
      <c r="B78" s="4" t="s">
        <v>180</v>
      </c>
      <c r="C78" s="3" t="s">
        <v>181</v>
      </c>
      <c r="D78" s="3"/>
      <c r="E78" s="3"/>
      <c r="F78" s="3" t="s">
        <v>11</v>
      </c>
      <c r="G78" s="3">
        <v>1</v>
      </c>
    </row>
    <row r="79" spans="1:7" x14ac:dyDescent="0.25">
      <c r="A79" s="3" t="s">
        <v>182</v>
      </c>
      <c r="B79" s="4" t="s">
        <v>183</v>
      </c>
      <c r="C79" s="3"/>
      <c r="D79" s="3"/>
      <c r="E79" s="3"/>
      <c r="F79" s="3" t="s">
        <v>11</v>
      </c>
      <c r="G79" s="3">
        <v>1</v>
      </c>
    </row>
    <row r="80" spans="1:7" x14ac:dyDescent="0.25">
      <c r="A80" s="3" t="s">
        <v>185</v>
      </c>
      <c r="B80" s="4" t="s">
        <v>186</v>
      </c>
      <c r="C80" s="3" t="s">
        <v>187</v>
      </c>
      <c r="D80" s="3"/>
      <c r="E80" s="3"/>
      <c r="F80" s="3" t="s">
        <v>11</v>
      </c>
      <c r="G80" s="3">
        <v>1</v>
      </c>
    </row>
    <row r="81" spans="1:7" x14ac:dyDescent="0.25">
      <c r="A81" s="3" t="s">
        <v>185</v>
      </c>
      <c r="B81" s="4" t="s">
        <v>186</v>
      </c>
      <c r="C81" s="3" t="s">
        <v>188</v>
      </c>
      <c r="D81" s="3"/>
      <c r="E81" s="3"/>
      <c r="F81" s="3" t="s">
        <v>11</v>
      </c>
      <c r="G81" s="3">
        <v>1</v>
      </c>
    </row>
    <row r="82" spans="1:7" x14ac:dyDescent="0.25">
      <c r="A82" s="3" t="s">
        <v>185</v>
      </c>
      <c r="B82" s="4" t="s">
        <v>189</v>
      </c>
      <c r="C82" s="3"/>
      <c r="D82" s="3"/>
      <c r="E82" s="3"/>
      <c r="F82" s="3" t="s">
        <v>11</v>
      </c>
      <c r="G82" s="3">
        <v>1</v>
      </c>
    </row>
    <row r="83" spans="1:7" x14ac:dyDescent="0.25">
      <c r="A83" s="3" t="s">
        <v>185</v>
      </c>
      <c r="B83" s="4" t="s">
        <v>190</v>
      </c>
      <c r="C83" s="3"/>
      <c r="D83" s="3"/>
      <c r="E83" s="3"/>
      <c r="F83" s="3" t="s">
        <v>11</v>
      </c>
      <c r="G83" s="3">
        <v>1</v>
      </c>
    </row>
    <row r="84" spans="1:7" x14ac:dyDescent="0.25">
      <c r="A84" s="3" t="s">
        <v>191</v>
      </c>
      <c r="B84" s="4" t="s">
        <v>192</v>
      </c>
      <c r="C84" s="3" t="s">
        <v>193</v>
      </c>
      <c r="D84" s="3" t="s">
        <v>194</v>
      </c>
      <c r="E84" s="3"/>
      <c r="F84" s="3" t="s">
        <v>11</v>
      </c>
      <c r="G84" s="3">
        <v>2</v>
      </c>
    </row>
    <row r="85" spans="1:7" x14ac:dyDescent="0.25">
      <c r="A85" s="3" t="s">
        <v>191</v>
      </c>
      <c r="B85" s="4" t="s">
        <v>195</v>
      </c>
      <c r="C85" s="3" t="s">
        <v>193</v>
      </c>
      <c r="D85" s="3" t="s">
        <v>194</v>
      </c>
      <c r="E85" s="3"/>
      <c r="F85" s="3" t="s">
        <v>11</v>
      </c>
      <c r="G85" s="3">
        <v>1</v>
      </c>
    </row>
    <row r="86" spans="1:7" x14ac:dyDescent="0.25">
      <c r="A86" s="3" t="s">
        <v>185</v>
      </c>
      <c r="B86" s="4" t="s">
        <v>196</v>
      </c>
      <c r="C86" s="3" t="s">
        <v>197</v>
      </c>
      <c r="D86" s="3"/>
      <c r="E86" s="3"/>
      <c r="F86" s="3" t="s">
        <v>11</v>
      </c>
      <c r="G86" s="3">
        <v>1</v>
      </c>
    </row>
    <row r="87" spans="1:7" x14ac:dyDescent="0.25">
      <c r="A87" s="3" t="s">
        <v>185</v>
      </c>
      <c r="B87" s="4" t="s">
        <v>196</v>
      </c>
      <c r="C87" s="3" t="s">
        <v>198</v>
      </c>
      <c r="D87" s="3"/>
      <c r="E87" s="3"/>
      <c r="F87" s="3" t="s">
        <v>11</v>
      </c>
      <c r="G87" s="3">
        <v>1</v>
      </c>
    </row>
    <row r="88" spans="1:7" x14ac:dyDescent="0.25">
      <c r="A88" s="3" t="s">
        <v>185</v>
      </c>
      <c r="B88" s="4" t="s">
        <v>199</v>
      </c>
      <c r="C88" s="3" t="s">
        <v>187</v>
      </c>
      <c r="D88" s="3"/>
      <c r="E88" s="3"/>
      <c r="F88" s="3" t="s">
        <v>11</v>
      </c>
      <c r="G88" s="3">
        <v>1</v>
      </c>
    </row>
    <row r="89" spans="1:7" x14ac:dyDescent="0.25">
      <c r="A89" s="3" t="s">
        <v>185</v>
      </c>
      <c r="B89" s="4" t="s">
        <v>199</v>
      </c>
      <c r="C89" s="3" t="s">
        <v>197</v>
      </c>
      <c r="D89" s="3"/>
      <c r="E89" s="3"/>
      <c r="F89" s="3" t="s">
        <v>11</v>
      </c>
      <c r="G89" s="3">
        <v>1</v>
      </c>
    </row>
    <row r="90" spans="1:7" x14ac:dyDescent="0.25">
      <c r="A90" s="3" t="s">
        <v>185</v>
      </c>
      <c r="B90" s="4" t="s">
        <v>200</v>
      </c>
      <c r="C90" s="3"/>
      <c r="D90" s="3"/>
      <c r="E90" s="3"/>
      <c r="F90" s="3" t="s">
        <v>11</v>
      </c>
      <c r="G90" s="3">
        <v>1</v>
      </c>
    </row>
    <row r="91" spans="1:7" x14ac:dyDescent="0.25">
      <c r="A91" s="3" t="s">
        <v>185</v>
      </c>
      <c r="B91" s="4" t="s">
        <v>201</v>
      </c>
      <c r="C91" s="3"/>
      <c r="D91" s="3"/>
      <c r="E91" s="3"/>
      <c r="F91" s="3" t="s">
        <v>11</v>
      </c>
      <c r="G91" s="3">
        <v>1</v>
      </c>
    </row>
    <row r="92" spans="1:7" x14ac:dyDescent="0.25">
      <c r="A92" s="3" t="s">
        <v>185</v>
      </c>
      <c r="B92" s="4" t="s">
        <v>202</v>
      </c>
      <c r="C92" s="3"/>
      <c r="D92" s="3"/>
      <c r="E92" s="3"/>
      <c r="F92" s="3" t="s">
        <v>11</v>
      </c>
      <c r="G92" s="3">
        <v>1</v>
      </c>
    </row>
    <row r="93" spans="1:7" x14ac:dyDescent="0.25">
      <c r="A93" s="3" t="s">
        <v>185</v>
      </c>
      <c r="B93" s="4" t="s">
        <v>203</v>
      </c>
      <c r="C93" s="3" t="s">
        <v>197</v>
      </c>
      <c r="D93" s="3"/>
      <c r="E93" s="3"/>
      <c r="F93" s="3" t="s">
        <v>11</v>
      </c>
      <c r="G93" s="3">
        <v>1</v>
      </c>
    </row>
    <row r="94" spans="1:7" x14ac:dyDescent="0.25">
      <c r="A94" t="s">
        <v>204</v>
      </c>
      <c r="B94" s="4"/>
      <c r="C94" s="3" t="s">
        <v>67</v>
      </c>
      <c r="D94" s="3"/>
      <c r="E94" s="3"/>
      <c r="F94" s="3" t="s">
        <v>11</v>
      </c>
      <c r="G94" s="3">
        <v>1</v>
      </c>
    </row>
    <row r="95" spans="1:7" x14ac:dyDescent="0.25">
      <c r="A95" s="3" t="s">
        <v>205</v>
      </c>
      <c r="B95" s="4"/>
      <c r="C95" s="3" t="s">
        <v>207</v>
      </c>
      <c r="D95" s="3"/>
      <c r="E95" s="3"/>
      <c r="F95" s="3" t="s">
        <v>11</v>
      </c>
      <c r="G95" s="3">
        <v>1</v>
      </c>
    </row>
    <row r="96" spans="1:7" x14ac:dyDescent="0.25">
      <c r="A96" s="3" t="s">
        <v>206</v>
      </c>
      <c r="B96" s="4"/>
      <c r="C96" s="3" t="s">
        <v>208</v>
      </c>
      <c r="D96" s="3"/>
      <c r="E96" s="3"/>
      <c r="F96" s="3" t="s">
        <v>11</v>
      </c>
      <c r="G96" s="3">
        <v>1</v>
      </c>
    </row>
    <row r="97" spans="1:7" x14ac:dyDescent="0.25">
      <c r="A97" s="3" t="s">
        <v>185</v>
      </c>
      <c r="B97" s="4" t="s">
        <v>209</v>
      </c>
      <c r="C97" s="3"/>
      <c r="D97" s="3"/>
      <c r="E97" s="3"/>
      <c r="F97" s="3" t="s">
        <v>11</v>
      </c>
      <c r="G97" s="3">
        <v>1</v>
      </c>
    </row>
    <row r="98" spans="1:7" x14ac:dyDescent="0.25">
      <c r="A98" s="3" t="s">
        <v>185</v>
      </c>
      <c r="B98" s="4" t="s">
        <v>210</v>
      </c>
      <c r="C98" s="3"/>
      <c r="D98" s="3"/>
      <c r="E98" s="3"/>
      <c r="F98" s="3" t="s">
        <v>11</v>
      </c>
      <c r="G98" s="3">
        <v>1</v>
      </c>
    </row>
    <row r="99" spans="1:7" x14ac:dyDescent="0.25">
      <c r="A99" s="3" t="s">
        <v>185</v>
      </c>
      <c r="B99" s="4" t="s">
        <v>211</v>
      </c>
      <c r="C99" s="3"/>
      <c r="D99" s="3"/>
      <c r="E99" s="3"/>
      <c r="F99" s="3" t="s">
        <v>11</v>
      </c>
      <c r="G99" s="3">
        <v>2</v>
      </c>
    </row>
    <row r="100" spans="1:7" x14ac:dyDescent="0.25">
      <c r="A100" t="s">
        <v>13</v>
      </c>
      <c r="B100" s="4" t="s">
        <v>214</v>
      </c>
      <c r="C100" s="3"/>
      <c r="D100" s="3" t="s">
        <v>215</v>
      </c>
      <c r="E100" s="3" t="s">
        <v>218</v>
      </c>
      <c r="F100" s="3" t="s">
        <v>11</v>
      </c>
      <c r="G100" s="3">
        <v>1</v>
      </c>
    </row>
    <row r="101" spans="1:7" x14ac:dyDescent="0.25">
      <c r="A101" s="3" t="s">
        <v>185</v>
      </c>
      <c r="B101" s="4" t="s">
        <v>212</v>
      </c>
      <c r="C101" s="3"/>
      <c r="D101" s="3"/>
      <c r="E101" s="3"/>
      <c r="F101" s="3" t="s">
        <v>11</v>
      </c>
      <c r="G101" s="3">
        <v>1</v>
      </c>
    </row>
    <row r="102" spans="1:7" x14ac:dyDescent="0.25">
      <c r="A102" s="3" t="s">
        <v>13</v>
      </c>
      <c r="B102" s="4" t="s">
        <v>213</v>
      </c>
      <c r="C102" s="3" t="s">
        <v>219</v>
      </c>
      <c r="D102" s="3" t="s">
        <v>221</v>
      </c>
      <c r="E102" s="3" t="s">
        <v>220</v>
      </c>
      <c r="F102" s="3" t="s">
        <v>11</v>
      </c>
      <c r="G102" s="3">
        <v>1</v>
      </c>
    </row>
    <row r="103" spans="1:7" x14ac:dyDescent="0.25">
      <c r="A103" s="3" t="s">
        <v>13</v>
      </c>
      <c r="B103" s="4" t="s">
        <v>214</v>
      </c>
      <c r="C103" s="3"/>
      <c r="D103" s="3" t="s">
        <v>216</v>
      </c>
      <c r="E103" s="3" t="s">
        <v>217</v>
      </c>
      <c r="F103" s="3" t="s">
        <v>11</v>
      </c>
      <c r="G103" s="3">
        <v>1</v>
      </c>
    </row>
    <row r="104" spans="1:7" x14ac:dyDescent="0.25">
      <c r="A104" s="3" t="s">
        <v>13</v>
      </c>
      <c r="B104" s="4" t="s">
        <v>213</v>
      </c>
      <c r="C104" s="3" t="s">
        <v>222</v>
      </c>
      <c r="D104" s="3" t="s">
        <v>216</v>
      </c>
      <c r="E104" s="3"/>
      <c r="F104" s="3" t="s">
        <v>11</v>
      </c>
      <c r="G104" s="3">
        <v>1</v>
      </c>
    </row>
    <row r="105" spans="1:7" ht="60" x14ac:dyDescent="0.25">
      <c r="A105" s="3" t="s">
        <v>104</v>
      </c>
      <c r="B105" s="4" t="str">
        <f>bolso("Bolso para cadaveres",Table6[])</f>
        <v xml:space="preserve">Bolso para cadaveres Contiene:  Traje de aproximacion C x3,  Guantes para cadaveres x2,  Lentes para proteccion ocular x1, </v>
      </c>
      <c r="C105" s="3"/>
      <c r="D105" s="3"/>
      <c r="E105" s="3"/>
      <c r="F105" s="3" t="s">
        <v>8</v>
      </c>
      <c r="G105" s="3"/>
    </row>
    <row r="106" spans="1:7" x14ac:dyDescent="0.25">
      <c r="A106" s="3" t="s">
        <v>227</v>
      </c>
      <c r="B106" s="4" t="s">
        <v>228</v>
      </c>
      <c r="C106" s="3"/>
      <c r="D106" s="3" t="s">
        <v>51</v>
      </c>
      <c r="E106" s="3"/>
      <c r="F106" s="3" t="s">
        <v>8</v>
      </c>
      <c r="G106" s="3">
        <v>6</v>
      </c>
    </row>
    <row r="107" spans="1:7" x14ac:dyDescent="0.25">
      <c r="A107" s="3" t="s">
        <v>229</v>
      </c>
      <c r="B107" s="4"/>
      <c r="C107" s="3"/>
      <c r="D107" s="3"/>
      <c r="E107" s="3"/>
      <c r="F107" s="3" t="s">
        <v>8</v>
      </c>
      <c r="G107" s="3">
        <v>6</v>
      </c>
    </row>
    <row r="108" spans="1:7" x14ac:dyDescent="0.25">
      <c r="A108" s="3" t="s">
        <v>231</v>
      </c>
      <c r="B108" s="4"/>
      <c r="C108" s="3"/>
      <c r="D108" s="3"/>
      <c r="E108" s="3"/>
      <c r="F108" s="3" t="s">
        <v>8</v>
      </c>
      <c r="G108" s="3">
        <v>1</v>
      </c>
    </row>
    <row r="109" spans="1:7" ht="30" x14ac:dyDescent="0.25">
      <c r="A109" s="3" t="s">
        <v>232</v>
      </c>
      <c r="B109" s="4" t="s">
        <v>233</v>
      </c>
      <c r="C109" s="3"/>
      <c r="D109" s="3" t="s">
        <v>234</v>
      </c>
      <c r="E109" s="3"/>
      <c r="F109" s="3" t="s">
        <v>8</v>
      </c>
      <c r="G109" s="3">
        <v>1</v>
      </c>
    </row>
    <row r="110" spans="1:7" ht="30" x14ac:dyDescent="0.25">
      <c r="A110" s="3" t="s">
        <v>232</v>
      </c>
      <c r="B110" s="4" t="s">
        <v>235</v>
      </c>
      <c r="C110" s="3"/>
      <c r="D110" s="3"/>
      <c r="E110" s="3"/>
      <c r="F110" s="3" t="s">
        <v>8</v>
      </c>
      <c r="G110" s="3"/>
    </row>
    <row r="111" spans="1:7" ht="45" x14ac:dyDescent="0.25">
      <c r="A111" s="3" t="s">
        <v>184</v>
      </c>
      <c r="B111" s="4"/>
      <c r="C111" s="4" t="s">
        <v>260</v>
      </c>
      <c r="D111" s="3"/>
      <c r="E111" s="3"/>
      <c r="F111" s="3" t="s">
        <v>8</v>
      </c>
      <c r="G111" s="3">
        <v>3</v>
      </c>
    </row>
    <row r="112" spans="1:7" x14ac:dyDescent="0.25">
      <c r="A112" s="3" t="s">
        <v>237</v>
      </c>
      <c r="B112" s="4"/>
      <c r="C112" s="4"/>
      <c r="D112" s="3"/>
      <c r="E112" s="3"/>
      <c r="F112" s="3" t="s">
        <v>8</v>
      </c>
      <c r="G112" s="3">
        <v>2</v>
      </c>
    </row>
    <row r="113" spans="1:7" ht="165" x14ac:dyDescent="0.25">
      <c r="A113" s="3" t="s">
        <v>104</v>
      </c>
      <c r="B113" s="4" t="str">
        <f>bolso("Bolso de corte",Table6[])</f>
        <v xml:space="preserve">Bolso de corte Contiene:  Guantes dielectricos x1,  Alfombra dielectrica x1,  Martillo de goma x1,  Pinza de punta dielectrica x2,  Cuña de madera para gas x4,  Pinza dielectrica x1,  Alicate dielectrico x1,  Llave union x1,  Destornillador x4,  Llave cruz para ascensor x1,  Cutter x1,  juego de llaves alem x1,  Extractor de fusibles NH x1,  saca bujia x2,  Llave fija 9/16 x1,  Corta cinturon x1, </v>
      </c>
      <c r="C113" s="3"/>
      <c r="D113" s="3"/>
      <c r="E113" s="3"/>
      <c r="F113" s="3" t="s">
        <v>8</v>
      </c>
      <c r="G113" s="3">
        <v>1</v>
      </c>
    </row>
    <row r="114" spans="1:7" x14ac:dyDescent="0.25">
      <c r="A114" s="3" t="s">
        <v>252</v>
      </c>
      <c r="B114" s="4"/>
      <c r="C114" s="3"/>
      <c r="D114" s="3"/>
      <c r="E114" s="3"/>
      <c r="F114" s="3" t="s">
        <v>8</v>
      </c>
      <c r="G114" s="3">
        <v>1</v>
      </c>
    </row>
    <row r="115" spans="1:7" x14ac:dyDescent="0.25">
      <c r="A115" s="3" t="s">
        <v>254</v>
      </c>
      <c r="B115" s="4"/>
      <c r="C115" s="3"/>
      <c r="D115" s="3" t="s">
        <v>255</v>
      </c>
      <c r="E115" s="3"/>
      <c r="F115" s="3" t="s">
        <v>8</v>
      </c>
      <c r="G115" s="3">
        <v>1</v>
      </c>
    </row>
    <row r="116" spans="1:7" x14ac:dyDescent="0.25">
      <c r="A116" s="3" t="s">
        <v>254</v>
      </c>
      <c r="B116" s="4"/>
      <c r="C116" s="3"/>
      <c r="D116" s="3" t="s">
        <v>256</v>
      </c>
      <c r="E116" s="3"/>
      <c r="F116" s="3" t="s">
        <v>8</v>
      </c>
      <c r="G116" s="3">
        <v>1</v>
      </c>
    </row>
    <row r="117" spans="1:7" x14ac:dyDescent="0.25">
      <c r="A117" s="3" t="s">
        <v>257</v>
      </c>
      <c r="B117" s="4"/>
      <c r="C117" s="3"/>
      <c r="D117" s="3" t="s">
        <v>258</v>
      </c>
      <c r="E117" s="3"/>
      <c r="F117" s="3" t="s">
        <v>8</v>
      </c>
      <c r="G117" s="3">
        <v>1</v>
      </c>
    </row>
    <row r="118" spans="1:7" x14ac:dyDescent="0.25">
      <c r="A118" s="3" t="s">
        <v>259</v>
      </c>
      <c r="B118" s="4"/>
      <c r="C118" s="3"/>
      <c r="D118" s="3" t="s">
        <v>261</v>
      </c>
      <c r="E118" s="3"/>
      <c r="F118" s="3"/>
      <c r="G118" s="3">
        <v>2</v>
      </c>
    </row>
  </sheetData>
  <mergeCells count="1">
    <mergeCell ref="Q3:T3"/>
  </mergeCells>
  <dataValidations count="4">
    <dataValidation type="list" allowBlank="1" showInputMessage="1" showErrorMessage="1" sqref="A1:A99 A101 A105:A108 A112:A117 A119:A1048576"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K4:K46" xr:uid="{B42A14F1-F620-4535-8278-9BE3E2D91DD1}">
      <formula1>Bolsos</formula1>
    </dataValidation>
    <dataValidation type="list" allowBlank="1" showInputMessage="1" showErrorMessage="1" sqref="F1:F1048576" xr:uid="{BE90CED2-C975-4E7D-82E9-3A42B0777B45}">
      <formula1>$Q$5:$Q$11</formula1>
    </dataValidation>
  </dataValidations>
  <pageMargins left="0.7" right="0.7" top="0.75" bottom="0.75" header="0.3" footer="0.3"/>
  <pageSetup paperSize="9" scale="46"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B8E31177-2A12-49ED-98E6-1D4326E95F43}">
          <x14:formula1>
            <xm:f>Configuracion!$G$2:$G$3</xm:f>
          </x14:formula1>
          <xm:sqref>C27 C31</xm:sqref>
        </x14:dataValidation>
        <x14:dataValidation type="list" allowBlank="1" showInputMessage="1" showErrorMessage="1" xr:uid="{D5F4CC4D-2109-41B3-99B4-CA98ED423092}">
          <x14:formula1>
            <xm:f>Configuracion!$K$2:$K$3</xm:f>
          </x14:formula1>
          <xm:sqref>C6</xm:sqref>
        </x14:dataValidation>
        <x14:dataValidation type="list" allowBlank="1" showInputMessage="1" showErrorMessage="1" xr:uid="{063FE316-2FCE-4EF0-9B6A-ACD523F3FCFB}">
          <x14:formula1>
            <xm:f>Configuracion!$F$2:$F$5</xm:f>
          </x14:formula1>
          <xm:sqref>C13 C28:C29</xm:sqref>
        </x14:dataValidation>
        <x14:dataValidation type="list" allowBlank="1" showInputMessage="1" showErrorMessage="1" xr:uid="{E76FA077-0797-43A6-B34D-1D7D6A28CE28}">
          <x14:formula1>
            <xm:f>Configuracion!$K$2:$K$5</xm:f>
          </x14:formula1>
          <xm:sqref>C22</xm:sqref>
        </x14:dataValidation>
        <x14:dataValidation type="list" allowBlank="1" showInputMessage="1" showErrorMessage="1" xr:uid="{1D081A75-6EF4-4D4E-9A53-FA2DE8B0F5F6}">
          <x14:formula1>
            <xm:f>Configuracion!$K$2:$K$6</xm:f>
          </x14:formula1>
          <xm:sqref>C16 C24 C4</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BF4C76C1-F386-4FB9-857F-F8D7EC4600A6}">
          <x14:formula1>
            <xm:f>Configuracion!$M$2:$M$6</xm:f>
          </x14:formula1>
          <xm:sqref>C18</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04357AF-9047-4B55-A787-377A96505853}">
          <x14:formula1>
            <xm:f>Configuracion!$G$2:$G$5</xm:f>
          </x14:formula1>
          <xm:sqref>C12 C26</xm:sqref>
        </x14:dataValidation>
        <x14:dataValidation type="list" allowBlank="1" showInputMessage="1" showErrorMessage="1" xr:uid="{038E3EAE-F895-4B47-9AAB-FAC660AFCCB9}">
          <x14:formula1>
            <xm:f>Configuracion!$F$2:$F$6</xm:f>
          </x14:formula1>
          <xm:sqref>C30</xm:sqref>
        </x14:dataValidation>
        <x14:dataValidation type="list" allowBlank="1" showInputMessage="1" showErrorMessage="1" xr:uid="{6457681C-60DB-4D20-AED2-86506039851F}">
          <x14:formula1>
            <xm:f>Configuracion!$F$2:$F$7</xm:f>
          </x14:formula1>
          <xm:sqref>C32</xm:sqref>
        </x14:dataValidation>
        <x14:dataValidation type="list" allowBlank="1" showInputMessage="1" showErrorMessage="1" xr:uid="{D92F6585-F7E1-409D-BFF5-6A89DACAE715}">
          <x14:formula1>
            <xm:f>Configuracion!$O$2:$O$7</xm:f>
          </x14:formula1>
          <xm:sqref>C38 C41</xm:sqref>
        </x14:dataValidation>
        <x14:dataValidation type="list" allowBlank="1" showInputMessage="1" showErrorMessage="1" xr:uid="{2BDD8E02-40A9-4FF6-94A7-8AC67B507BC8}">
          <x14:formula1>
            <xm:f>Configuracion!$P$2:$P$4</xm:f>
          </x14:formula1>
          <xm:sqref>C52</xm:sqref>
        </x14:dataValidation>
        <x14:dataValidation type="list" allowBlank="1" showInputMessage="1" showErrorMessage="1" xr:uid="{8F00840D-84C8-4945-BB5B-E263E512F830}">
          <x14:formula1>
            <xm:f>Configuracion!$F$2:$F$8</xm:f>
          </x14:formula1>
          <xm:sqref>C61:C62</xm:sqref>
        </x14:dataValidation>
        <x14:dataValidation type="list" allowBlank="1" showInputMessage="1" showErrorMessage="1" xr:uid="{ABB2D4F2-A513-4C3D-92C4-E645855FB826}">
          <x14:formula1>
            <xm:f>Configuracion!$F$2:$F$9</xm:f>
          </x14:formula1>
          <xm:sqref>C63</xm:sqref>
        </x14:dataValidation>
        <x14:dataValidation type="list" allowBlank="1" showInputMessage="1" showErrorMessage="1" xr:uid="{405E54D2-8B73-410C-B54C-5DDE41FB3F8F}">
          <x14:formula1>
            <xm:f>Configuracion!$F$2:$F$10</xm:f>
          </x14:formula1>
          <xm:sqref>C64:C65</xm:sqref>
        </x14:dataValidation>
        <x14:dataValidation type="list" allowBlank="1" showInputMessage="1" showErrorMessage="1" xr:uid="{6B2E7A2D-8245-4AF7-B53E-38C704284527}">
          <x14:formula1>
            <xm:f>Configuracion!$Q$2:$Q$7</xm:f>
          </x14:formula1>
          <xm:sqref>C66:C67 C53 C70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C21</xm:sqref>
        </x14:dataValidation>
        <x14:dataValidation type="list" allowBlank="1" showInputMessage="1" showErrorMessage="1" xr:uid="{29DE0CFE-FC07-4A52-8CAB-D24FC28E61BB}">
          <x14:formula1>
            <xm:f>Configuracion!$J$2:$J$3</xm:f>
          </x14:formula1>
          <xm:sqref>C23</xm:sqref>
        </x14:dataValidation>
        <x14:dataValidation type="list" allowBlank="1" showInputMessage="1" showErrorMessage="1" xr:uid="{292BC257-E625-47CE-8892-ED8AD328A8D8}">
          <x14:formula1>
            <xm:f>Configuracion!$J$2:$J$5</xm:f>
          </x14:formula1>
          <xm:sqref>C25 C19:C20 C9:C10</xm:sqref>
        </x14:dataValidation>
        <x14:dataValidation type="list" allowBlank="1" showInputMessage="1" showErrorMessage="1" xr:uid="{F1DF1D18-B46B-4E26-9DE3-418DAB37B71A}">
          <x14:formula1>
            <xm:f>Configuracion!$R$2:$R$10</xm:f>
          </x14:formula1>
          <xm:sqref>C95</xm:sqref>
        </x14:dataValidation>
        <x14:dataValidation type="list" allowBlank="1" showInputMessage="1" showErrorMessage="1" xr:uid="{D355E91B-2C0A-4F51-9345-C3A03C47CA45}">
          <x14:formula1>
            <xm:f>Configuracion!$S$2:$S$10</xm:f>
          </x14:formula1>
          <xm:sqref>C96 C100:C101 C105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53"/>
  <sheetViews>
    <sheetView topLeftCell="A34" workbookViewId="0">
      <selection activeCell="A53" sqref="A53"/>
    </sheetView>
  </sheetViews>
  <sheetFormatPr defaultRowHeight="15" x14ac:dyDescent="0.25"/>
  <cols>
    <col min="1" max="1" width="22.140625" bestFit="1" customWidth="1"/>
    <col min="2" max="2" width="10.7109375" customWidth="1"/>
    <col min="5" max="5" width="11.28515625" customWidth="1"/>
    <col min="6" max="6" width="10.42578125"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140625" bestFit="1" customWidth="1"/>
  </cols>
  <sheetData>
    <row r="1" spans="1:19" x14ac:dyDescent="0.25">
      <c r="A1" s="5" t="s">
        <v>37</v>
      </c>
      <c r="F1" t="s">
        <v>12</v>
      </c>
      <c r="G1" t="s">
        <v>35</v>
      </c>
      <c r="H1" t="s">
        <v>38</v>
      </c>
      <c r="I1" t="s">
        <v>43</v>
      </c>
      <c r="J1" t="s">
        <v>46</v>
      </c>
      <c r="K1" t="s">
        <v>47</v>
      </c>
      <c r="L1" t="s">
        <v>58</v>
      </c>
      <c r="M1" t="s">
        <v>65</v>
      </c>
      <c r="N1" t="s">
        <v>63</v>
      </c>
      <c r="O1" t="s">
        <v>96</v>
      </c>
      <c r="P1" t="s">
        <v>123</v>
      </c>
      <c r="Q1" t="s">
        <v>127</v>
      </c>
      <c r="R1" t="s">
        <v>205</v>
      </c>
      <c r="S1" t="s">
        <v>206</v>
      </c>
    </row>
    <row r="2" spans="1:19" x14ac:dyDescent="0.25">
      <c r="A2" t="s">
        <v>46</v>
      </c>
      <c r="F2" t="s">
        <v>138</v>
      </c>
      <c r="H2" t="s">
        <v>40</v>
      </c>
      <c r="J2" t="s">
        <v>71</v>
      </c>
      <c r="Q2" t="s">
        <v>146</v>
      </c>
      <c r="R2" t="s">
        <v>207</v>
      </c>
      <c r="S2" t="s">
        <v>208</v>
      </c>
    </row>
    <row r="3" spans="1:19" x14ac:dyDescent="0.25">
      <c r="A3" s="3" t="s">
        <v>104</v>
      </c>
      <c r="F3" s="7" t="s">
        <v>53</v>
      </c>
      <c r="G3" t="s">
        <v>78</v>
      </c>
      <c r="H3" t="s">
        <v>41</v>
      </c>
      <c r="J3" t="s">
        <v>70</v>
      </c>
      <c r="K3" t="s">
        <v>76</v>
      </c>
      <c r="P3" t="s">
        <v>125</v>
      </c>
      <c r="Q3" t="s">
        <v>147</v>
      </c>
    </row>
    <row r="4" spans="1:19" x14ac:dyDescent="0.25">
      <c r="A4" t="s">
        <v>49</v>
      </c>
      <c r="F4" t="s">
        <v>87</v>
      </c>
      <c r="Q4" t="s">
        <v>148</v>
      </c>
    </row>
    <row r="5" spans="1:19" x14ac:dyDescent="0.25">
      <c r="A5" t="s">
        <v>38</v>
      </c>
      <c r="F5" s="8" t="s">
        <v>32</v>
      </c>
      <c r="K5" t="s">
        <v>75</v>
      </c>
      <c r="P5" t="s">
        <v>126</v>
      </c>
      <c r="Q5" t="s">
        <v>149</v>
      </c>
    </row>
    <row r="6" spans="1:19" x14ac:dyDescent="0.25">
      <c r="A6" t="s">
        <v>13</v>
      </c>
      <c r="F6" t="s">
        <v>84</v>
      </c>
      <c r="K6" t="s">
        <v>73</v>
      </c>
      <c r="Q6" t="s">
        <v>144</v>
      </c>
    </row>
    <row r="7" spans="1:19" x14ac:dyDescent="0.25">
      <c r="A7" t="s">
        <v>35</v>
      </c>
      <c r="F7" t="s">
        <v>62</v>
      </c>
      <c r="G7" t="s">
        <v>36</v>
      </c>
      <c r="I7" t="s">
        <v>44</v>
      </c>
      <c r="K7" t="s">
        <v>48</v>
      </c>
      <c r="Q7" t="s">
        <v>145</v>
      </c>
    </row>
    <row r="8" spans="1:19" x14ac:dyDescent="0.25">
      <c r="A8" t="s">
        <v>43</v>
      </c>
      <c r="F8" t="s">
        <v>140</v>
      </c>
    </row>
    <row r="9" spans="1:19" x14ac:dyDescent="0.25">
      <c r="A9" t="s">
        <v>47</v>
      </c>
      <c r="F9" s="6" t="s">
        <v>34</v>
      </c>
      <c r="G9" t="s">
        <v>55</v>
      </c>
      <c r="K9" t="s">
        <v>68</v>
      </c>
      <c r="L9" t="s">
        <v>59</v>
      </c>
      <c r="M9" t="s">
        <v>67</v>
      </c>
      <c r="N9" t="s">
        <v>36</v>
      </c>
      <c r="O9" t="s">
        <v>55</v>
      </c>
      <c r="P9" t="s">
        <v>124</v>
      </c>
    </row>
    <row r="10" spans="1:19" x14ac:dyDescent="0.25">
      <c r="A10" t="s">
        <v>12</v>
      </c>
      <c r="F10" t="s">
        <v>142</v>
      </c>
    </row>
    <row r="11" spans="1:19" x14ac:dyDescent="0.25">
      <c r="A11" t="s">
        <v>56</v>
      </c>
    </row>
    <row r="12" spans="1:19" x14ac:dyDescent="0.25">
      <c r="A12" t="s">
        <v>58</v>
      </c>
    </row>
    <row r="13" spans="1:19" x14ac:dyDescent="0.25">
      <c r="A13" t="s">
        <v>63</v>
      </c>
    </row>
    <row r="14" spans="1:19" x14ac:dyDescent="0.25">
      <c r="A14" t="s">
        <v>65</v>
      </c>
    </row>
    <row r="15" spans="1:19" x14ac:dyDescent="0.25">
      <c r="A15" t="s">
        <v>88</v>
      </c>
    </row>
    <row r="16" spans="1:19" x14ac:dyDescent="0.25">
      <c r="A16" t="s">
        <v>91</v>
      </c>
    </row>
    <row r="17" spans="1:1" x14ac:dyDescent="0.25">
      <c r="A17" t="s">
        <v>94</v>
      </c>
    </row>
    <row r="18" spans="1:1" x14ac:dyDescent="0.25">
      <c r="A18" t="s">
        <v>96</v>
      </c>
    </row>
    <row r="19" spans="1:1" x14ac:dyDescent="0.25">
      <c r="A19" t="s">
        <v>97</v>
      </c>
    </row>
    <row r="20" spans="1:1" x14ac:dyDescent="0.25">
      <c r="A20" t="s">
        <v>99</v>
      </c>
    </row>
    <row r="21" spans="1:1" x14ac:dyDescent="0.25">
      <c r="A21" t="s">
        <v>101</v>
      </c>
    </row>
    <row r="22" spans="1:1" x14ac:dyDescent="0.25">
      <c r="A22" t="s">
        <v>102</v>
      </c>
    </row>
    <row r="23" spans="1:1" x14ac:dyDescent="0.25">
      <c r="A23" t="s">
        <v>111</v>
      </c>
    </row>
    <row r="24" spans="1:1" x14ac:dyDescent="0.25">
      <c r="A24" t="s">
        <v>113</v>
      </c>
    </row>
    <row r="25" spans="1:1" x14ac:dyDescent="0.25">
      <c r="A25" t="s">
        <v>114</v>
      </c>
    </row>
    <row r="26" spans="1:1" x14ac:dyDescent="0.25">
      <c r="A26" t="s">
        <v>117</v>
      </c>
    </row>
    <row r="27" spans="1:1" x14ac:dyDescent="0.25">
      <c r="A27" t="s">
        <v>118</v>
      </c>
    </row>
    <row r="28" spans="1:1" x14ac:dyDescent="0.25">
      <c r="A28" t="s">
        <v>123</v>
      </c>
    </row>
    <row r="29" spans="1:1" x14ac:dyDescent="0.25">
      <c r="A29" t="s">
        <v>127</v>
      </c>
    </row>
    <row r="30" spans="1:1" x14ac:dyDescent="0.25">
      <c r="A30" t="s">
        <v>184</v>
      </c>
    </row>
    <row r="31" spans="1:1" x14ac:dyDescent="0.25">
      <c r="A31" t="s">
        <v>130</v>
      </c>
    </row>
    <row r="32" spans="1:1" x14ac:dyDescent="0.25">
      <c r="A32" t="s">
        <v>135</v>
      </c>
    </row>
    <row r="33" spans="1:1" x14ac:dyDescent="0.25">
      <c r="A33" t="s">
        <v>150</v>
      </c>
    </row>
    <row r="34" spans="1:1" x14ac:dyDescent="0.25">
      <c r="A34" t="s">
        <v>154</v>
      </c>
    </row>
    <row r="35" spans="1:1" x14ac:dyDescent="0.25">
      <c r="A35" t="s">
        <v>158</v>
      </c>
    </row>
    <row r="36" spans="1:1" x14ac:dyDescent="0.25">
      <c r="A36" t="s">
        <v>159</v>
      </c>
    </row>
    <row r="37" spans="1:1" x14ac:dyDescent="0.25">
      <c r="A37" t="s">
        <v>162</v>
      </c>
    </row>
    <row r="38" spans="1:1" x14ac:dyDescent="0.25">
      <c r="A38" t="s">
        <v>163</v>
      </c>
    </row>
    <row r="39" spans="1:1" x14ac:dyDescent="0.25">
      <c r="A39" t="s">
        <v>179</v>
      </c>
    </row>
    <row r="40" spans="1:1" x14ac:dyDescent="0.25">
      <c r="A40" t="s">
        <v>182</v>
      </c>
    </row>
    <row r="41" spans="1:1" x14ac:dyDescent="0.25">
      <c r="A41" t="s">
        <v>185</v>
      </c>
    </row>
    <row r="42" spans="1:1" x14ac:dyDescent="0.25">
      <c r="A42" t="s">
        <v>191</v>
      </c>
    </row>
    <row r="43" spans="1:1" x14ac:dyDescent="0.25">
      <c r="A43" t="s">
        <v>204</v>
      </c>
    </row>
    <row r="44" spans="1:1" x14ac:dyDescent="0.25">
      <c r="A44" t="s">
        <v>205</v>
      </c>
    </row>
    <row r="45" spans="1:1" x14ac:dyDescent="0.25">
      <c r="A45" t="s">
        <v>206</v>
      </c>
    </row>
    <row r="46" spans="1:1" x14ac:dyDescent="0.25">
      <c r="A46" t="s">
        <v>227</v>
      </c>
    </row>
    <row r="47" spans="1:1" x14ac:dyDescent="0.25">
      <c r="A47" t="s">
        <v>230</v>
      </c>
    </row>
    <row r="48" spans="1:1" x14ac:dyDescent="0.25">
      <c r="A48" t="s">
        <v>232</v>
      </c>
    </row>
    <row r="49" spans="1:1" x14ac:dyDescent="0.25">
      <c r="A49" t="s">
        <v>236</v>
      </c>
    </row>
    <row r="50" spans="1:1" x14ac:dyDescent="0.25">
      <c r="A50" t="s">
        <v>252</v>
      </c>
    </row>
    <row r="51" spans="1:1" x14ac:dyDescent="0.25">
      <c r="A51" t="s">
        <v>253</v>
      </c>
    </row>
    <row r="52" spans="1:1" x14ac:dyDescent="0.25">
      <c r="A52" t="s">
        <v>257</v>
      </c>
    </row>
    <row r="53" spans="1:1" x14ac:dyDescent="0.25">
      <c r="A53" t="s">
        <v>259</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Movil 51</vt:lpstr>
      <vt:lpstr>Inventario general</vt:lpstr>
      <vt:lpstr>Configuracion</vt:lpstr>
      <vt:lpstr>Bolsos</vt:lpstr>
      <vt:lpstr>categorias</vt:lpstr>
      <vt:lpstr>Medidas</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2018-07-17T00:36:04Z</dcterms:modified>
</cp:coreProperties>
</file>