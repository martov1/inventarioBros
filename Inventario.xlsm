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378E68A0-39FE-4B9B-82F6-0CA6AFC3FC10}" xr6:coauthVersionLast="40" xr6:coauthVersionMax="40" xr10:uidLastSave="{00000000-0000-0000-0000-000000000000}"/>
  <bookViews>
    <workbookView xWindow="-120" yWindow="-120" windowWidth="20730" windowHeight="11160" firstSheet="1" activeTab="1" xr2:uid="{00000000-000D-0000-FFFF-FFFF00000000}"/>
  </bookViews>
  <sheets>
    <sheet name="Movil 51" sheetId="1" r:id="rId1"/>
    <sheet name="Movil 56" sheetId="8" r:id="rId2"/>
    <sheet name="Movil 41" sheetId="4" r:id="rId3"/>
    <sheet name="Movil 39" sheetId="5" r:id="rId4"/>
    <sheet name="Movil 52" sheetId="6" r:id="rId5"/>
    <sheet name="Movil 42" sheetId="7" r:id="rId6"/>
    <sheet name="Inventario general" sheetId="2" r:id="rId7"/>
    <sheet name="Configuracion" sheetId="3" r:id="rId8"/>
  </sheets>
  <functionGroups builtInGroupCount="19"/>
  <definedNames>
    <definedName name="Bolsos" localSheetId="3">Table2[Bolsos]</definedName>
    <definedName name="Bolsos" localSheetId="5">Table222[Bolsos]</definedName>
    <definedName name="Bolsos">Table2[Bolsos]</definedName>
    <definedName name="BolsosM41" localSheetId="3">Table21014[[#All],[Bolsos]]</definedName>
    <definedName name="BolsosM41" localSheetId="5">Table210[[#All],[Bolsos]]</definedName>
    <definedName name="BolsosM41">Table210[[#All],[Bolsos]]</definedName>
    <definedName name="BolsosM52" localSheetId="5">Table21014[[#All],[Bolsos]]</definedName>
    <definedName name="BolsosM52">Table21014[[#All],[Bolsos]]</definedName>
    <definedName name="ca" localSheetId="3">#REF!</definedName>
    <definedName name="ca" localSheetId="5">#REF!</definedName>
    <definedName name="ca">#REF!</definedName>
    <definedName name="Cajoneras" localSheetId="3">Table5[#Headers]</definedName>
    <definedName name="Cajoneras" localSheetId="5">Table523[#Headers]</definedName>
    <definedName name="Cajoneras">Table5[#Headers]</definedName>
    <definedName name="CajonerasM39" localSheetId="3">Table51115[#Headers]</definedName>
    <definedName name="CajonerasM39" localSheetId="5">Table51115[#Headers]</definedName>
    <definedName name="CajonerasM39">Table51115[#Headers]</definedName>
    <definedName name="CajonerasM41" localSheetId="5">Table511[#Headers]</definedName>
    <definedName name="CajonerasM41">Table511[#Headers]</definedName>
    <definedName name="CajonerasM52" localSheetId="5">Table5111519[#Headers]</definedName>
    <definedName name="CajonerasM52">Table5111519[#Headers]</definedName>
    <definedName name="categorias" localSheetId="3">Table4[[#All],[Categorias disponibles]]</definedName>
    <definedName name="categorias" localSheetId="5">Table4[[#All],[Categorias disponibles]]</definedName>
    <definedName name="categorias">Table4[[#All],[Categorias disponibles]]</definedName>
    <definedName name="categoriasDeMedidas" localSheetId="5">Table3[#Headers]</definedName>
    <definedName name="categoriasDeMedidas">Table3[#Headers]</definedName>
    <definedName name="Compartimientos" localSheetId="3">Table5[]</definedName>
    <definedName name="Compartimientos" localSheetId="5">Table523[]</definedName>
    <definedName name="Compartimientos">Table5[]</definedName>
    <definedName name="CompartimientosM39" localSheetId="5">Table51115[]</definedName>
    <definedName name="CompartimientosM39">Table51115[]</definedName>
    <definedName name="CompartimientosM41" localSheetId="3">Table51115[]</definedName>
    <definedName name="CompartimientosM41" localSheetId="5">Table511[]</definedName>
    <definedName name="CompartimientosM41">Table511[]</definedName>
    <definedName name="CompartimientosM52" localSheetId="5">Table5111519[]</definedName>
    <definedName name="CompartimientosM52">Table5111519[]</definedName>
    <definedName name="Medidas" localSheetId="3">Table3[#All]</definedName>
    <definedName name="Medidas" localSheetId="5">Table3[#All]</definedName>
    <definedName name="Medidas">Table3[#All]</definedName>
    <definedName name="medidasDeCategorias" localSheetId="5">Table3[#Headers]</definedName>
    <definedName name="medidasDeCategorias">Table3[#Headers]</definedName>
    <definedName name="_xlnm.Print_Area" localSheetId="5">Table120[#All]</definedName>
    <definedName name="_xlnm.Print_Area" localSheetId="0">Table1[#All]</definedName>
    <definedName name="_xlnm.Print_Titles" localSheetId="5">'Movil 42'!$1:$1</definedName>
    <definedName name="_xlnm.Print_Titles" localSheetId="0">'Movil 51'!$1:$1</definedName>
    <definedName name="validacion" localSheetId="3">Table3[#All]</definedName>
    <definedName name="validacion" localSheetId="5">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9" i="1" l="1"/>
  <c r="B90" i="4"/>
  <c r="B87" i="4"/>
  <c r="B40" i="4"/>
  <c r="B67" i="4"/>
  <c r="B12" i="4"/>
  <c r="B61" i="4"/>
  <c r="B63" i="4"/>
  <c r="B89" i="4"/>
  <c r="B85" i="4"/>
  <c r="B35" i="4"/>
  <c r="B64" i="4"/>
  <c r="B10" i="4"/>
  <c r="B37" i="4"/>
  <c r="B69" i="1"/>
  <c r="B30" i="7"/>
  <c r="B6" i="7"/>
  <c r="B26" i="7"/>
  <c r="B88" i="4"/>
  <c r="B54" i="4"/>
  <c r="B65" i="4"/>
  <c r="B60" i="4"/>
  <c r="B38" i="4"/>
  <c r="B66" i="4"/>
  <c r="B105" i="1"/>
  <c r="B27" i="1"/>
  <c r="B86" i="4"/>
  <c r="B11" i="4"/>
  <c r="B39" i="4"/>
  <c r="B59" i="4"/>
  <c r="B34" i="4"/>
  <c r="B62" i="4"/>
  <c r="B29" i="7"/>
  <c r="B4" i="7"/>
  <c r="B5" i="7"/>
  <c r="B32" i="8"/>
  <c r="B31" i="8"/>
  <c r="B30" i="8"/>
</calcChain>
</file>

<file path=xl/sharedStrings.xml><?xml version="1.0" encoding="utf-8"?>
<sst xmlns="http://schemas.openxmlformats.org/spreadsheetml/2006/main" count="1936" uniqueCount="616">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</sst>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6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61" dataDxfId="60">
  <autoFilter ref="A1:H131" xr:uid="{00000000-0009-0000-0100-000001000000}"/>
  <sortState ref="A2:H136">
    <sortCondition ref="G2:G136"/>
    <sortCondition ref="H2:H136"/>
  </sortState>
  <tableColumns count="8">
    <tableColumn id="1" xr3:uid="{00000000-0010-0000-0000-000001000000}" name="Categoria" dataDxfId="59"/>
    <tableColumn id="2" xr3:uid="{00000000-0010-0000-0000-000002000000}" name="Descripcion" dataDxfId="58"/>
    <tableColumn id="3" xr3:uid="{00000000-0010-0000-0000-000003000000}" name="Medidas" dataDxfId="57"/>
    <tableColumn id="4" xr3:uid="{00000000-0010-0000-0000-000004000000}" name="marca" dataDxfId="56"/>
    <tableColumn id="5" xr3:uid="{00000000-0010-0000-0000-000005000000}" name="N/ de serie" dataDxfId="55"/>
    <tableColumn id="7" xr3:uid="{20A560DE-96A4-4C20-8E3B-6987DAD27B3D}" name="cant" dataDxfId="54"/>
    <tableColumn id="6" xr3:uid="{00000000-0010-0000-0000-000006000000}" name="Cajonera" dataDxfId="53"/>
    <tableColumn id="8" xr3:uid="{6A730937-5917-4102-A73F-F22FC5E46982}" name="Compartimiento" dataDxfId="5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N32" totalsRowShown="0">
  <autoFilter ref="J3:N32" xr:uid="{00000000-0009-0000-0100-000006000000}"/>
  <tableColumns count="5">
    <tableColumn id="1" xr3:uid="{00000000-0010-0000-0100-000001000000}" name="Material"/>
    <tableColumn id="2" xr3:uid="{00000000-0010-0000-0100-000002000000}" name="Cantidad"/>
    <tableColumn id="3" xr3:uid="{00000000-0010-0000-0100-000003000000}" name="Bolso"/>
    <tableColumn id="4" xr3:uid="{2AED530D-ACB2-4B5C-929B-D55A51C11C0E}" name="Categoria"/>
    <tableColumn id="5" xr3:uid="{070A8E11-10FA-4FBA-8BBD-1B208B4D8EA2}" name="Medida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P3:P8" totalsRowShown="0">
  <autoFilter ref="P3:P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R4:X8" totalsRowShown="0">
  <autoFilter ref="R4:X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60" totalsRowShown="0" headerRowDxfId="9" dataDxfId="8">
  <autoFilter ref="A1:H60" xr:uid="{4420E20B-53C0-415C-9CB8-8EBBE392DB7E}"/>
  <sortState ref="A2:H136">
    <sortCondition ref="G2:G136"/>
    <sortCondition ref="H2:H136"/>
  </sortState>
  <tableColumns count="8">
    <tableColumn id="1" xr3:uid="{45F247E6-E4F8-4524-8BAC-4E5305BFD4E8}" name="Categoria" dataDxfId="7"/>
    <tableColumn id="2" xr3:uid="{18D75DA7-F382-464D-90FD-E4E0506B8A6E}" name="Descripcion" dataDxfId="6"/>
    <tableColumn id="3" xr3:uid="{E2793599-1DAF-466B-A1AD-A54BA4C6AC06}" name="Medidas" dataDxfId="5"/>
    <tableColumn id="4" xr3:uid="{46F5E322-E424-487F-AE67-B4E3358E403F}" name="marca" dataDxfId="4"/>
    <tableColumn id="5" xr3:uid="{3D283D2B-D541-479C-87FD-6AA3D3CF8E18}" name="N/ de serie" dataDxfId="3"/>
    <tableColumn id="7" xr3:uid="{1D224AAD-0462-40C4-9698-3AD0B9B09F9C}" name="cant" dataDxfId="2"/>
    <tableColumn id="6" xr3:uid="{E962ECD1-4DEF-4678-96D7-81953010DD85}" name="Cajonera" dataDxfId="1"/>
    <tableColumn id="8" xr3:uid="{DDA87DEE-616F-4F4F-B1CF-4AFC1D7DDE80}" name="Compartimiento"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N19" totalsRowShown="0">
  <autoFilter ref="J3:N19" xr:uid="{F64C4D09-9588-45B3-A069-41EC67E79E9D}"/>
  <tableColumns count="5">
    <tableColumn id="1" xr3:uid="{E29A2BD3-9958-4292-B6D3-70720983B09F}" name="Material"/>
    <tableColumn id="2" xr3:uid="{A86B4CDB-1ED6-4EAC-BFF8-5B77FA04F67F}" name="Cantidad"/>
    <tableColumn id="3" xr3:uid="{E132B31A-E29A-479E-BA42-A16EC3D24FF8}" name="Bolso"/>
    <tableColumn id="4" xr3:uid="{4D54AC53-8600-4FD8-93B3-26701C4F0C10}" name="Categoria"/>
    <tableColumn id="5" xr3:uid="{0E934890-7DF2-4649-98DA-39F4FE067C9D}" name="Medidas"/>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P3:P6" totalsRowShown="0">
  <autoFilter ref="P3:P6"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R4:Z8" totalsRowShown="0">
  <autoFilter ref="R4:Z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31" dataDxfId="30">
  <autoFilter ref="A1:H21" xr:uid="{4B761E2F-E7D0-4786-8CEF-F1092DBA932F}"/>
  <sortState ref="A2:H135">
    <sortCondition ref="G2:G135"/>
    <sortCondition ref="H2:H135"/>
    <sortCondition ref="A2:A135"/>
  </sortState>
  <tableColumns count="8">
    <tableColumn id="1" xr3:uid="{59F451BF-799E-467F-87E6-D1A92B2F2F19}" name="Categoria" dataDxfId="29"/>
    <tableColumn id="2" xr3:uid="{7B78AF34-49C2-4BC7-88BB-EB59466AF70E}" name="Descripcion" dataDxfId="28"/>
    <tableColumn id="3" xr3:uid="{91AE2D4D-14E6-4D02-A2AE-5C64C2399D48}" name="Medidas" dataDxfId="27"/>
    <tableColumn id="4" xr3:uid="{5862D588-22B6-471B-9202-79CB070BA9F1}" name="marca" dataDxfId="26"/>
    <tableColumn id="5" xr3:uid="{2E34E0CF-7BE5-4082-9DDE-726BF5669D7D}" name="N/ de serie" dataDxfId="25"/>
    <tableColumn id="7" xr3:uid="{2E9D9731-27A3-4A80-B0FD-D982940A817F}" name="cant" dataDxfId="24"/>
    <tableColumn id="6" xr3:uid="{29E6860E-7FCC-42E5-BD7A-DD1148407EF7}" name="Cajonera" dataDxfId="23"/>
    <tableColumn id="8" xr3:uid="{176739AE-F62A-4931-BD7F-D9296054E437}"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21" dataDxfId="20">
  <autoFilter ref="A1:H34" xr:uid="{00000000-0009-0000-0100-000001000000}"/>
  <sortState ref="A2:H135">
    <sortCondition ref="G2:G135"/>
    <sortCondition ref="H2:H135"/>
    <sortCondition ref="A2:A135"/>
  </sortState>
  <tableColumns count="8">
    <tableColumn id="1" xr3:uid="{F908C9F5-DD8B-443A-A527-DCABD33B8237}" name="Categoria" dataDxfId="19"/>
    <tableColumn id="2" xr3:uid="{8036B6F2-C43F-461F-A164-185E9010DABA}" name="Descripcion" dataDxfId="18"/>
    <tableColumn id="3" xr3:uid="{4B73C355-844D-4708-8DD2-3BAA3380C699}" name="Medidas" dataDxfId="17"/>
    <tableColumn id="4" xr3:uid="{0D85BE5C-3096-482C-BC13-95741D8C8766}" name="marca" dataDxfId="16"/>
    <tableColumn id="5" xr3:uid="{86876B37-5F66-4B8C-9658-6F4D3F570100}" name="N/ de serie" dataDxfId="15"/>
    <tableColumn id="7" xr3:uid="{DDA2BF92-6F99-4EE6-8D4C-490484E63590}" name="cant" dataDxfId="14"/>
    <tableColumn id="6" xr3:uid="{65BD277E-AD38-49FE-8584-2B2393B38D9E}" name="Cajonera" dataDxfId="13"/>
    <tableColumn id="8" xr3:uid="{1DEC6FAA-BE51-4355-AD37-F311FED3A618}"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N24" totalsRowShown="0">
  <autoFilter ref="J3:N24" xr:uid="{00000000-0009-0000-0100-000006000000}"/>
  <tableColumns count="5">
    <tableColumn id="1" xr3:uid="{71899C2C-3A9F-4FC2-87AD-1FD7A7D345CA}" name="Material"/>
    <tableColumn id="2" xr3:uid="{F6270979-38DA-4E0C-A759-DF5F140DEA96}" name="Cantidad"/>
    <tableColumn id="3" xr3:uid="{45903662-F3E4-423C-9845-CFACB5935F43}" name="Bolso"/>
    <tableColumn id="4" xr3:uid="{DA0CF803-C7EB-4E8B-9E75-AC53FA181AF4}" name="Categoria"/>
    <tableColumn id="5" xr3:uid="{1DD7B5A6-BCB7-46CB-8DDF-1061623E8E5E}" name="Medida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P3:P10" totalsRowShown="0">
  <autoFilter ref="P3:P10" xr:uid="{EE8CA32C-3909-47AF-9D21-A6D698228C0D}"/>
  <tableColumns count="1">
    <tableColumn id="1" xr3:uid="{EDDF6E28-C0AD-496E-806D-0DAA518815F3}" name="Bolsos"/>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R4:U12" totalsRowShown="0">
  <autoFilter ref="R4:U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0" totalsRowShown="0" headerRowDxfId="11" tableBorderDxfId="10">
  <autoFilter ref="A1:A100"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4" Type="http://schemas.openxmlformats.org/officeDocument/2006/relationships/table" Target="../tables/table2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4.bin"/><Relationship Id="rId5" Type="http://schemas.openxmlformats.org/officeDocument/2006/relationships/table" Target="../tables/table24.xml"/><Relationship Id="rId4" Type="http://schemas.openxmlformats.org/officeDocument/2006/relationships/table" Target="../tables/table2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139"/>
  <sheetViews>
    <sheetView workbookViewId="0">
      <pane ySplit="1" topLeftCell="A99" activePane="bottomLeft" state="frozen"/>
      <selection pane="bottomLeft" activeCell="B105" sqref="B105"/>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4" x14ac:dyDescent="0.25">
      <c r="A1" s="6" t="s">
        <v>0</v>
      </c>
      <c r="B1" s="7" t="s">
        <v>1</v>
      </c>
      <c r="C1" s="6" t="s">
        <v>2</v>
      </c>
      <c r="D1" s="6" t="s">
        <v>3</v>
      </c>
      <c r="E1" s="6" t="s">
        <v>4</v>
      </c>
      <c r="F1" s="6" t="s">
        <v>240</v>
      </c>
      <c r="G1" s="6" t="s">
        <v>13</v>
      </c>
      <c r="H1" s="6" t="s">
        <v>232</v>
      </c>
    </row>
    <row r="2" spans="1:24" x14ac:dyDescent="0.25">
      <c r="A2" s="6" t="s">
        <v>97</v>
      </c>
      <c r="B2" s="9" t="s">
        <v>85</v>
      </c>
      <c r="C2" s="8"/>
      <c r="D2" s="8" t="s">
        <v>96</v>
      </c>
      <c r="E2" s="8">
        <v>315000341</v>
      </c>
      <c r="F2" s="8">
        <v>1</v>
      </c>
      <c r="G2" s="8" t="s">
        <v>8</v>
      </c>
      <c r="H2" s="8">
        <v>1</v>
      </c>
    </row>
    <row r="3" spans="1:24" x14ac:dyDescent="0.25">
      <c r="A3" s="8" t="s">
        <v>241</v>
      </c>
      <c r="B3" s="9" t="s">
        <v>85</v>
      </c>
      <c r="C3" s="8"/>
      <c r="D3" s="8"/>
      <c r="E3" s="8"/>
      <c r="F3" s="8">
        <v>1</v>
      </c>
      <c r="G3" s="8" t="s">
        <v>8</v>
      </c>
      <c r="H3" s="8">
        <v>1</v>
      </c>
      <c r="J3" t="s">
        <v>16</v>
      </c>
      <c r="K3" t="s">
        <v>18</v>
      </c>
      <c r="L3" t="s">
        <v>14</v>
      </c>
      <c r="M3" t="s">
        <v>0</v>
      </c>
      <c r="N3" t="s">
        <v>2</v>
      </c>
      <c r="P3" t="s">
        <v>28</v>
      </c>
      <c r="R3" s="12" t="s">
        <v>230</v>
      </c>
      <c r="S3" s="12"/>
      <c r="T3" s="12"/>
      <c r="U3" s="12"/>
      <c r="V3" s="12"/>
      <c r="W3" s="12"/>
    </row>
    <row r="4" spans="1:24" x14ac:dyDescent="0.25">
      <c r="A4" s="8" t="s">
        <v>95</v>
      </c>
      <c r="B4" s="9" t="s">
        <v>85</v>
      </c>
      <c r="C4" s="8"/>
      <c r="D4" s="8" t="s">
        <v>96</v>
      </c>
      <c r="E4" s="8">
        <v>28999</v>
      </c>
      <c r="F4" s="8">
        <v>1</v>
      </c>
      <c r="G4" s="8" t="s">
        <v>8</v>
      </c>
      <c r="H4" s="8">
        <v>1</v>
      </c>
      <c r="J4" t="s">
        <v>17</v>
      </c>
      <c r="K4">
        <v>2</v>
      </c>
      <c r="L4" t="s">
        <v>15</v>
      </c>
      <c r="M4" t="s">
        <v>156</v>
      </c>
      <c r="P4" t="s">
        <v>15</v>
      </c>
      <c r="R4" t="s">
        <v>8</v>
      </c>
      <c r="S4" t="s">
        <v>5</v>
      </c>
      <c r="T4" t="s">
        <v>6</v>
      </c>
      <c r="U4" t="s">
        <v>9</v>
      </c>
      <c r="V4" t="s">
        <v>10</v>
      </c>
      <c r="W4" t="s">
        <v>7</v>
      </c>
      <c r="X4" t="s">
        <v>36</v>
      </c>
    </row>
    <row r="5" spans="1:24" x14ac:dyDescent="0.25">
      <c r="A5" s="8" t="s">
        <v>100</v>
      </c>
      <c r="B5" s="9" t="s">
        <v>101</v>
      </c>
      <c r="C5" s="8"/>
      <c r="D5" s="8" t="s">
        <v>96</v>
      </c>
      <c r="E5" s="8">
        <v>150181011</v>
      </c>
      <c r="F5" s="8">
        <v>2</v>
      </c>
      <c r="G5" s="8" t="s">
        <v>8</v>
      </c>
      <c r="H5" s="8">
        <v>2</v>
      </c>
      <c r="J5" t="s">
        <v>19</v>
      </c>
      <c r="K5">
        <v>2</v>
      </c>
      <c r="L5" t="s">
        <v>15</v>
      </c>
      <c r="M5" t="s">
        <v>156</v>
      </c>
      <c r="P5" t="s">
        <v>29</v>
      </c>
      <c r="R5">
        <v>1</v>
      </c>
      <c r="S5">
        <v>1</v>
      </c>
      <c r="T5">
        <v>1</v>
      </c>
      <c r="U5">
        <v>1</v>
      </c>
      <c r="V5">
        <v>1</v>
      </c>
      <c r="W5" t="s">
        <v>231</v>
      </c>
      <c r="X5" t="s">
        <v>36</v>
      </c>
    </row>
    <row r="6" spans="1:24" x14ac:dyDescent="0.25">
      <c r="A6" s="8" t="s">
        <v>100</v>
      </c>
      <c r="B6" s="9" t="s">
        <v>102</v>
      </c>
      <c r="C6" s="8" t="s">
        <v>103</v>
      </c>
      <c r="D6" s="8"/>
      <c r="E6" s="8"/>
      <c r="F6" s="8">
        <v>1</v>
      </c>
      <c r="G6" s="8" t="s">
        <v>8</v>
      </c>
      <c r="H6" s="8">
        <v>2</v>
      </c>
      <c r="J6" t="s">
        <v>20</v>
      </c>
      <c r="K6">
        <v>1</v>
      </c>
      <c r="L6" t="s">
        <v>15</v>
      </c>
      <c r="M6" t="s">
        <v>156</v>
      </c>
      <c r="P6" t="s">
        <v>545</v>
      </c>
      <c r="R6">
        <v>2</v>
      </c>
      <c r="V6">
        <v>2</v>
      </c>
      <c r="W6" t="s">
        <v>233</v>
      </c>
    </row>
    <row r="7" spans="1:24" x14ac:dyDescent="0.25">
      <c r="A7" s="8" t="s">
        <v>100</v>
      </c>
      <c r="B7" s="9" t="s">
        <v>102</v>
      </c>
      <c r="C7" s="8" t="s">
        <v>104</v>
      </c>
      <c r="D7" s="8"/>
      <c r="E7" s="8"/>
      <c r="F7" s="8">
        <v>1</v>
      </c>
      <c r="G7" s="8" t="s">
        <v>8</v>
      </c>
      <c r="H7" s="8">
        <v>2</v>
      </c>
      <c r="J7" t="s">
        <v>21</v>
      </c>
      <c r="K7">
        <v>1</v>
      </c>
      <c r="L7" t="s">
        <v>15</v>
      </c>
      <c r="M7" t="s">
        <v>156</v>
      </c>
      <c r="P7" t="s">
        <v>29</v>
      </c>
      <c r="R7">
        <v>3</v>
      </c>
      <c r="V7">
        <v>3</v>
      </c>
      <c r="W7" t="s">
        <v>234</v>
      </c>
    </row>
    <row r="8" spans="1:24" x14ac:dyDescent="0.25">
      <c r="A8" s="8" t="s">
        <v>100</v>
      </c>
      <c r="B8" s="9" t="s">
        <v>113</v>
      </c>
      <c r="C8" s="8"/>
      <c r="D8" s="8" t="s">
        <v>96</v>
      </c>
      <c r="E8" s="8"/>
      <c r="F8" s="8">
        <v>2</v>
      </c>
      <c r="G8" s="8" t="s">
        <v>8</v>
      </c>
      <c r="H8" s="8">
        <v>2</v>
      </c>
      <c r="J8" t="s">
        <v>22</v>
      </c>
      <c r="K8">
        <v>1</v>
      </c>
      <c r="L8" t="s">
        <v>15</v>
      </c>
      <c r="M8" t="s">
        <v>156</v>
      </c>
      <c r="P8" t="s">
        <v>546</v>
      </c>
      <c r="R8">
        <v>4</v>
      </c>
    </row>
    <row r="9" spans="1:24" x14ac:dyDescent="0.25">
      <c r="A9" s="8" t="s">
        <v>109</v>
      </c>
      <c r="B9" s="9" t="s">
        <v>110</v>
      </c>
      <c r="C9" s="8" t="s">
        <v>127</v>
      </c>
      <c r="D9" s="8"/>
      <c r="E9" s="8"/>
      <c r="F9" s="8">
        <v>2</v>
      </c>
      <c r="G9" s="8" t="s">
        <v>8</v>
      </c>
      <c r="H9" s="8">
        <v>2</v>
      </c>
      <c r="J9" t="s">
        <v>24</v>
      </c>
      <c r="K9">
        <v>1</v>
      </c>
      <c r="L9" t="s">
        <v>15</v>
      </c>
      <c r="M9" t="s">
        <v>156</v>
      </c>
    </row>
    <row r="10" spans="1:24" x14ac:dyDescent="0.25">
      <c r="A10" s="8" t="s">
        <v>109</v>
      </c>
      <c r="B10" s="9" t="s">
        <v>114</v>
      </c>
      <c r="C10" s="8"/>
      <c r="D10" s="8"/>
      <c r="E10" s="8"/>
      <c r="F10" s="8">
        <v>1</v>
      </c>
      <c r="G10" s="8" t="s">
        <v>8</v>
      </c>
      <c r="H10" s="8">
        <v>2</v>
      </c>
      <c r="J10" t="s">
        <v>25</v>
      </c>
      <c r="K10">
        <v>1</v>
      </c>
      <c r="L10" t="s">
        <v>15</v>
      </c>
      <c r="M10" t="s">
        <v>156</v>
      </c>
    </row>
    <row r="11" spans="1:24" x14ac:dyDescent="0.25">
      <c r="A11" s="8" t="s">
        <v>242</v>
      </c>
      <c r="B11" s="9"/>
      <c r="C11" s="8"/>
      <c r="D11" s="8" t="s">
        <v>96</v>
      </c>
      <c r="E11" s="8"/>
      <c r="F11" s="8">
        <v>1</v>
      </c>
      <c r="G11" s="8" t="s">
        <v>8</v>
      </c>
      <c r="H11" s="8">
        <v>2</v>
      </c>
      <c r="J11" t="s">
        <v>26</v>
      </c>
      <c r="K11">
        <v>4</v>
      </c>
      <c r="L11" t="s">
        <v>15</v>
      </c>
      <c r="M11" t="s">
        <v>156</v>
      </c>
    </row>
    <row r="12" spans="1:24" x14ac:dyDescent="0.25">
      <c r="A12" s="8" t="s">
        <v>105</v>
      </c>
      <c r="B12" s="9"/>
      <c r="C12" s="8" t="s">
        <v>107</v>
      </c>
      <c r="D12" s="8"/>
      <c r="E12" s="8"/>
      <c r="F12" s="8">
        <v>5</v>
      </c>
      <c r="G12" s="8" t="s">
        <v>8</v>
      </c>
      <c r="H12" s="8">
        <v>2</v>
      </c>
      <c r="J12" t="s">
        <v>23</v>
      </c>
      <c r="K12">
        <v>1</v>
      </c>
      <c r="L12" t="s">
        <v>15</v>
      </c>
      <c r="M12" t="s">
        <v>156</v>
      </c>
    </row>
    <row r="13" spans="1:24" x14ac:dyDescent="0.25">
      <c r="A13" s="8" t="s">
        <v>111</v>
      </c>
      <c r="B13" s="9" t="s">
        <v>112</v>
      </c>
      <c r="C13" s="8"/>
      <c r="D13" s="8"/>
      <c r="E13" s="8"/>
      <c r="F13" s="8">
        <v>1</v>
      </c>
      <c r="G13" s="8" t="s">
        <v>8</v>
      </c>
      <c r="H13" s="8">
        <v>2</v>
      </c>
      <c r="J13" t="s">
        <v>148</v>
      </c>
      <c r="K13">
        <v>10</v>
      </c>
      <c r="L13" t="s">
        <v>546</v>
      </c>
      <c r="M13" t="s">
        <v>481</v>
      </c>
    </row>
    <row r="14" spans="1:24" x14ac:dyDescent="0.25">
      <c r="A14" s="8" t="s">
        <v>243</v>
      </c>
      <c r="B14" s="9" t="s">
        <v>98</v>
      </c>
      <c r="C14" s="8"/>
      <c r="D14" s="8" t="s">
        <v>99</v>
      </c>
      <c r="E14" s="8"/>
      <c r="F14" s="8">
        <v>1</v>
      </c>
      <c r="G14" s="8" t="s">
        <v>8</v>
      </c>
      <c r="H14" s="8">
        <v>2</v>
      </c>
      <c r="J14" t="s">
        <v>149</v>
      </c>
      <c r="K14">
        <v>4</v>
      </c>
      <c r="L14" t="s">
        <v>546</v>
      </c>
      <c r="M14" t="s">
        <v>481</v>
      </c>
    </row>
    <row r="15" spans="1:24" x14ac:dyDescent="0.25">
      <c r="A15" s="8" t="s">
        <v>244</v>
      </c>
      <c r="B15" s="9" t="s">
        <v>98</v>
      </c>
      <c r="C15" s="8"/>
      <c r="D15" s="8"/>
      <c r="E15" s="8"/>
      <c r="F15" s="8">
        <v>1</v>
      </c>
      <c r="G15" s="8" t="s">
        <v>8</v>
      </c>
      <c r="H15" s="8">
        <v>2</v>
      </c>
      <c r="J15" t="s">
        <v>150</v>
      </c>
      <c r="K15">
        <v>3</v>
      </c>
      <c r="L15" t="s">
        <v>546</v>
      </c>
      <c r="M15" t="s">
        <v>481</v>
      </c>
    </row>
    <row r="16" spans="1:24" x14ac:dyDescent="0.25">
      <c r="A16" s="8" t="s">
        <v>116</v>
      </c>
      <c r="B16" s="9"/>
      <c r="C16" s="8" t="s">
        <v>117</v>
      </c>
      <c r="D16" s="8"/>
      <c r="E16" s="8"/>
      <c r="F16" s="8">
        <v>1</v>
      </c>
      <c r="G16" s="8" t="s">
        <v>8</v>
      </c>
      <c r="H16" s="8">
        <v>3</v>
      </c>
      <c r="J16" t="s">
        <v>196</v>
      </c>
      <c r="K16">
        <v>1</v>
      </c>
      <c r="L16" t="s">
        <v>29</v>
      </c>
      <c r="M16" t="s">
        <v>140</v>
      </c>
    </row>
    <row r="17" spans="1:13" x14ac:dyDescent="0.25">
      <c r="A17" s="8" t="s">
        <v>116</v>
      </c>
      <c r="B17" s="9"/>
      <c r="C17" s="8" t="s">
        <v>38</v>
      </c>
      <c r="D17" s="8"/>
      <c r="E17" s="8"/>
      <c r="F17" s="8">
        <v>1</v>
      </c>
      <c r="G17" s="8" t="s">
        <v>8</v>
      </c>
      <c r="H17" s="8">
        <v>3</v>
      </c>
      <c r="J17" t="s">
        <v>141</v>
      </c>
      <c r="K17">
        <v>0</v>
      </c>
      <c r="L17" t="s">
        <v>29</v>
      </c>
      <c r="M17" t="s">
        <v>140</v>
      </c>
    </row>
    <row r="18" spans="1:13" x14ac:dyDescent="0.25">
      <c r="A18" s="8" t="s">
        <v>89</v>
      </c>
      <c r="B18" s="9"/>
      <c r="C18" s="8"/>
      <c r="D18" s="8"/>
      <c r="E18" s="8"/>
      <c r="F18" s="8">
        <v>3</v>
      </c>
      <c r="G18" s="8" t="s">
        <v>8</v>
      </c>
      <c r="H18" s="8">
        <v>3</v>
      </c>
      <c r="J18" t="s">
        <v>197</v>
      </c>
      <c r="K18">
        <v>0</v>
      </c>
      <c r="L18" t="s">
        <v>29</v>
      </c>
      <c r="M18" t="s">
        <v>156</v>
      </c>
    </row>
    <row r="19" spans="1:13" x14ac:dyDescent="0.25">
      <c r="A19" s="8" t="s">
        <v>86</v>
      </c>
      <c r="B19" s="9"/>
      <c r="C19" s="8" t="s">
        <v>52</v>
      </c>
      <c r="D19" s="8"/>
      <c r="E19" s="8"/>
      <c r="F19" s="8">
        <v>1</v>
      </c>
      <c r="G19" s="8" t="s">
        <v>8</v>
      </c>
      <c r="H19" s="8">
        <v>3</v>
      </c>
      <c r="J19" t="s">
        <v>198</v>
      </c>
      <c r="K19">
        <v>2</v>
      </c>
      <c r="L19" t="s">
        <v>29</v>
      </c>
      <c r="M19" t="s">
        <v>156</v>
      </c>
    </row>
    <row r="20" spans="1:13" x14ac:dyDescent="0.25">
      <c r="A20" s="8" t="s">
        <v>88</v>
      </c>
      <c r="B20" s="9" t="s">
        <v>544</v>
      </c>
      <c r="C20" s="8"/>
      <c r="D20" s="8"/>
      <c r="E20" s="8"/>
      <c r="F20" s="8">
        <v>4</v>
      </c>
      <c r="G20" s="8" t="s">
        <v>8</v>
      </c>
      <c r="H20" s="8">
        <v>3</v>
      </c>
      <c r="J20" t="s">
        <v>199</v>
      </c>
      <c r="K20">
        <v>0</v>
      </c>
      <c r="L20" t="s">
        <v>29</v>
      </c>
      <c r="M20" t="s">
        <v>156</v>
      </c>
    </row>
    <row r="21" spans="1:13" x14ac:dyDescent="0.25">
      <c r="A21" s="8" t="s">
        <v>88</v>
      </c>
      <c r="B21" s="9" t="s">
        <v>115</v>
      </c>
      <c r="C21" s="8"/>
      <c r="D21" s="8"/>
      <c r="E21" s="8"/>
      <c r="F21" s="8">
        <v>1</v>
      </c>
      <c r="G21" s="8" t="s">
        <v>8</v>
      </c>
      <c r="H21" s="8">
        <v>3</v>
      </c>
      <c r="J21" t="s">
        <v>200</v>
      </c>
      <c r="K21">
        <v>1</v>
      </c>
      <c r="L21" t="s">
        <v>29</v>
      </c>
      <c r="M21" t="s">
        <v>156</v>
      </c>
    </row>
    <row r="22" spans="1:13" x14ac:dyDescent="0.25">
      <c r="A22" s="8" t="s">
        <v>90</v>
      </c>
      <c r="B22" s="9" t="s">
        <v>91</v>
      </c>
      <c r="C22" s="8"/>
      <c r="D22" s="8"/>
      <c r="E22" s="8"/>
      <c r="F22" s="8">
        <v>1</v>
      </c>
      <c r="G22" s="8" t="s">
        <v>8</v>
      </c>
      <c r="H22" s="8">
        <v>3</v>
      </c>
      <c r="J22" t="s">
        <v>201</v>
      </c>
      <c r="K22">
        <v>1</v>
      </c>
      <c r="L22" t="s">
        <v>29</v>
      </c>
      <c r="M22" t="s">
        <v>156</v>
      </c>
    </row>
    <row r="23" spans="1:13" x14ac:dyDescent="0.25">
      <c r="A23" s="8" t="s">
        <v>83</v>
      </c>
      <c r="B23" s="9" t="s">
        <v>245</v>
      </c>
      <c r="C23" s="8"/>
      <c r="D23" s="8"/>
      <c r="E23" s="8"/>
      <c r="F23" s="8">
        <v>1</v>
      </c>
      <c r="G23" s="8" t="s">
        <v>8</v>
      </c>
      <c r="H23" s="8">
        <v>4</v>
      </c>
      <c r="J23" t="s">
        <v>26</v>
      </c>
      <c r="K23">
        <v>0</v>
      </c>
      <c r="L23" t="s">
        <v>29</v>
      </c>
      <c r="M23" t="s">
        <v>156</v>
      </c>
    </row>
    <row r="24" spans="1:13" x14ac:dyDescent="0.25">
      <c r="A24" s="8" t="s">
        <v>80</v>
      </c>
      <c r="B24" s="9" t="s">
        <v>81</v>
      </c>
      <c r="C24" s="8"/>
      <c r="D24" s="8" t="s">
        <v>82</v>
      </c>
      <c r="E24" s="8">
        <v>25</v>
      </c>
      <c r="F24" s="8">
        <v>1</v>
      </c>
      <c r="G24" s="8" t="s">
        <v>8</v>
      </c>
      <c r="H24" s="8">
        <v>4</v>
      </c>
      <c r="J24" t="s">
        <v>202</v>
      </c>
      <c r="K24">
        <v>4</v>
      </c>
      <c r="L24" t="s">
        <v>29</v>
      </c>
      <c r="M24" t="s">
        <v>156</v>
      </c>
    </row>
    <row r="25" spans="1:13" ht="30" x14ac:dyDescent="0.25">
      <c r="A25" s="8" t="s">
        <v>80</v>
      </c>
      <c r="B25" s="9" t="s">
        <v>84</v>
      </c>
      <c r="C25" s="8"/>
      <c r="D25" s="8"/>
      <c r="E25" s="8"/>
      <c r="F25" s="8">
        <v>1</v>
      </c>
      <c r="G25" s="8" t="s">
        <v>8</v>
      </c>
      <c r="H25" s="8">
        <v>4</v>
      </c>
      <c r="J25" t="s">
        <v>203</v>
      </c>
      <c r="K25">
        <v>1</v>
      </c>
      <c r="L25" t="s">
        <v>29</v>
      </c>
      <c r="M25" t="s">
        <v>156</v>
      </c>
    </row>
    <row r="26" spans="1:13" x14ac:dyDescent="0.25">
      <c r="A26" s="8" t="s">
        <v>241</v>
      </c>
      <c r="B26" s="9" t="s">
        <v>94</v>
      </c>
      <c r="C26" s="8"/>
      <c r="D26" s="8"/>
      <c r="E26" s="8"/>
      <c r="F26" s="8">
        <v>1</v>
      </c>
      <c r="G26" s="8" t="s">
        <v>8</v>
      </c>
      <c r="H26" s="8">
        <v>4</v>
      </c>
      <c r="J26" t="s">
        <v>204</v>
      </c>
      <c r="K26">
        <v>1</v>
      </c>
      <c r="L26" t="s">
        <v>29</v>
      </c>
      <c r="M26" t="s">
        <v>156</v>
      </c>
    </row>
    <row r="27" spans="1:13"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J27" t="s">
        <v>205</v>
      </c>
      <c r="K27">
        <v>1</v>
      </c>
      <c r="L27" t="s">
        <v>29</v>
      </c>
      <c r="M27" t="s">
        <v>156</v>
      </c>
    </row>
    <row r="28" spans="1:13" x14ac:dyDescent="0.25">
      <c r="A28" s="8" t="s">
        <v>32</v>
      </c>
      <c r="B28" s="9" t="s">
        <v>71</v>
      </c>
      <c r="C28" s="8" t="s">
        <v>33</v>
      </c>
      <c r="D28" s="8" t="s">
        <v>27</v>
      </c>
      <c r="E28" s="8">
        <v>2130600061</v>
      </c>
      <c r="F28" s="8">
        <v>2</v>
      </c>
      <c r="G28" s="8" t="s">
        <v>5</v>
      </c>
      <c r="H28" s="8">
        <v>1</v>
      </c>
      <c r="J28" t="s">
        <v>206</v>
      </c>
      <c r="K28">
        <v>1</v>
      </c>
      <c r="L28" t="s">
        <v>29</v>
      </c>
      <c r="M28" t="s">
        <v>156</v>
      </c>
    </row>
    <row r="29" spans="1:13" x14ac:dyDescent="0.25">
      <c r="A29" s="8" t="s">
        <v>32</v>
      </c>
      <c r="B29" s="9" t="s">
        <v>74</v>
      </c>
      <c r="C29" s="8" t="s">
        <v>33</v>
      </c>
      <c r="D29" s="8" t="s">
        <v>27</v>
      </c>
      <c r="E29" s="8" t="s">
        <v>27</v>
      </c>
      <c r="F29" s="8">
        <v>1</v>
      </c>
      <c r="G29" s="8" t="s">
        <v>5</v>
      </c>
      <c r="H29" s="8">
        <v>1</v>
      </c>
      <c r="J29" t="s">
        <v>207</v>
      </c>
      <c r="K29">
        <v>2</v>
      </c>
      <c r="L29" t="s">
        <v>29</v>
      </c>
      <c r="M29" t="s">
        <v>156</v>
      </c>
    </row>
    <row r="30" spans="1:13" x14ac:dyDescent="0.25">
      <c r="A30" s="8" t="s">
        <v>32</v>
      </c>
      <c r="B30" s="9" t="s">
        <v>71</v>
      </c>
      <c r="C30" s="8" t="s">
        <v>72</v>
      </c>
      <c r="D30" s="8" t="s">
        <v>27</v>
      </c>
      <c r="E30" s="8" t="s">
        <v>78</v>
      </c>
      <c r="F30" s="8">
        <v>1</v>
      </c>
      <c r="G30" s="8" t="s">
        <v>5</v>
      </c>
      <c r="H30" s="8">
        <v>1</v>
      </c>
      <c r="J30" t="s">
        <v>208</v>
      </c>
      <c r="K30">
        <v>1</v>
      </c>
      <c r="L30" t="s">
        <v>29</v>
      </c>
      <c r="M30" t="s">
        <v>156</v>
      </c>
    </row>
    <row r="31" spans="1:13" x14ac:dyDescent="0.25">
      <c r="A31" s="8" t="s">
        <v>73</v>
      </c>
      <c r="B31" s="9" t="s">
        <v>71</v>
      </c>
      <c r="C31" s="8" t="s">
        <v>72</v>
      </c>
      <c r="D31" s="8" t="s">
        <v>27</v>
      </c>
      <c r="E31" s="8" t="s">
        <v>27</v>
      </c>
      <c r="F31" s="8">
        <v>1</v>
      </c>
      <c r="G31" s="8" t="s">
        <v>5</v>
      </c>
      <c r="H31" s="8">
        <v>1</v>
      </c>
      <c r="J31" t="s">
        <v>209</v>
      </c>
      <c r="K31">
        <v>1</v>
      </c>
      <c r="L31" t="s">
        <v>29</v>
      </c>
      <c r="M31" t="s">
        <v>156</v>
      </c>
    </row>
    <row r="32" spans="1:13" x14ac:dyDescent="0.25">
      <c r="A32" s="8" t="s">
        <v>11</v>
      </c>
      <c r="B32" s="9" t="s">
        <v>75</v>
      </c>
      <c r="C32" s="8" t="s">
        <v>30</v>
      </c>
      <c r="D32" s="8" t="s">
        <v>27</v>
      </c>
      <c r="E32" s="8" t="s">
        <v>27</v>
      </c>
      <c r="F32" s="8">
        <v>3</v>
      </c>
      <c r="G32" s="8" t="s">
        <v>5</v>
      </c>
      <c r="H32" s="8">
        <v>1</v>
      </c>
      <c r="J32" t="s">
        <v>547</v>
      </c>
      <c r="L32" t="s">
        <v>545</v>
      </c>
      <c r="M32" t="s">
        <v>481</v>
      </c>
    </row>
    <row r="33" spans="1:8" x14ac:dyDescent="0.25">
      <c r="A33" s="8" t="s">
        <v>11</v>
      </c>
      <c r="B33" s="9" t="s">
        <v>548</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549</v>
      </c>
      <c r="C120" s="8" t="s">
        <v>79</v>
      </c>
      <c r="D120" s="8" t="s">
        <v>27</v>
      </c>
      <c r="E120" s="8" t="s">
        <v>27</v>
      </c>
      <c r="F120" s="8">
        <v>1</v>
      </c>
      <c r="G120" s="8" t="s">
        <v>5</v>
      </c>
      <c r="H120" s="8">
        <v>1</v>
      </c>
    </row>
    <row r="121" spans="1:8" x14ac:dyDescent="0.25">
      <c r="A121" s="8" t="s">
        <v>11</v>
      </c>
      <c r="B121" s="9" t="s">
        <v>550</v>
      </c>
      <c r="C121" s="8" t="s">
        <v>30</v>
      </c>
      <c r="D121" s="8" t="s">
        <v>27</v>
      </c>
      <c r="E121" s="8" t="s">
        <v>27</v>
      </c>
      <c r="F121" s="8">
        <v>4</v>
      </c>
      <c r="G121" s="8" t="s">
        <v>5</v>
      </c>
      <c r="H121" s="8">
        <v>1</v>
      </c>
    </row>
    <row r="122" spans="1:8" x14ac:dyDescent="0.25">
      <c r="A122" s="8" t="s">
        <v>12</v>
      </c>
      <c r="B122" s="9" t="s">
        <v>551</v>
      </c>
      <c r="C122" s="8"/>
      <c r="D122" s="8"/>
      <c r="E122" s="8"/>
      <c r="F122" s="8">
        <v>1</v>
      </c>
      <c r="G122" s="8" t="s">
        <v>5</v>
      </c>
      <c r="H122" s="8">
        <v>1</v>
      </c>
    </row>
    <row r="123" spans="1:8" ht="30" x14ac:dyDescent="0.25">
      <c r="A123" s="8" t="s">
        <v>44</v>
      </c>
      <c r="B123" s="9" t="s">
        <v>552</v>
      </c>
      <c r="C123" s="8" t="s">
        <v>64</v>
      </c>
      <c r="D123" s="8"/>
      <c r="E123" s="8"/>
      <c r="F123" s="8">
        <v>1</v>
      </c>
      <c r="G123" s="8" t="s">
        <v>5</v>
      </c>
      <c r="H123" s="8">
        <v>1</v>
      </c>
    </row>
    <row r="124" spans="1:8" x14ac:dyDescent="0.25">
      <c r="A124" s="8" t="s">
        <v>156</v>
      </c>
      <c r="B124" s="9" t="s">
        <v>424</v>
      </c>
      <c r="C124" s="8"/>
      <c r="D124" s="8"/>
      <c r="E124" s="8"/>
      <c r="F124" s="8"/>
      <c r="G124" s="8" t="s">
        <v>10</v>
      </c>
      <c r="H124" s="8">
        <v>2</v>
      </c>
    </row>
    <row r="125" spans="1:8" x14ac:dyDescent="0.25">
      <c r="A125" s="8" t="s">
        <v>175</v>
      </c>
      <c r="B125" s="9"/>
      <c r="C125" s="8" t="s">
        <v>553</v>
      </c>
      <c r="D125" s="8"/>
      <c r="E125" s="8"/>
      <c r="F125" s="8">
        <v>1</v>
      </c>
      <c r="G125" s="8" t="s">
        <v>7</v>
      </c>
      <c r="H125" s="8" t="s">
        <v>233</v>
      </c>
    </row>
    <row r="126" spans="1:8" x14ac:dyDescent="0.25">
      <c r="A126" s="8" t="s">
        <v>116</v>
      </c>
      <c r="B126" s="9" t="s">
        <v>554</v>
      </c>
      <c r="C126" s="8"/>
      <c r="D126" s="8"/>
      <c r="E126" s="8"/>
      <c r="F126" s="8"/>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6">
    <dataValidation type="list" allowBlank="1" showInputMessage="1" showErrorMessage="1" sqref="A90 A117:A118 A120:A123 A140:A1048576 A1:A88 A94:A95 M4:M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N1:N3 N47:N1048576 H132:H1048576 H1:H126" xr:uid="{F2DC22E0-CF8D-439B-BECD-43669397755E}">
      <formula1>INDEX(Compartimientos,0,MATCH(OFFSET(INDIRECT(ADDRESS(ROW(), COLUMN())),0,-1),Cajoneras,0))</formula1>
    </dataValidation>
    <dataValidation type="list" allowBlank="1" showInputMessage="1" showErrorMessage="1" sqref="P14 N4:N32" xr:uid="{44DDC578-AA09-4DE5-B930-E67B6BA36566}">
      <formula1>INDEX(Medidas,0,MATCH(OFFSET(INDIRECT(ADDRESS(ROW(), COLUMN())),0,-1),categoriasDeMedidas,0))</formula1>
    </dataValidation>
    <dataValidation type="list" allowBlank="1" showInputMessage="1" showErrorMessage="1" sqref="L4:L13 L16:L31" xr:uid="{B42A14F1-F620-4535-8278-9BE3E2D91DD1}">
      <formula1>Bolsos</formula1>
    </dataValidation>
    <dataValidation type="list" allowBlank="1" showInputMessage="1" showErrorMessage="1" sqref="G132:G1048576 G1:G126" xr:uid="{BE90CED2-C975-4E7D-82E9-3A42B0777B45}">
      <formula1>Cajoneras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M1:M3 M47:M1048576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dimension ref="A1:Z139"/>
  <sheetViews>
    <sheetView tabSelected="1" workbookViewId="0">
      <selection activeCell="G1" sqref="G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6" x14ac:dyDescent="0.25">
      <c r="A1" s="6" t="s">
        <v>0</v>
      </c>
      <c r="B1" s="7" t="s">
        <v>1</v>
      </c>
      <c r="C1" s="6" t="s">
        <v>2</v>
      </c>
      <c r="D1" s="6" t="s">
        <v>3</v>
      </c>
      <c r="E1" s="6" t="s">
        <v>4</v>
      </c>
      <c r="F1" s="6" t="s">
        <v>240</v>
      </c>
      <c r="G1" s="6" t="s">
        <v>13</v>
      </c>
      <c r="H1" s="6" t="s">
        <v>232</v>
      </c>
    </row>
    <row r="2" spans="1:26" x14ac:dyDescent="0.25">
      <c r="A2" s="6" t="s">
        <v>88</v>
      </c>
      <c r="B2" s="9" t="s">
        <v>555</v>
      </c>
      <c r="C2" s="8"/>
      <c r="D2" s="8"/>
      <c r="E2" s="8"/>
      <c r="F2" s="8">
        <v>1</v>
      </c>
      <c r="G2" s="8" t="s">
        <v>309</v>
      </c>
      <c r="H2" s="8">
        <v>1</v>
      </c>
    </row>
    <row r="3" spans="1:26" x14ac:dyDescent="0.25">
      <c r="A3" s="8" t="s">
        <v>88</v>
      </c>
      <c r="B3" s="9" t="s">
        <v>556</v>
      </c>
      <c r="C3" s="8"/>
      <c r="D3" s="8"/>
      <c r="E3" s="8"/>
      <c r="F3" s="8">
        <v>3</v>
      </c>
      <c r="G3" s="8" t="s">
        <v>309</v>
      </c>
      <c r="H3" s="8">
        <v>1</v>
      </c>
      <c r="J3" t="s">
        <v>16</v>
      </c>
      <c r="K3" t="s">
        <v>18</v>
      </c>
      <c r="L3" t="s">
        <v>14</v>
      </c>
      <c r="M3" t="s">
        <v>0</v>
      </c>
      <c r="N3" t="s">
        <v>2</v>
      </c>
      <c r="P3" t="s">
        <v>28</v>
      </c>
      <c r="R3" s="12" t="s">
        <v>230</v>
      </c>
      <c r="S3" s="12"/>
      <c r="T3" s="12"/>
      <c r="U3" s="12"/>
      <c r="V3" s="12"/>
      <c r="W3" s="12"/>
    </row>
    <row r="4" spans="1:26" x14ac:dyDescent="0.25">
      <c r="A4" s="8" t="s">
        <v>242</v>
      </c>
      <c r="B4" s="9"/>
      <c r="C4" s="8"/>
      <c r="D4" s="8" t="s">
        <v>360</v>
      </c>
      <c r="E4" s="8"/>
      <c r="F4" s="8">
        <v>1</v>
      </c>
      <c r="G4" s="8" t="s">
        <v>309</v>
      </c>
      <c r="H4" s="8">
        <v>1</v>
      </c>
      <c r="J4" t="s">
        <v>581</v>
      </c>
      <c r="K4">
        <v>3</v>
      </c>
      <c r="L4" t="s">
        <v>15</v>
      </c>
      <c r="M4" t="s">
        <v>156</v>
      </c>
      <c r="P4" t="s">
        <v>15</v>
      </c>
      <c r="R4" t="s">
        <v>8</v>
      </c>
      <c r="S4" t="s">
        <v>5</v>
      </c>
      <c r="T4" t="s">
        <v>6</v>
      </c>
      <c r="U4" t="s">
        <v>9</v>
      </c>
      <c r="V4" t="s">
        <v>10</v>
      </c>
      <c r="W4" t="s">
        <v>257</v>
      </c>
      <c r="X4" t="s">
        <v>309</v>
      </c>
      <c r="Y4" t="s">
        <v>7</v>
      </c>
      <c r="Z4" t="s">
        <v>36</v>
      </c>
    </row>
    <row r="5" spans="1:26" x14ac:dyDescent="0.25">
      <c r="A5" s="8" t="s">
        <v>100</v>
      </c>
      <c r="B5" s="9" t="s">
        <v>557</v>
      </c>
      <c r="C5" s="8"/>
      <c r="D5" s="8"/>
      <c r="E5" s="8"/>
      <c r="F5" s="8">
        <v>1</v>
      </c>
      <c r="G5" s="8" t="s">
        <v>309</v>
      </c>
      <c r="H5" s="8">
        <v>1</v>
      </c>
      <c r="J5" t="s">
        <v>582</v>
      </c>
      <c r="K5">
        <v>1</v>
      </c>
      <c r="L5" t="s">
        <v>15</v>
      </c>
      <c r="M5" t="s">
        <v>156</v>
      </c>
      <c r="P5" t="s">
        <v>587</v>
      </c>
      <c r="R5">
        <v>1</v>
      </c>
      <c r="S5">
        <v>1</v>
      </c>
      <c r="T5">
        <v>1</v>
      </c>
      <c r="U5">
        <v>1</v>
      </c>
      <c r="V5">
        <v>1</v>
      </c>
      <c r="W5">
        <v>1</v>
      </c>
      <c r="X5">
        <v>1</v>
      </c>
      <c r="Y5" t="s">
        <v>231</v>
      </c>
      <c r="Z5" t="s">
        <v>36</v>
      </c>
    </row>
    <row r="6" spans="1:26" x14ac:dyDescent="0.25">
      <c r="A6" s="8" t="s">
        <v>83</v>
      </c>
      <c r="B6" s="9"/>
      <c r="C6" s="8"/>
      <c r="D6" s="8" t="s">
        <v>558</v>
      </c>
      <c r="E6" s="8">
        <v>1813</v>
      </c>
      <c r="F6" s="8">
        <v>1</v>
      </c>
      <c r="G6" s="8" t="s">
        <v>309</v>
      </c>
      <c r="H6" s="8">
        <v>1</v>
      </c>
      <c r="J6" t="s">
        <v>453</v>
      </c>
      <c r="K6">
        <v>3</v>
      </c>
      <c r="L6" t="s">
        <v>15</v>
      </c>
      <c r="M6" t="s">
        <v>156</v>
      </c>
      <c r="P6" t="s">
        <v>590</v>
      </c>
      <c r="R6">
        <v>2</v>
      </c>
      <c r="V6">
        <v>2</v>
      </c>
      <c r="Y6" t="s">
        <v>233</v>
      </c>
    </row>
    <row r="7" spans="1:26" x14ac:dyDescent="0.25">
      <c r="A7" s="8" t="s">
        <v>559</v>
      </c>
      <c r="B7" s="9" t="s">
        <v>112</v>
      </c>
      <c r="C7" s="8"/>
      <c r="D7" s="8"/>
      <c r="E7" s="8"/>
      <c r="F7" s="8">
        <v>1</v>
      </c>
      <c r="G7" s="8" t="s">
        <v>309</v>
      </c>
      <c r="H7" s="8">
        <v>1</v>
      </c>
      <c r="J7" t="s">
        <v>452</v>
      </c>
      <c r="K7">
        <v>3</v>
      </c>
      <c r="L7" t="s">
        <v>15</v>
      </c>
      <c r="M7" t="s">
        <v>156</v>
      </c>
      <c r="R7">
        <v>3</v>
      </c>
      <c r="V7">
        <v>3</v>
      </c>
      <c r="Y7" t="s">
        <v>234</v>
      </c>
    </row>
    <row r="8" spans="1:26" x14ac:dyDescent="0.25">
      <c r="A8" s="8" t="s">
        <v>371</v>
      </c>
      <c r="B8" s="9"/>
      <c r="C8" s="8"/>
      <c r="D8" s="8" t="s">
        <v>558</v>
      </c>
      <c r="E8" s="8">
        <v>851</v>
      </c>
      <c r="F8" s="8">
        <v>1</v>
      </c>
      <c r="G8" s="8" t="s">
        <v>309</v>
      </c>
      <c r="H8" s="8">
        <v>1</v>
      </c>
      <c r="J8" t="s">
        <v>583</v>
      </c>
      <c r="K8">
        <v>1</v>
      </c>
      <c r="L8" t="s">
        <v>15</v>
      </c>
      <c r="M8" t="s">
        <v>156</v>
      </c>
      <c r="R8">
        <v>4</v>
      </c>
    </row>
    <row r="9" spans="1:26" x14ac:dyDescent="0.25">
      <c r="A9" s="8" t="s">
        <v>368</v>
      </c>
      <c r="B9" s="9"/>
      <c r="C9" s="8"/>
      <c r="D9" s="8" t="s">
        <v>558</v>
      </c>
      <c r="E9" s="8">
        <v>722</v>
      </c>
      <c r="F9" s="8">
        <v>1</v>
      </c>
      <c r="G9" s="8" t="s">
        <v>309</v>
      </c>
      <c r="H9" s="8">
        <v>1</v>
      </c>
      <c r="J9" t="s">
        <v>584</v>
      </c>
      <c r="K9">
        <v>1</v>
      </c>
      <c r="L9" t="s">
        <v>15</v>
      </c>
      <c r="M9" t="s">
        <v>156</v>
      </c>
    </row>
    <row r="10" spans="1:26" x14ac:dyDescent="0.25">
      <c r="A10" s="8" t="s">
        <v>80</v>
      </c>
      <c r="B10" s="9"/>
      <c r="C10" s="8"/>
      <c r="D10" s="8" t="s">
        <v>558</v>
      </c>
      <c r="E10" s="8">
        <v>1626</v>
      </c>
      <c r="F10" s="8">
        <v>1</v>
      </c>
      <c r="G10" s="8" t="s">
        <v>309</v>
      </c>
      <c r="H10" s="8">
        <v>1</v>
      </c>
      <c r="J10" t="s">
        <v>23</v>
      </c>
      <c r="K10">
        <v>1</v>
      </c>
      <c r="L10" t="s">
        <v>15</v>
      </c>
      <c r="M10" t="s">
        <v>156</v>
      </c>
    </row>
    <row r="11" spans="1:26" x14ac:dyDescent="0.25">
      <c r="A11" s="8" t="s">
        <v>95</v>
      </c>
      <c r="B11" s="9"/>
      <c r="C11" s="8"/>
      <c r="D11" s="8" t="s">
        <v>558</v>
      </c>
      <c r="E11" s="8">
        <v>1110</v>
      </c>
      <c r="F11" s="8">
        <v>1</v>
      </c>
      <c r="G11" s="8" t="s">
        <v>309</v>
      </c>
      <c r="H11" s="8">
        <v>1</v>
      </c>
      <c r="J11" t="s">
        <v>585</v>
      </c>
      <c r="K11">
        <v>2</v>
      </c>
      <c r="L11" t="s">
        <v>15</v>
      </c>
      <c r="M11" t="s">
        <v>156</v>
      </c>
    </row>
    <row r="12" spans="1:26" x14ac:dyDescent="0.25">
      <c r="A12" s="8" t="s">
        <v>352</v>
      </c>
      <c r="B12" s="9" t="s">
        <v>560</v>
      </c>
      <c r="C12" s="8"/>
      <c r="D12" s="8" t="s">
        <v>561</v>
      </c>
      <c r="E12" s="8"/>
      <c r="F12" s="8">
        <v>1</v>
      </c>
      <c r="G12" s="8" t="s">
        <v>309</v>
      </c>
      <c r="H12" s="8">
        <v>1</v>
      </c>
      <c r="J12" t="s">
        <v>586</v>
      </c>
      <c r="K12">
        <v>1</v>
      </c>
      <c r="L12" t="s">
        <v>15</v>
      </c>
      <c r="M12" t="s">
        <v>156</v>
      </c>
    </row>
    <row r="13" spans="1:26" x14ac:dyDescent="0.25">
      <c r="A13" s="8" t="s">
        <v>481</v>
      </c>
      <c r="B13" s="9" t="s">
        <v>562</v>
      </c>
      <c r="C13" s="8"/>
      <c r="D13" s="8"/>
      <c r="E13" s="8"/>
      <c r="F13" s="8">
        <v>2</v>
      </c>
      <c r="G13" s="8" t="s">
        <v>309</v>
      </c>
      <c r="H13" s="8">
        <v>1</v>
      </c>
      <c r="J13" t="s">
        <v>588</v>
      </c>
      <c r="K13">
        <v>3</v>
      </c>
      <c r="L13" t="s">
        <v>587</v>
      </c>
      <c r="M13" t="s">
        <v>90</v>
      </c>
    </row>
    <row r="14" spans="1:26" x14ac:dyDescent="0.25">
      <c r="A14" s="8" t="s">
        <v>87</v>
      </c>
      <c r="B14" s="9"/>
      <c r="C14" s="8"/>
      <c r="D14" s="8"/>
      <c r="E14" s="8"/>
      <c r="F14" s="8">
        <v>4</v>
      </c>
      <c r="G14" s="8" t="s">
        <v>309</v>
      </c>
      <c r="H14" s="8">
        <v>1</v>
      </c>
      <c r="J14" t="s">
        <v>589</v>
      </c>
      <c r="K14">
        <v>1</v>
      </c>
      <c r="L14" t="s">
        <v>587</v>
      </c>
      <c r="M14" t="s">
        <v>482</v>
      </c>
    </row>
    <row r="15" spans="1:26" x14ac:dyDescent="0.25">
      <c r="A15" s="8" t="s">
        <v>12</v>
      </c>
      <c r="B15" s="9" t="s">
        <v>563</v>
      </c>
      <c r="C15" s="8" t="s">
        <v>470</v>
      </c>
      <c r="D15" s="8" t="s">
        <v>564</v>
      </c>
      <c r="E15" s="8"/>
      <c r="F15" s="8">
        <v>1</v>
      </c>
      <c r="G15" s="8" t="s">
        <v>257</v>
      </c>
      <c r="H15" s="8">
        <v>1</v>
      </c>
      <c r="J15" t="s">
        <v>404</v>
      </c>
      <c r="K15">
        <v>2</v>
      </c>
      <c r="L15" t="s">
        <v>590</v>
      </c>
      <c r="M15" t="s">
        <v>404</v>
      </c>
      <c r="N15" t="s">
        <v>406</v>
      </c>
    </row>
    <row r="16" spans="1:26" x14ac:dyDescent="0.25">
      <c r="A16" s="8" t="s">
        <v>12</v>
      </c>
      <c r="B16" s="9" t="s">
        <v>565</v>
      </c>
      <c r="C16" s="8"/>
      <c r="D16" s="8" t="s">
        <v>182</v>
      </c>
      <c r="E16" s="8" t="s">
        <v>566</v>
      </c>
      <c r="F16" s="8">
        <v>1</v>
      </c>
      <c r="G16" s="8" t="s">
        <v>257</v>
      </c>
      <c r="H16" s="8">
        <v>1</v>
      </c>
      <c r="J16" t="s">
        <v>404</v>
      </c>
      <c r="K16">
        <v>1</v>
      </c>
      <c r="L16" t="s">
        <v>590</v>
      </c>
      <c r="M16" t="s">
        <v>404</v>
      </c>
      <c r="N16" t="s">
        <v>591</v>
      </c>
    </row>
    <row r="17" spans="1:13" x14ac:dyDescent="0.25">
      <c r="A17" s="8" t="s">
        <v>12</v>
      </c>
      <c r="B17" s="9" t="s">
        <v>567</v>
      </c>
      <c r="C17" s="8"/>
      <c r="D17" s="8" t="s">
        <v>181</v>
      </c>
      <c r="E17" s="8" t="s">
        <v>568</v>
      </c>
      <c r="F17" s="8">
        <v>1</v>
      </c>
      <c r="G17" s="8" t="s">
        <v>257</v>
      </c>
      <c r="H17" s="8">
        <v>1</v>
      </c>
      <c r="J17" t="s">
        <v>478</v>
      </c>
      <c r="K17">
        <v>1</v>
      </c>
      <c r="L17" t="s">
        <v>590</v>
      </c>
      <c r="M17" t="s">
        <v>478</v>
      </c>
    </row>
    <row r="18" spans="1:13" x14ac:dyDescent="0.25">
      <c r="A18" s="8" t="s">
        <v>151</v>
      </c>
      <c r="B18" s="9"/>
      <c r="C18" s="8"/>
      <c r="D18" s="8"/>
      <c r="E18" s="8"/>
      <c r="F18" s="8"/>
      <c r="G18" s="8"/>
      <c r="H18" s="8"/>
      <c r="J18" t="s">
        <v>592</v>
      </c>
      <c r="K18">
        <v>1</v>
      </c>
      <c r="L18" t="s">
        <v>590</v>
      </c>
      <c r="M18" t="s">
        <v>478</v>
      </c>
    </row>
    <row r="19" spans="1:13" x14ac:dyDescent="0.25">
      <c r="A19" s="8" t="s">
        <v>569</v>
      </c>
      <c r="B19" s="9" t="s">
        <v>570</v>
      </c>
      <c r="C19" s="8"/>
      <c r="D19" s="8" t="s">
        <v>571</v>
      </c>
      <c r="E19" s="8"/>
      <c r="F19" s="8">
        <v>1</v>
      </c>
      <c r="G19" s="8" t="s">
        <v>10</v>
      </c>
      <c r="H19" s="8">
        <v>1</v>
      </c>
      <c r="J19" t="s">
        <v>593</v>
      </c>
      <c r="K19">
        <v>1</v>
      </c>
      <c r="L19" t="s">
        <v>590</v>
      </c>
      <c r="M19" t="s">
        <v>479</v>
      </c>
    </row>
    <row r="20" spans="1:13" x14ac:dyDescent="0.25">
      <c r="A20" s="8" t="s">
        <v>151</v>
      </c>
      <c r="B20" s="9" t="s">
        <v>572</v>
      </c>
      <c r="C20" s="8"/>
      <c r="D20" s="8"/>
      <c r="E20" s="8"/>
      <c r="F20" s="8">
        <v>2</v>
      </c>
      <c r="G20" s="8" t="s">
        <v>10</v>
      </c>
      <c r="H20" s="8">
        <v>1</v>
      </c>
    </row>
    <row r="21" spans="1:13" x14ac:dyDescent="0.25">
      <c r="A21" s="8" t="s">
        <v>11</v>
      </c>
      <c r="B21" s="9" t="s">
        <v>573</v>
      </c>
      <c r="C21" s="8" t="s">
        <v>123</v>
      </c>
      <c r="D21" s="8"/>
      <c r="E21" s="8"/>
      <c r="F21" s="8">
        <v>3</v>
      </c>
      <c r="G21" s="8" t="s">
        <v>10</v>
      </c>
      <c r="H21" s="8">
        <v>1</v>
      </c>
    </row>
    <row r="22" spans="1:13" x14ac:dyDescent="0.25">
      <c r="A22" s="8" t="s">
        <v>32</v>
      </c>
      <c r="B22" s="9" t="s">
        <v>574</v>
      </c>
      <c r="C22" s="8" t="s">
        <v>52</v>
      </c>
      <c r="D22" s="8" t="s">
        <v>575</v>
      </c>
      <c r="E22" s="8"/>
      <c r="F22" s="8">
        <v>1</v>
      </c>
      <c r="G22" s="8" t="s">
        <v>10</v>
      </c>
      <c r="H22" s="8">
        <v>1</v>
      </c>
    </row>
    <row r="23" spans="1:13" x14ac:dyDescent="0.25">
      <c r="A23" s="8" t="s">
        <v>11</v>
      </c>
      <c r="B23" s="9"/>
      <c r="C23" s="8" t="s">
        <v>121</v>
      </c>
      <c r="D23" s="8"/>
      <c r="E23" s="8"/>
      <c r="F23" s="8">
        <v>5</v>
      </c>
      <c r="G23" s="8" t="s">
        <v>10</v>
      </c>
      <c r="H23" s="8">
        <v>1</v>
      </c>
    </row>
    <row r="24" spans="1:13" ht="30" x14ac:dyDescent="0.25">
      <c r="A24" s="8" t="s">
        <v>32</v>
      </c>
      <c r="B24" s="9" t="s">
        <v>576</v>
      </c>
      <c r="C24" s="8" t="s">
        <v>52</v>
      </c>
      <c r="D24" s="8" t="s">
        <v>577</v>
      </c>
      <c r="E24" s="8"/>
      <c r="F24" s="8">
        <v>1</v>
      </c>
      <c r="G24" s="8" t="s">
        <v>10</v>
      </c>
      <c r="H24" s="8">
        <v>1</v>
      </c>
    </row>
    <row r="25" spans="1:13" x14ac:dyDescent="0.25">
      <c r="A25" s="8" t="s">
        <v>175</v>
      </c>
      <c r="B25" s="9"/>
      <c r="C25" s="8" t="s">
        <v>237</v>
      </c>
      <c r="D25" s="8" t="s">
        <v>304</v>
      </c>
      <c r="E25" s="8"/>
      <c r="F25" s="8">
        <v>1</v>
      </c>
      <c r="G25" s="8" t="s">
        <v>10</v>
      </c>
      <c r="H25" s="8">
        <v>1</v>
      </c>
    </row>
    <row r="26" spans="1:13" x14ac:dyDescent="0.25">
      <c r="A26" s="8" t="s">
        <v>156</v>
      </c>
      <c r="B26" s="9" t="s">
        <v>578</v>
      </c>
      <c r="C26" s="8"/>
      <c r="D26" s="8"/>
      <c r="E26" s="8"/>
      <c r="F26" s="8">
        <v>1</v>
      </c>
      <c r="G26" s="8" t="s">
        <v>5</v>
      </c>
      <c r="H26" s="8">
        <v>1</v>
      </c>
    </row>
    <row r="27" spans="1:13" x14ac:dyDescent="0.25">
      <c r="A27" s="8" t="s">
        <v>156</v>
      </c>
      <c r="B27" s="9" t="s">
        <v>579</v>
      </c>
      <c r="C27" s="8"/>
      <c r="D27" s="8"/>
      <c r="E27" s="8"/>
      <c r="F27" s="8">
        <v>1</v>
      </c>
      <c r="G27" s="8" t="s">
        <v>5</v>
      </c>
      <c r="H27" s="8">
        <v>1</v>
      </c>
    </row>
    <row r="28" spans="1:13" x14ac:dyDescent="0.25">
      <c r="A28" s="8" t="s">
        <v>156</v>
      </c>
      <c r="B28" s="9" t="s">
        <v>580</v>
      </c>
      <c r="C28" s="8"/>
      <c r="D28" s="8"/>
      <c r="E28" s="8"/>
      <c r="F28" s="8">
        <v>1</v>
      </c>
      <c r="G28" s="8" t="s">
        <v>5</v>
      </c>
      <c r="H28" s="8">
        <v>1</v>
      </c>
    </row>
    <row r="29" spans="1:13" x14ac:dyDescent="0.25">
      <c r="A29" s="8" t="s">
        <v>154</v>
      </c>
      <c r="B29" s="9" t="s">
        <v>155</v>
      </c>
      <c r="C29" s="8"/>
      <c r="D29" s="8"/>
      <c r="E29" s="8"/>
      <c r="F29" s="8">
        <v>1</v>
      </c>
      <c r="G29" s="8" t="s">
        <v>5</v>
      </c>
      <c r="H29" s="8">
        <v>1</v>
      </c>
    </row>
    <row r="30" spans="1:13" ht="75" x14ac:dyDescent="0.25">
      <c r="A30" s="8" t="s">
        <v>92</v>
      </c>
      <c r="B30" s="9" t="str">
        <f>bolso("Caja de herramientas 1",Table625[])</f>
        <v xml:space="preserve">Caja de herramientas 1 Contiene:  martillo x3,  llave francesa x1,  Destornillador phillips x3,  Destornillador plano x3,  llave union x1,  pico de loro x1,  pinza x1,  alicate x2,  llave 1/2 y 9/16 x1, </v>
      </c>
      <c r="C30" s="8"/>
      <c r="D30" s="8"/>
      <c r="E30" s="8"/>
      <c r="F30" s="8">
        <v>1</v>
      </c>
      <c r="G30" s="8" t="s">
        <v>5</v>
      </c>
      <c r="H30" s="8">
        <v>1</v>
      </c>
    </row>
    <row r="31" spans="1:13" ht="60" x14ac:dyDescent="0.25">
      <c r="A31" s="8" t="s">
        <v>92</v>
      </c>
      <c r="B31" s="9" t="str">
        <f>bolso("Bolso de trauma 1",Table625[])</f>
        <v xml:space="preserve">Bolso de trauma 1 Contiene:  Collar cervical x2,  Collar cervical x1,  bolsa valvula mascara x1,  valvula-mascara  x1,  Disp. Succion manual x1, </v>
      </c>
      <c r="C31" s="8"/>
      <c r="D31" s="8"/>
      <c r="E31" s="8"/>
      <c r="F31" s="8">
        <v>1</v>
      </c>
      <c r="G31" s="8" t="s">
        <v>5</v>
      </c>
      <c r="H31" s="8">
        <v>1</v>
      </c>
    </row>
    <row r="32" spans="1:13" ht="30" x14ac:dyDescent="0.25">
      <c r="A32" s="8" t="s">
        <v>92</v>
      </c>
      <c r="B32" s="9" t="str">
        <f>bolso("Bolso de cadaveres",Table625[])</f>
        <v xml:space="preserve">Bolso de cadaveres Contiene:  Traje de aprox. Clase C x3,  Guantes p cadaver x1, </v>
      </c>
      <c r="C32" s="8"/>
      <c r="D32" s="8"/>
      <c r="E32" s="8"/>
      <c r="F32" s="8">
        <v>1</v>
      </c>
      <c r="G32" s="8" t="s">
        <v>5</v>
      </c>
      <c r="H32" s="8">
        <v>1</v>
      </c>
    </row>
    <row r="33" spans="1:8" x14ac:dyDescent="0.25">
      <c r="A33" s="8" t="s">
        <v>156</v>
      </c>
      <c r="B33" s="9" t="s">
        <v>594</v>
      </c>
      <c r="C33" s="8"/>
      <c r="D33" s="8"/>
      <c r="E33" s="8"/>
      <c r="F33" s="8">
        <v>1</v>
      </c>
      <c r="G33" s="8" t="s">
        <v>5</v>
      </c>
      <c r="H33" s="8">
        <v>1</v>
      </c>
    </row>
    <row r="34" spans="1:8" x14ac:dyDescent="0.25">
      <c r="A34" s="8" t="s">
        <v>595</v>
      </c>
      <c r="B34" s="9" t="s">
        <v>596</v>
      </c>
      <c r="C34" s="8" t="s">
        <v>52</v>
      </c>
      <c r="D34" s="8"/>
      <c r="E34" s="8">
        <v>27348635</v>
      </c>
      <c r="F34" s="8"/>
      <c r="G34" s="8" t="s">
        <v>9</v>
      </c>
      <c r="H34" s="8">
        <v>1</v>
      </c>
    </row>
    <row r="35" spans="1:8" x14ac:dyDescent="0.25">
      <c r="A35" s="8" t="s">
        <v>59</v>
      </c>
      <c r="B35" s="9" t="s">
        <v>598</v>
      </c>
      <c r="C35" s="8" t="s">
        <v>52</v>
      </c>
      <c r="D35" s="8" t="s">
        <v>597</v>
      </c>
      <c r="E35" s="8"/>
      <c r="F35" s="8"/>
      <c r="G35" s="8" t="s">
        <v>9</v>
      </c>
      <c r="H35" s="8">
        <v>1</v>
      </c>
    </row>
    <row r="36" spans="1:8" x14ac:dyDescent="0.25">
      <c r="A36" s="8" t="s">
        <v>53</v>
      </c>
      <c r="B36" s="9"/>
      <c r="C36" s="8"/>
      <c r="D36" s="8"/>
      <c r="E36" s="8"/>
      <c r="F36" s="8">
        <v>7</v>
      </c>
      <c r="G36" s="8" t="s">
        <v>9</v>
      </c>
      <c r="H36" s="8">
        <v>1</v>
      </c>
    </row>
    <row r="37" spans="1:8" x14ac:dyDescent="0.25">
      <c r="A37" s="8" t="s">
        <v>599</v>
      </c>
      <c r="B37" s="9"/>
      <c r="C37" s="8" t="s">
        <v>52</v>
      </c>
      <c r="D37" s="8"/>
      <c r="E37" s="8"/>
      <c r="F37" s="8">
        <v>1</v>
      </c>
      <c r="G37" s="8" t="s">
        <v>9</v>
      </c>
      <c r="H37" s="8">
        <v>1</v>
      </c>
    </row>
    <row r="38" spans="1:8" x14ac:dyDescent="0.25">
      <c r="A38" s="8" t="s">
        <v>44</v>
      </c>
      <c r="B38" s="9" t="s">
        <v>600</v>
      </c>
      <c r="C38" s="8" t="s">
        <v>45</v>
      </c>
      <c r="D38" s="8"/>
      <c r="E38" s="8"/>
      <c r="F38" s="8">
        <v>1</v>
      </c>
      <c r="G38" s="8" t="s">
        <v>9</v>
      </c>
      <c r="H38" s="8">
        <v>1</v>
      </c>
    </row>
    <row r="39" spans="1:8" x14ac:dyDescent="0.25">
      <c r="A39" s="8" t="s">
        <v>11</v>
      </c>
      <c r="B39" s="9"/>
      <c r="C39" s="8" t="s">
        <v>123</v>
      </c>
      <c r="D39" s="8"/>
      <c r="E39" s="8"/>
      <c r="F39" s="8">
        <v>2</v>
      </c>
      <c r="G39" s="8" t="s">
        <v>9</v>
      </c>
      <c r="H39" s="8">
        <v>1</v>
      </c>
    </row>
    <row r="40" spans="1:8" x14ac:dyDescent="0.25">
      <c r="A40" s="8" t="s">
        <v>601</v>
      </c>
      <c r="B40" s="9" t="s">
        <v>602</v>
      </c>
      <c r="C40" s="8"/>
      <c r="D40" s="8"/>
      <c r="E40" s="8"/>
      <c r="F40" s="8">
        <v>1</v>
      </c>
      <c r="G40" s="8" t="s">
        <v>9</v>
      </c>
      <c r="H40" s="8">
        <v>1</v>
      </c>
    </row>
    <row r="41" spans="1:8" x14ac:dyDescent="0.25">
      <c r="A41" s="8" t="s">
        <v>595</v>
      </c>
      <c r="B41" s="9" t="s">
        <v>603</v>
      </c>
      <c r="C41" s="8"/>
      <c r="D41" s="8" t="s">
        <v>604</v>
      </c>
      <c r="E41" s="8"/>
      <c r="F41" s="8">
        <v>1</v>
      </c>
      <c r="G41" s="8" t="s">
        <v>9</v>
      </c>
      <c r="H41" s="8">
        <v>1</v>
      </c>
    </row>
    <row r="42" spans="1:8" x14ac:dyDescent="0.25">
      <c r="A42" s="8" t="s">
        <v>173</v>
      </c>
      <c r="B42" s="9"/>
      <c r="C42" s="8" t="s">
        <v>66</v>
      </c>
      <c r="D42" s="8"/>
      <c r="E42" s="8"/>
      <c r="F42" s="8">
        <v>1</v>
      </c>
      <c r="G42" s="8" t="s">
        <v>9</v>
      </c>
      <c r="H42" s="8">
        <v>1</v>
      </c>
    </row>
    <row r="43" spans="1:8" x14ac:dyDescent="0.25">
      <c r="A43" s="8" t="s">
        <v>156</v>
      </c>
      <c r="B43" s="9" t="s">
        <v>26</v>
      </c>
      <c r="C43" s="8"/>
      <c r="D43" s="8"/>
      <c r="E43" s="8"/>
      <c r="F43" s="8">
        <v>4</v>
      </c>
      <c r="G43" s="8" t="s">
        <v>9</v>
      </c>
      <c r="H43" s="8">
        <v>1</v>
      </c>
    </row>
    <row r="44" spans="1:8" x14ac:dyDescent="0.25">
      <c r="A44" s="8" t="s">
        <v>174</v>
      </c>
      <c r="B44" s="9"/>
      <c r="C44" s="8" t="s">
        <v>236</v>
      </c>
      <c r="D44" s="8"/>
      <c r="E44" s="8"/>
      <c r="F44" s="8"/>
      <c r="G44" s="8" t="s">
        <v>9</v>
      </c>
      <c r="H44" s="8">
        <v>1</v>
      </c>
    </row>
    <row r="45" spans="1:8" x14ac:dyDescent="0.25">
      <c r="A45" s="8" t="s">
        <v>44</v>
      </c>
      <c r="B45" s="9" t="s">
        <v>605</v>
      </c>
      <c r="C45" s="8" t="s">
        <v>45</v>
      </c>
      <c r="D45" s="8"/>
      <c r="E45" s="8"/>
      <c r="F45" s="8">
        <v>1</v>
      </c>
      <c r="G45" s="8" t="s">
        <v>9</v>
      </c>
      <c r="H45" s="8">
        <v>1</v>
      </c>
    </row>
    <row r="46" spans="1:8" ht="30" x14ac:dyDescent="0.25">
      <c r="A46" s="8" t="s">
        <v>73</v>
      </c>
      <c r="B46" s="9" t="s">
        <v>576</v>
      </c>
      <c r="C46" s="8"/>
      <c r="D46" s="8"/>
      <c r="E46" s="8"/>
      <c r="F46" s="8">
        <v>2</v>
      </c>
      <c r="G46" s="8" t="s">
        <v>6</v>
      </c>
      <c r="H46" s="8">
        <v>1</v>
      </c>
    </row>
    <row r="47" spans="1:8" x14ac:dyDescent="0.25">
      <c r="A47" s="8" t="s">
        <v>243</v>
      </c>
      <c r="B47" s="9"/>
      <c r="C47" s="8"/>
      <c r="D47" s="8" t="s">
        <v>606</v>
      </c>
      <c r="E47" s="8" t="s">
        <v>607</v>
      </c>
      <c r="F47" s="8">
        <v>1</v>
      </c>
      <c r="G47" s="8" t="s">
        <v>6</v>
      </c>
      <c r="H47" s="8">
        <v>1</v>
      </c>
    </row>
    <row r="48" spans="1:8" x14ac:dyDescent="0.25">
      <c r="A48" s="8" t="s">
        <v>608</v>
      </c>
      <c r="B48" s="9"/>
      <c r="C48" s="8"/>
      <c r="D48" s="8" t="s">
        <v>182</v>
      </c>
      <c r="E48" s="8" t="s">
        <v>609</v>
      </c>
      <c r="F48" s="8">
        <v>1</v>
      </c>
      <c r="G48" s="8" t="s">
        <v>6</v>
      </c>
      <c r="H48" s="8">
        <v>1</v>
      </c>
    </row>
    <row r="49" spans="1:9" x14ac:dyDescent="0.25">
      <c r="A49" s="8" t="s">
        <v>59</v>
      </c>
      <c r="B49" s="9" t="s">
        <v>610</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574</v>
      </c>
      <c r="C51" s="8"/>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612</v>
      </c>
      <c r="C56" s="8" t="s">
        <v>103</v>
      </c>
      <c r="D56" s="8"/>
      <c r="E56" s="8"/>
      <c r="F56" s="8">
        <v>1</v>
      </c>
      <c r="G56" s="8" t="s">
        <v>36</v>
      </c>
      <c r="H56" s="8" t="s">
        <v>36</v>
      </c>
    </row>
    <row r="57" spans="1:9" x14ac:dyDescent="0.25">
      <c r="A57" s="8" t="s">
        <v>35</v>
      </c>
      <c r="B57" s="9" t="s">
        <v>611</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613</v>
      </c>
      <c r="C59" s="8" t="s">
        <v>614</v>
      </c>
      <c r="D59" s="8"/>
      <c r="E59" s="8"/>
      <c r="F59" s="8">
        <v>1</v>
      </c>
      <c r="G59" s="8" t="s">
        <v>36</v>
      </c>
      <c r="H59" s="8" t="s">
        <v>36</v>
      </c>
    </row>
    <row r="60" spans="1:9" x14ac:dyDescent="0.25">
      <c r="A60" s="8" t="s">
        <v>156</v>
      </c>
      <c r="B60" s="9" t="s">
        <v>615</v>
      </c>
      <c r="C60" s="8" t="s">
        <v>554</v>
      </c>
      <c r="D60" s="8"/>
      <c r="E60" s="8"/>
      <c r="F60" s="8">
        <v>1</v>
      </c>
      <c r="G60" s="8" t="s">
        <v>36</v>
      </c>
      <c r="H60" s="8" t="s">
        <v>36</v>
      </c>
      <c r="I60" s="8"/>
    </row>
    <row r="61" spans="1:9" x14ac:dyDescent="0.25">
      <c r="A61" s="8"/>
      <c r="B61" s="9"/>
      <c r="C61" s="8"/>
      <c r="D61" s="8"/>
      <c r="E61" s="8"/>
      <c r="F61" s="8"/>
      <c r="G61" s="8"/>
      <c r="H61" s="8"/>
    </row>
    <row r="62" spans="1:9" x14ac:dyDescent="0.25">
      <c r="A62" s="8"/>
      <c r="B62" s="9"/>
      <c r="C62" s="8"/>
      <c r="D62" s="8"/>
      <c r="E62" s="8"/>
      <c r="F62" s="8"/>
      <c r="G62" s="8"/>
      <c r="H62" s="8"/>
    </row>
    <row r="63" spans="1:9" x14ac:dyDescent="0.25">
      <c r="A63" s="8"/>
      <c r="B63" s="9"/>
      <c r="C63" s="8"/>
      <c r="D63" s="8"/>
      <c r="E63" s="8"/>
      <c r="F63" s="8"/>
      <c r="G63" s="8"/>
      <c r="H63" s="8"/>
    </row>
    <row r="64" spans="1:9"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8"/>
      <c r="B67" s="9"/>
      <c r="C67" s="8"/>
      <c r="D67" s="8"/>
      <c r="E67" s="8"/>
      <c r="F67" s="8"/>
      <c r="G67" s="8"/>
      <c r="H67" s="8"/>
    </row>
    <row r="68" spans="1:8" x14ac:dyDescent="0.25">
      <c r="A68" s="8"/>
      <c r="B68" s="9"/>
      <c r="C68" s="8"/>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8"/>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8"/>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7">
    <dataValidation type="list" allowBlank="1" showInputMessage="1" showErrorMessage="1" sqref="L20:L31" xr:uid="{570E906B-5854-4EE6-A932-CDF7307C2C57}">
      <formula1>Bolsos</formula1>
    </dataValidation>
    <dataValidation type="list" allowBlank="1" showInputMessage="1" showErrorMessage="1" sqref="P14 N4:N19" xr:uid="{9570069C-680E-43F0-A274-6FF141815118}">
      <formula1>INDEX(Medidas,0,MATCH(OFFSET(INDIRECT(ADDRESS(ROW(), COLUMN())),0,-1),categoriasDeMedidas,0))</formula1>
    </dataValidation>
    <dataValidation type="list" allowBlank="1" showInputMessage="1" showErrorMessage="1" sqref="N1:N3 N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90 A117:A118 A120:A123 A140:A1048576 A99:A115 A94:A95 M4:M12 A1:A88" xr:uid="{58756418-36DD-4166-A20C-B9253895726C}">
      <formula1>categorias</formula1>
    </dataValidation>
    <dataValidation type="list" allowBlank="1" showInputMessage="1" showErrorMessage="1" sqref="H60:I60 G1:G1048576 H56:H59" xr:uid="{91411108-00DD-4AAD-AFD3-7E4F18DCFA38}">
      <formula1>$R$4:$Z$4</formula1>
    </dataValidation>
    <dataValidation type="list" allowBlank="1" showInputMessage="1" showErrorMessage="1" sqref="H2" xr:uid="{7C3379AB-4336-4C6D-8FF5-E18FC9833EAF}">
      <formula1>INDEX($R$5:$Z$8,0,MATCH(OFFSET(INDIRECT(ADDRESS(ROW(), COLUMN())),0,-1),$R$4:$Z$4,0))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8A5E34B2-900E-49D1-BDDB-39AD935EEEF5}">
          <x14:formula1>
            <xm:f>Configuracion!$A$2:$A$74</xm:f>
          </x14:formula1>
          <xm:sqref>M1:M3 M47:M1048576</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C85 C89:C90</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xm:sqref>
        </x14:dataValidation>
        <x14:dataValidation type="list" allowBlank="1" showInputMessage="1" showErrorMessage="1" xr:uid="{08CB4ED5-E198-432A-97E3-44D7BF3370BC}">
          <x14:formula1>
            <xm:f>Configuracion!$F$2:$F$11</xm:f>
          </x14:formula1>
          <xm:sqref>C21 C23 C39 C50 C52:C55</xm:sqref>
        </x14:dataValidation>
        <x14:dataValidation type="list" allowBlank="1" showInputMessage="1" showErrorMessage="1" xr:uid="{A4841112-B0C8-4BCC-AA67-F77AAD154CF9}">
          <x14:formula1>
            <xm:f>Configuracion!$H$2:$H$4</xm:f>
          </x14:formula1>
          <xm:sqref>C56:C57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opLeftCell="K1" workbookViewId="0">
      <selection activeCell="P4" sqref="P4:V4"/>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240</v>
      </c>
      <c r="G1" s="6" t="s">
        <v>13</v>
      </c>
      <c r="H1" s="6" t="s">
        <v>232</v>
      </c>
    </row>
    <row r="2" spans="1:22" ht="30" x14ac:dyDescent="0.25">
      <c r="A2" s="8" t="s">
        <v>116</v>
      </c>
      <c r="B2" s="9"/>
      <c r="C2" s="8" t="s">
        <v>399</v>
      </c>
      <c r="D2" s="8"/>
      <c r="E2" s="8"/>
      <c r="F2" s="8">
        <v>1</v>
      </c>
      <c r="G2" s="8" t="s">
        <v>8</v>
      </c>
      <c r="H2" s="8">
        <v>1</v>
      </c>
    </row>
    <row r="3" spans="1:22" x14ac:dyDescent="0.25">
      <c r="A3" s="8" t="s">
        <v>383</v>
      </c>
      <c r="B3" s="9" t="s">
        <v>384</v>
      </c>
      <c r="C3" s="8"/>
      <c r="D3" s="8"/>
      <c r="E3" s="8"/>
      <c r="F3" s="8">
        <v>4</v>
      </c>
      <c r="G3" s="8" t="s">
        <v>8</v>
      </c>
      <c r="H3" s="8">
        <v>1</v>
      </c>
      <c r="J3" t="s">
        <v>16</v>
      </c>
      <c r="K3" t="s">
        <v>18</v>
      </c>
      <c r="L3" t="s">
        <v>14</v>
      </c>
      <c r="N3" t="s">
        <v>28</v>
      </c>
      <c r="P3" s="12" t="s">
        <v>230</v>
      </c>
      <c r="Q3" s="12"/>
      <c r="R3" s="12"/>
      <c r="S3" s="12"/>
      <c r="T3" s="12"/>
      <c r="U3" s="12"/>
    </row>
    <row r="4" spans="1:22" ht="45" x14ac:dyDescent="0.25">
      <c r="A4" s="8" t="s">
        <v>383</v>
      </c>
      <c r="B4" s="9" t="s">
        <v>385</v>
      </c>
      <c r="C4" s="8"/>
      <c r="D4" s="8"/>
      <c r="E4" s="8"/>
      <c r="F4" s="8">
        <v>1</v>
      </c>
      <c r="G4" s="8" t="s">
        <v>8</v>
      </c>
      <c r="H4" s="8">
        <v>1</v>
      </c>
      <c r="J4" t="s">
        <v>262</v>
      </c>
      <c r="K4">
        <v>1</v>
      </c>
      <c r="L4" t="s">
        <v>261</v>
      </c>
      <c r="N4" t="s">
        <v>270</v>
      </c>
      <c r="P4" t="s">
        <v>8</v>
      </c>
      <c r="Q4" t="s">
        <v>5</v>
      </c>
      <c r="R4" t="s">
        <v>6</v>
      </c>
      <c r="S4" t="s">
        <v>9</v>
      </c>
      <c r="T4" t="s">
        <v>10</v>
      </c>
      <c r="U4" t="s">
        <v>257</v>
      </c>
      <c r="V4" t="s">
        <v>7</v>
      </c>
    </row>
    <row r="5" spans="1:22" ht="45" x14ac:dyDescent="0.25">
      <c r="A5" s="8" t="s">
        <v>386</v>
      </c>
      <c r="B5" s="9" t="s">
        <v>387</v>
      </c>
      <c r="C5" s="8"/>
      <c r="D5" s="8"/>
      <c r="E5" s="8"/>
      <c r="F5" s="8">
        <v>7</v>
      </c>
      <c r="G5" s="8" t="s">
        <v>8</v>
      </c>
      <c r="H5" s="8">
        <v>1</v>
      </c>
      <c r="J5" t="s">
        <v>263</v>
      </c>
      <c r="K5">
        <v>2</v>
      </c>
      <c r="L5" t="s">
        <v>261</v>
      </c>
      <c r="N5" t="s">
        <v>278</v>
      </c>
      <c r="P5">
        <v>1</v>
      </c>
      <c r="Q5">
        <v>1</v>
      </c>
      <c r="R5">
        <v>1</v>
      </c>
      <c r="S5">
        <v>1</v>
      </c>
      <c r="T5">
        <v>1</v>
      </c>
      <c r="U5">
        <v>1</v>
      </c>
      <c r="V5">
        <v>1</v>
      </c>
    </row>
    <row r="6" spans="1:22" x14ac:dyDescent="0.25">
      <c r="A6" s="8" t="s">
        <v>154</v>
      </c>
      <c r="B6" s="9" t="s">
        <v>155</v>
      </c>
      <c r="C6" s="8"/>
      <c r="D6" s="8"/>
      <c r="E6" s="8"/>
      <c r="F6" s="8">
        <v>1</v>
      </c>
      <c r="G6" s="8" t="s">
        <v>8</v>
      </c>
      <c r="H6" s="8">
        <v>1</v>
      </c>
      <c r="J6" t="s">
        <v>265</v>
      </c>
      <c r="K6">
        <v>1</v>
      </c>
      <c r="L6" t="s">
        <v>264</v>
      </c>
      <c r="N6" t="s">
        <v>280</v>
      </c>
      <c r="P6">
        <v>2</v>
      </c>
      <c r="Q6">
        <v>2</v>
      </c>
      <c r="T6" t="s">
        <v>410</v>
      </c>
    </row>
    <row r="7" spans="1:22" ht="90" x14ac:dyDescent="0.25">
      <c r="A7" s="8" t="s">
        <v>53</v>
      </c>
      <c r="B7" s="9" t="s">
        <v>238</v>
      </c>
      <c r="C7" s="8"/>
      <c r="D7" s="8"/>
      <c r="E7" s="8"/>
      <c r="F7" s="8">
        <v>8</v>
      </c>
      <c r="G7" s="8" t="s">
        <v>8</v>
      </c>
      <c r="H7" s="8">
        <v>2</v>
      </c>
      <c r="J7" t="s">
        <v>266</v>
      </c>
      <c r="K7">
        <v>2</v>
      </c>
      <c r="L7" t="s">
        <v>264</v>
      </c>
      <c r="N7" t="s">
        <v>358</v>
      </c>
      <c r="P7">
        <v>3</v>
      </c>
    </row>
    <row r="8" spans="1:22" x14ac:dyDescent="0.25">
      <c r="A8" s="8" t="s">
        <v>389</v>
      </c>
      <c r="B8" s="9" t="s">
        <v>390</v>
      </c>
      <c r="C8" s="8"/>
      <c r="D8" s="8"/>
      <c r="E8" s="8">
        <v>10023961</v>
      </c>
      <c r="F8" s="8">
        <v>1</v>
      </c>
      <c r="G8" s="8" t="s">
        <v>8</v>
      </c>
      <c r="H8" s="8">
        <v>2</v>
      </c>
      <c r="J8" t="s">
        <v>263</v>
      </c>
      <c r="K8">
        <v>2</v>
      </c>
      <c r="L8" t="s">
        <v>264</v>
      </c>
      <c r="N8" t="s">
        <v>359</v>
      </c>
    </row>
    <row r="9" spans="1:22" x14ac:dyDescent="0.25">
      <c r="A9" s="8" t="s">
        <v>403</v>
      </c>
      <c r="B9" s="9"/>
      <c r="C9" s="8"/>
      <c r="D9" s="8"/>
      <c r="E9" s="8"/>
      <c r="F9" s="8">
        <v>1</v>
      </c>
      <c r="G9" s="8" t="s">
        <v>8</v>
      </c>
      <c r="H9" s="8">
        <v>2</v>
      </c>
      <c r="J9" t="s">
        <v>271</v>
      </c>
      <c r="K9">
        <v>1</v>
      </c>
      <c r="L9" t="s">
        <v>270</v>
      </c>
      <c r="N9" t="s">
        <v>354</v>
      </c>
    </row>
    <row r="10" spans="1:22"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272</v>
      </c>
      <c r="K10">
        <v>2</v>
      </c>
      <c r="L10" t="s">
        <v>270</v>
      </c>
      <c r="N10" t="s">
        <v>261</v>
      </c>
    </row>
    <row r="11" spans="1:22" ht="60" x14ac:dyDescent="0.25">
      <c r="A11" s="8" t="s">
        <v>92</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273</v>
      </c>
      <c r="K11">
        <v>2</v>
      </c>
      <c r="L11" t="s">
        <v>270</v>
      </c>
      <c r="N11" t="s">
        <v>264</v>
      </c>
    </row>
    <row r="12" spans="1:22" ht="30" x14ac:dyDescent="0.25">
      <c r="A12" s="8" t="s">
        <v>92</v>
      </c>
      <c r="B12" s="9" t="str">
        <f>bolso("Cajon de hazmat 3",Table69[] )</f>
        <v xml:space="preserve">Cajon de hazmat 3 Contiene:  Traje de aproximacion clase "A" x1, </v>
      </c>
      <c r="C12" s="8"/>
      <c r="D12" s="8"/>
      <c r="E12" s="8"/>
      <c r="F12" s="8">
        <v>1</v>
      </c>
      <c r="G12" s="8" t="s">
        <v>8</v>
      </c>
      <c r="H12" s="8">
        <v>3</v>
      </c>
      <c r="J12" t="s">
        <v>274</v>
      </c>
      <c r="K12">
        <v>2</v>
      </c>
      <c r="L12" t="s">
        <v>270</v>
      </c>
      <c r="N12" t="s">
        <v>275</v>
      </c>
    </row>
    <row r="13" spans="1:22" x14ac:dyDescent="0.25">
      <c r="A13" s="8" t="s">
        <v>401</v>
      </c>
      <c r="B13" s="9" t="s">
        <v>402</v>
      </c>
      <c r="C13" s="8"/>
      <c r="D13" s="8"/>
      <c r="E13" s="8"/>
      <c r="F13" s="8">
        <v>1</v>
      </c>
      <c r="G13" s="8" t="s">
        <v>8</v>
      </c>
      <c r="H13" s="8">
        <v>3</v>
      </c>
      <c r="J13" t="s">
        <v>276</v>
      </c>
      <c r="K13">
        <v>1</v>
      </c>
      <c r="L13" t="s">
        <v>275</v>
      </c>
      <c r="N13" t="s">
        <v>363</v>
      </c>
    </row>
    <row r="14" spans="1:22" x14ac:dyDescent="0.25">
      <c r="A14" s="8" t="s">
        <v>401</v>
      </c>
      <c r="B14" s="9"/>
      <c r="C14" s="8"/>
      <c r="D14" s="8"/>
      <c r="E14" s="8"/>
      <c r="F14" s="8">
        <v>2</v>
      </c>
      <c r="G14" s="8" t="s">
        <v>8</v>
      </c>
      <c r="H14" s="8">
        <v>3</v>
      </c>
      <c r="J14" t="s">
        <v>272</v>
      </c>
      <c r="K14">
        <v>1</v>
      </c>
      <c r="L14" t="s">
        <v>275</v>
      </c>
      <c r="N14" t="s">
        <v>281</v>
      </c>
    </row>
    <row r="15" spans="1:22" x14ac:dyDescent="0.25">
      <c r="A15" t="s">
        <v>394</v>
      </c>
      <c r="B15" s="9"/>
      <c r="C15" s="8"/>
      <c r="D15" s="8"/>
      <c r="E15" s="8"/>
      <c r="F15" s="8">
        <v>2</v>
      </c>
      <c r="G15" s="8" t="s">
        <v>8</v>
      </c>
      <c r="H15" s="8">
        <v>3</v>
      </c>
      <c r="J15" t="s">
        <v>19</v>
      </c>
      <c r="K15">
        <v>1</v>
      </c>
      <c r="L15" t="s">
        <v>278</v>
      </c>
      <c r="N15" t="s">
        <v>286</v>
      </c>
    </row>
    <row r="16" spans="1:22" x14ac:dyDescent="0.25">
      <c r="A16" t="s">
        <v>90</v>
      </c>
      <c r="B16" s="9" t="s">
        <v>393</v>
      </c>
      <c r="C16" s="8"/>
      <c r="D16" s="8"/>
      <c r="E16" s="8"/>
      <c r="F16" s="8">
        <v>2</v>
      </c>
      <c r="G16" s="8" t="s">
        <v>8</v>
      </c>
      <c r="H16" s="8">
        <v>3</v>
      </c>
      <c r="J16" t="s">
        <v>279</v>
      </c>
      <c r="K16">
        <v>1</v>
      </c>
      <c r="L16" t="s">
        <v>278</v>
      </c>
      <c r="N16" t="s">
        <v>373</v>
      </c>
    </row>
    <row r="17" spans="1:14" x14ac:dyDescent="0.25">
      <c r="A17" s="8" t="s">
        <v>427</v>
      </c>
      <c r="B17" s="9" t="s">
        <v>429</v>
      </c>
      <c r="C17" s="8"/>
      <c r="D17" s="8"/>
      <c r="E17" s="8" t="s">
        <v>428</v>
      </c>
      <c r="F17" s="8">
        <v>1</v>
      </c>
      <c r="G17" s="8" t="s">
        <v>9</v>
      </c>
      <c r="H17" s="8">
        <v>1</v>
      </c>
      <c r="J17" t="s">
        <v>20</v>
      </c>
      <c r="K17">
        <v>1</v>
      </c>
      <c r="L17" t="s">
        <v>278</v>
      </c>
      <c r="N17" t="s">
        <v>395</v>
      </c>
    </row>
    <row r="18" spans="1:14" ht="30" x14ac:dyDescent="0.25">
      <c r="A18" s="8" t="s">
        <v>151</v>
      </c>
      <c r="B18" s="9" t="s">
        <v>336</v>
      </c>
      <c r="C18" s="8" t="s">
        <v>338</v>
      </c>
      <c r="D18" s="8"/>
      <c r="E18" s="8"/>
      <c r="F18" s="8">
        <v>1</v>
      </c>
      <c r="G18" s="8" t="s">
        <v>9</v>
      </c>
      <c r="H18" s="8">
        <v>1</v>
      </c>
      <c r="J18" t="s">
        <v>19</v>
      </c>
      <c r="K18">
        <v>1</v>
      </c>
      <c r="L18" t="s">
        <v>280</v>
      </c>
      <c r="N18" t="s">
        <v>396</v>
      </c>
    </row>
    <row r="19" spans="1:14" ht="30" x14ac:dyDescent="0.25">
      <c r="A19" s="8" t="s">
        <v>151</v>
      </c>
      <c r="B19" s="9" t="s">
        <v>337</v>
      </c>
      <c r="C19" s="8" t="s">
        <v>339</v>
      </c>
      <c r="D19" s="8"/>
      <c r="E19" s="8"/>
      <c r="F19" s="8">
        <v>1</v>
      </c>
      <c r="G19" s="8" t="s">
        <v>9</v>
      </c>
      <c r="H19" s="8">
        <v>1</v>
      </c>
      <c r="J19" t="s">
        <v>20</v>
      </c>
      <c r="K19">
        <v>1</v>
      </c>
      <c r="L19" t="s">
        <v>280</v>
      </c>
      <c r="N19" t="s">
        <v>398</v>
      </c>
    </row>
    <row r="20" spans="1:14" ht="45" x14ac:dyDescent="0.25">
      <c r="A20" s="8" t="s">
        <v>151</v>
      </c>
      <c r="B20" s="9" t="s">
        <v>340</v>
      </c>
      <c r="C20" s="8" t="s">
        <v>341</v>
      </c>
      <c r="D20" s="8"/>
      <c r="E20" s="8"/>
      <c r="F20" s="8">
        <v>1</v>
      </c>
      <c r="G20" s="8" t="s">
        <v>9</v>
      </c>
      <c r="H20" s="8">
        <v>1</v>
      </c>
      <c r="J20" t="s">
        <v>282</v>
      </c>
      <c r="K20">
        <v>1</v>
      </c>
      <c r="L20" t="s">
        <v>281</v>
      </c>
      <c r="N20" t="s">
        <v>376</v>
      </c>
    </row>
    <row r="21" spans="1:14" ht="30" x14ac:dyDescent="0.25">
      <c r="A21" s="8" t="s">
        <v>151</v>
      </c>
      <c r="B21" s="9" t="s">
        <v>342</v>
      </c>
      <c r="C21" s="8" t="s">
        <v>343</v>
      </c>
      <c r="D21" s="8"/>
      <c r="E21" s="8"/>
      <c r="F21" s="8">
        <v>1</v>
      </c>
      <c r="G21" s="8" t="s">
        <v>9</v>
      </c>
      <c r="H21" s="8">
        <v>1</v>
      </c>
      <c r="J21" t="s">
        <v>283</v>
      </c>
      <c r="K21">
        <v>1</v>
      </c>
      <c r="L21" t="s">
        <v>281</v>
      </c>
      <c r="N21" t="s">
        <v>378</v>
      </c>
    </row>
    <row r="22" spans="1:14" ht="30" x14ac:dyDescent="0.25">
      <c r="A22" s="8" t="s">
        <v>151</v>
      </c>
      <c r="B22" s="9" t="s">
        <v>344</v>
      </c>
      <c r="C22" s="8" t="s">
        <v>345</v>
      </c>
      <c r="D22" s="8"/>
      <c r="E22" s="8"/>
      <c r="F22" s="8">
        <v>1</v>
      </c>
      <c r="G22" s="8" t="s">
        <v>9</v>
      </c>
      <c r="H22" s="8">
        <v>1</v>
      </c>
      <c r="J22" t="s">
        <v>284</v>
      </c>
      <c r="K22">
        <v>1</v>
      </c>
      <c r="L22" t="s">
        <v>281</v>
      </c>
      <c r="N22" t="s">
        <v>413</v>
      </c>
    </row>
    <row r="23" spans="1:14" ht="45" x14ac:dyDescent="0.25">
      <c r="A23" s="8" t="s">
        <v>151</v>
      </c>
      <c r="B23" s="9" t="s">
        <v>346</v>
      </c>
      <c r="C23" s="8" t="s">
        <v>347</v>
      </c>
      <c r="D23" s="8"/>
      <c r="E23" s="8"/>
      <c r="F23" s="8">
        <v>1</v>
      </c>
      <c r="G23" s="8" t="s">
        <v>9</v>
      </c>
      <c r="H23" s="8">
        <v>1</v>
      </c>
      <c r="J23" t="s">
        <v>285</v>
      </c>
      <c r="K23">
        <v>1</v>
      </c>
      <c r="L23" t="s">
        <v>281</v>
      </c>
      <c r="N23" t="s">
        <v>439</v>
      </c>
    </row>
    <row r="24" spans="1:14" x14ac:dyDescent="0.25">
      <c r="A24" s="8" t="s">
        <v>151</v>
      </c>
      <c r="B24" s="9" t="s">
        <v>350</v>
      </c>
      <c r="C24" s="8" t="s">
        <v>351</v>
      </c>
      <c r="D24" s="8"/>
      <c r="E24" s="8"/>
      <c r="F24" s="8">
        <v>1</v>
      </c>
      <c r="G24" s="8" t="s">
        <v>9</v>
      </c>
      <c r="H24" s="8">
        <v>1</v>
      </c>
      <c r="J24" t="s">
        <v>287</v>
      </c>
      <c r="K24">
        <v>1</v>
      </c>
      <c r="L24" t="s">
        <v>286</v>
      </c>
      <c r="N24" t="s">
        <v>441</v>
      </c>
    </row>
    <row r="25" spans="1:14" x14ac:dyDescent="0.25">
      <c r="A25" s="8" t="s">
        <v>11</v>
      </c>
      <c r="B25" s="9" t="s">
        <v>426</v>
      </c>
      <c r="C25" s="8" t="s">
        <v>123</v>
      </c>
      <c r="D25" s="8"/>
      <c r="E25" s="8"/>
      <c r="F25" s="8">
        <v>2</v>
      </c>
      <c r="G25" s="8" t="s">
        <v>9</v>
      </c>
      <c r="H25" s="8">
        <v>1</v>
      </c>
      <c r="J25" t="s">
        <v>288</v>
      </c>
      <c r="K25">
        <v>1</v>
      </c>
      <c r="L25" t="s">
        <v>286</v>
      </c>
      <c r="N25" t="s">
        <v>444</v>
      </c>
    </row>
    <row r="26" spans="1:14" ht="30" x14ac:dyDescent="0.25">
      <c r="A26" s="8" t="s">
        <v>151</v>
      </c>
      <c r="B26" s="9" t="s">
        <v>348</v>
      </c>
      <c r="C26" s="8"/>
      <c r="D26" s="8"/>
      <c r="E26" s="8"/>
      <c r="F26" s="8">
        <v>1</v>
      </c>
      <c r="G26" s="8" t="s">
        <v>9</v>
      </c>
      <c r="H26" s="8">
        <v>2</v>
      </c>
      <c r="J26" t="s">
        <v>289</v>
      </c>
      <c r="K26">
        <v>2</v>
      </c>
      <c r="L26" t="s">
        <v>286</v>
      </c>
      <c r="N26" t="s">
        <v>446</v>
      </c>
    </row>
    <row r="27" spans="1:14" ht="30" x14ac:dyDescent="0.25">
      <c r="A27" s="8" t="s">
        <v>151</v>
      </c>
      <c r="B27" s="9" t="s">
        <v>349</v>
      </c>
      <c r="C27" s="8"/>
      <c r="D27" s="8"/>
      <c r="E27" s="8"/>
      <c r="F27" s="8">
        <v>1</v>
      </c>
      <c r="G27" s="8" t="s">
        <v>9</v>
      </c>
      <c r="H27" s="8">
        <v>2</v>
      </c>
      <c r="J27" t="s">
        <v>290</v>
      </c>
      <c r="K27">
        <v>1</v>
      </c>
      <c r="L27" t="s">
        <v>286</v>
      </c>
      <c r="N27" t="s">
        <v>449</v>
      </c>
    </row>
    <row r="28" spans="1:14" x14ac:dyDescent="0.25">
      <c r="A28" s="8" t="s">
        <v>389</v>
      </c>
      <c r="B28" s="9" t="s">
        <v>431</v>
      </c>
      <c r="C28" s="8"/>
      <c r="D28" s="8" t="s">
        <v>430</v>
      </c>
      <c r="E28" s="8">
        <v>1043</v>
      </c>
      <c r="F28" s="8">
        <v>1</v>
      </c>
      <c r="G28" s="8" t="s">
        <v>9</v>
      </c>
      <c r="H28" s="8">
        <v>1</v>
      </c>
      <c r="J28" t="s">
        <v>291</v>
      </c>
      <c r="K28">
        <v>5</v>
      </c>
      <c r="L28" t="s">
        <v>286</v>
      </c>
      <c r="N28" t="s">
        <v>29</v>
      </c>
    </row>
    <row r="29" spans="1:14" x14ac:dyDescent="0.25">
      <c r="A29" s="8" t="s">
        <v>389</v>
      </c>
      <c r="B29" s="9" t="s">
        <v>431</v>
      </c>
      <c r="C29" s="8"/>
      <c r="D29" s="8" t="s">
        <v>430</v>
      </c>
      <c r="E29" s="8">
        <v>4100</v>
      </c>
      <c r="F29" s="8">
        <v>1</v>
      </c>
      <c r="G29" s="8" t="s">
        <v>9</v>
      </c>
      <c r="H29" s="8">
        <v>1</v>
      </c>
      <c r="J29" t="s">
        <v>292</v>
      </c>
      <c r="K29">
        <v>2</v>
      </c>
      <c r="L29" t="s">
        <v>286</v>
      </c>
    </row>
    <row r="30" spans="1:14" x14ac:dyDescent="0.25">
      <c r="A30" s="8" t="s">
        <v>389</v>
      </c>
      <c r="B30" s="9" t="s">
        <v>432</v>
      </c>
      <c r="C30" s="8"/>
      <c r="D30" s="8"/>
      <c r="E30" s="8"/>
      <c r="F30" s="8">
        <v>2</v>
      </c>
      <c r="G30" s="8" t="s">
        <v>9</v>
      </c>
      <c r="H30" s="8">
        <v>1</v>
      </c>
      <c r="J30" t="s">
        <v>293</v>
      </c>
      <c r="K30">
        <v>1</v>
      </c>
      <c r="L30" t="s">
        <v>286</v>
      </c>
    </row>
    <row r="31" spans="1:14" x14ac:dyDescent="0.25">
      <c r="A31" s="8" t="s">
        <v>389</v>
      </c>
      <c r="B31" s="9" t="s">
        <v>433</v>
      </c>
      <c r="C31" s="8"/>
      <c r="D31" s="8" t="s">
        <v>360</v>
      </c>
      <c r="E31" s="8"/>
      <c r="F31" s="8">
        <v>2</v>
      </c>
      <c r="G31" s="8" t="s">
        <v>9</v>
      </c>
      <c r="H31" s="8">
        <v>1</v>
      </c>
      <c r="J31" t="s">
        <v>332</v>
      </c>
      <c r="K31">
        <v>1</v>
      </c>
      <c r="L31" t="s">
        <v>358</v>
      </c>
    </row>
    <row r="32" spans="1:14" x14ac:dyDescent="0.25">
      <c r="A32" s="8" t="s">
        <v>389</v>
      </c>
      <c r="B32" s="9" t="s">
        <v>434</v>
      </c>
      <c r="C32" s="8"/>
      <c r="D32" s="8"/>
      <c r="E32" s="8"/>
      <c r="F32" s="8">
        <v>2</v>
      </c>
      <c r="G32" s="8" t="s">
        <v>9</v>
      </c>
      <c r="H32" s="8">
        <v>1</v>
      </c>
      <c r="J32" t="s">
        <v>333</v>
      </c>
      <c r="K32">
        <v>1</v>
      </c>
      <c r="L32" t="s">
        <v>358</v>
      </c>
    </row>
    <row r="33" spans="1:12" x14ac:dyDescent="0.25">
      <c r="A33" s="8" t="s">
        <v>100</v>
      </c>
      <c r="B33" s="9" t="s">
        <v>366</v>
      </c>
      <c r="C33" s="8"/>
      <c r="D33" s="8" t="s">
        <v>360</v>
      </c>
      <c r="E33" s="8"/>
      <c r="F33" s="8">
        <v>3</v>
      </c>
      <c r="G33" s="8" t="s">
        <v>10</v>
      </c>
      <c r="H33" s="8">
        <v>1</v>
      </c>
      <c r="J33" t="s">
        <v>334</v>
      </c>
      <c r="K33">
        <v>2</v>
      </c>
      <c r="L33" t="s">
        <v>358</v>
      </c>
    </row>
    <row r="34" spans="1:12"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335</v>
      </c>
      <c r="K34">
        <v>2</v>
      </c>
      <c r="L34" t="s">
        <v>358</v>
      </c>
    </row>
    <row r="35" spans="1:12"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355</v>
      </c>
      <c r="K35">
        <v>1</v>
      </c>
      <c r="L35" t="s">
        <v>354</v>
      </c>
    </row>
    <row r="36" spans="1:12" ht="30" x14ac:dyDescent="0.25">
      <c r="A36" s="8" t="s">
        <v>92</v>
      </c>
      <c r="B36" s="9" t="s">
        <v>361</v>
      </c>
      <c r="C36" s="8"/>
      <c r="D36" s="8"/>
      <c r="E36" s="8"/>
      <c r="F36" s="8">
        <v>1</v>
      </c>
      <c r="G36" s="8" t="s">
        <v>10</v>
      </c>
      <c r="H36" s="8">
        <v>1</v>
      </c>
      <c r="J36" t="s">
        <v>356</v>
      </c>
      <c r="K36">
        <v>2</v>
      </c>
      <c r="L36" t="s">
        <v>354</v>
      </c>
    </row>
    <row r="37" spans="1:12" ht="45" x14ac:dyDescent="0.25">
      <c r="A37" s="8" t="s">
        <v>92</v>
      </c>
      <c r="B37" s="9" t="str">
        <f>bolso("Caja de cubre parantes",Table69[])</f>
        <v xml:space="preserve">Caja de cubre parantes Contiene:  Cubre parantes chico x6,  Cubre parantes grande x6, </v>
      </c>
      <c r="C37" s="8"/>
      <c r="D37" s="8" t="s">
        <v>360</v>
      </c>
      <c r="E37" s="8"/>
      <c r="F37" s="8">
        <v>1</v>
      </c>
      <c r="G37" s="8" t="s">
        <v>10</v>
      </c>
      <c r="H37" s="8">
        <v>1</v>
      </c>
      <c r="J37" t="s">
        <v>332</v>
      </c>
      <c r="K37">
        <v>1</v>
      </c>
      <c r="L37" t="s">
        <v>359</v>
      </c>
    </row>
    <row r="38" spans="1:12" ht="45" x14ac:dyDescent="0.25">
      <c r="A38" s="8" t="s">
        <v>92</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333</v>
      </c>
      <c r="K38">
        <v>1</v>
      </c>
      <c r="L38" t="s">
        <v>359</v>
      </c>
    </row>
    <row r="39" spans="1:12" ht="30" x14ac:dyDescent="0.25">
      <c r="A39" s="8" t="s">
        <v>92</v>
      </c>
      <c r="B39" s="9" t="str">
        <f>bolso("Cajon de tacos 1",Table69[])</f>
        <v xml:space="preserve">Cajon de tacos 1 Contiene:  Tacos varios de madera x12, </v>
      </c>
      <c r="C39" s="8"/>
      <c r="D39" s="8"/>
      <c r="E39" s="8"/>
      <c r="F39" s="8">
        <v>1</v>
      </c>
      <c r="G39" s="8" t="s">
        <v>10</v>
      </c>
      <c r="H39" s="8">
        <v>1</v>
      </c>
      <c r="J39" t="s">
        <v>364</v>
      </c>
      <c r="K39">
        <v>6</v>
      </c>
      <c r="L39" t="s">
        <v>363</v>
      </c>
    </row>
    <row r="40" spans="1:12"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365</v>
      </c>
      <c r="K40">
        <v>6</v>
      </c>
      <c r="L40" t="s">
        <v>363</v>
      </c>
    </row>
    <row r="41" spans="1:12" x14ac:dyDescent="0.25">
      <c r="A41" s="8" t="s">
        <v>368</v>
      </c>
      <c r="B41" s="9" t="s">
        <v>369</v>
      </c>
      <c r="C41" s="8"/>
      <c r="D41" s="8" t="s">
        <v>360</v>
      </c>
      <c r="E41" s="8">
        <v>58115</v>
      </c>
      <c r="F41" s="8">
        <v>1</v>
      </c>
      <c r="G41" s="8" t="s">
        <v>10</v>
      </c>
      <c r="H41" s="8">
        <v>1</v>
      </c>
      <c r="J41" t="s">
        <v>374</v>
      </c>
      <c r="K41">
        <v>4</v>
      </c>
      <c r="L41" t="s">
        <v>373</v>
      </c>
    </row>
    <row r="42" spans="1:12" x14ac:dyDescent="0.25">
      <c r="A42" s="8" t="s">
        <v>83</v>
      </c>
      <c r="B42" s="9" t="s">
        <v>369</v>
      </c>
      <c r="C42" s="8"/>
      <c r="D42" s="8" t="s">
        <v>360</v>
      </c>
      <c r="E42" s="8">
        <v>114947</v>
      </c>
      <c r="F42" s="8">
        <v>1</v>
      </c>
      <c r="G42" s="8" t="s">
        <v>10</v>
      </c>
      <c r="H42" s="8">
        <v>1</v>
      </c>
      <c r="J42" t="s">
        <v>375</v>
      </c>
      <c r="K42">
        <v>1</v>
      </c>
      <c r="L42" t="s">
        <v>373</v>
      </c>
    </row>
    <row r="43" spans="1:12" x14ac:dyDescent="0.25">
      <c r="A43" s="8" t="s">
        <v>242</v>
      </c>
      <c r="B43" s="9"/>
      <c r="C43" s="8"/>
      <c r="D43" s="8" t="s">
        <v>360</v>
      </c>
      <c r="E43" s="8"/>
      <c r="F43" s="8">
        <v>2</v>
      </c>
      <c r="G43" s="8" t="s">
        <v>10</v>
      </c>
      <c r="H43" s="8">
        <v>1</v>
      </c>
      <c r="J43" t="s">
        <v>377</v>
      </c>
      <c r="K43">
        <v>12</v>
      </c>
      <c r="L43" t="s">
        <v>376</v>
      </c>
    </row>
    <row r="44" spans="1:12" x14ac:dyDescent="0.25">
      <c r="A44" s="8" t="s">
        <v>242</v>
      </c>
      <c r="B44" s="9"/>
      <c r="C44" s="8"/>
      <c r="D44" s="8" t="s">
        <v>362</v>
      </c>
      <c r="E44" s="8"/>
      <c r="F44" s="8">
        <v>2</v>
      </c>
      <c r="G44" s="8" t="s">
        <v>10</v>
      </c>
      <c r="H44" s="8">
        <v>1</v>
      </c>
      <c r="J44" t="s">
        <v>379</v>
      </c>
      <c r="K44">
        <v>11</v>
      </c>
      <c r="L44" t="s">
        <v>378</v>
      </c>
    </row>
    <row r="45" spans="1:12" x14ac:dyDescent="0.25">
      <c r="A45" s="8" t="s">
        <v>242</v>
      </c>
      <c r="B45" s="9"/>
      <c r="C45" s="8"/>
      <c r="D45" s="8"/>
      <c r="E45" s="8"/>
      <c r="F45" s="8">
        <v>1</v>
      </c>
      <c r="G45" s="8" t="s">
        <v>10</v>
      </c>
      <c r="H45" s="8">
        <v>1</v>
      </c>
      <c r="J45" t="s">
        <v>380</v>
      </c>
      <c r="K45">
        <v>5</v>
      </c>
      <c r="L45" t="s">
        <v>378</v>
      </c>
    </row>
    <row r="46" spans="1:12" ht="30" x14ac:dyDescent="0.25">
      <c r="A46" s="8" t="s">
        <v>80</v>
      </c>
      <c r="B46" s="9" t="s">
        <v>372</v>
      </c>
      <c r="C46" s="8"/>
      <c r="D46" s="8" t="s">
        <v>360</v>
      </c>
      <c r="E46" s="8">
        <v>122054</v>
      </c>
      <c r="F46" s="8">
        <v>1</v>
      </c>
      <c r="G46" s="8" t="s">
        <v>10</v>
      </c>
      <c r="H46" s="8">
        <v>1</v>
      </c>
      <c r="J46" t="s">
        <v>381</v>
      </c>
      <c r="K46">
        <v>6</v>
      </c>
      <c r="L46" t="s">
        <v>378</v>
      </c>
    </row>
    <row r="47" spans="1:12" x14ac:dyDescent="0.25">
      <c r="A47" s="8" t="s">
        <v>352</v>
      </c>
      <c r="B47" s="9" t="s">
        <v>353</v>
      </c>
      <c r="C47" s="8"/>
      <c r="D47" s="8"/>
      <c r="E47" s="8"/>
      <c r="F47" s="8">
        <v>4</v>
      </c>
      <c r="G47" s="8" t="s">
        <v>10</v>
      </c>
      <c r="H47" s="8">
        <v>1</v>
      </c>
      <c r="J47" t="s">
        <v>391</v>
      </c>
      <c r="K47">
        <v>8</v>
      </c>
      <c r="L47" t="s">
        <v>395</v>
      </c>
    </row>
    <row r="48" spans="1:12" x14ac:dyDescent="0.25">
      <c r="A48" s="8" t="s">
        <v>371</v>
      </c>
      <c r="B48" s="9" t="s">
        <v>369</v>
      </c>
      <c r="C48" s="8"/>
      <c r="D48" s="8" t="s">
        <v>360</v>
      </c>
      <c r="E48" s="8">
        <v>57523</v>
      </c>
      <c r="F48" s="8">
        <v>1</v>
      </c>
      <c r="G48" s="8" t="s">
        <v>10</v>
      </c>
      <c r="H48" s="8">
        <v>1</v>
      </c>
      <c r="J48" t="s">
        <v>392</v>
      </c>
      <c r="K48">
        <v>3</v>
      </c>
      <c r="L48" t="s">
        <v>395</v>
      </c>
    </row>
    <row r="49" spans="1:12" x14ac:dyDescent="0.25">
      <c r="A49" s="8" t="s">
        <v>258</v>
      </c>
      <c r="B49" s="9" t="s">
        <v>357</v>
      </c>
      <c r="C49" s="8"/>
      <c r="D49" s="8"/>
      <c r="E49" s="8"/>
      <c r="F49" s="8">
        <v>1</v>
      </c>
      <c r="G49" s="8" t="s">
        <v>10</v>
      </c>
      <c r="H49" s="8">
        <v>1</v>
      </c>
      <c r="J49" t="s">
        <v>392</v>
      </c>
      <c r="K49">
        <v>1</v>
      </c>
      <c r="L49" t="s">
        <v>396</v>
      </c>
    </row>
    <row r="50" spans="1:12" x14ac:dyDescent="0.25">
      <c r="A50" s="8" t="s">
        <v>95</v>
      </c>
      <c r="B50" s="9" t="s">
        <v>370</v>
      </c>
      <c r="C50" s="8"/>
      <c r="D50" s="8" t="s">
        <v>360</v>
      </c>
      <c r="E50" s="8" t="s">
        <v>367</v>
      </c>
      <c r="F50" s="8">
        <v>1</v>
      </c>
      <c r="G50" s="8" t="s">
        <v>10</v>
      </c>
      <c r="H50" s="8">
        <v>1</v>
      </c>
      <c r="J50" t="s">
        <v>397</v>
      </c>
      <c r="K50">
        <v>3</v>
      </c>
      <c r="L50" t="s">
        <v>396</v>
      </c>
    </row>
    <row r="51" spans="1:12" x14ac:dyDescent="0.25">
      <c r="A51" s="8" t="s">
        <v>95</v>
      </c>
      <c r="B51" s="9" t="s">
        <v>369</v>
      </c>
      <c r="C51" s="8"/>
      <c r="D51" s="8" t="s">
        <v>360</v>
      </c>
      <c r="E51" s="8">
        <v>54864</v>
      </c>
      <c r="F51" s="8">
        <v>1</v>
      </c>
      <c r="G51" s="8" t="s">
        <v>10</v>
      </c>
      <c r="H51" s="8">
        <v>1</v>
      </c>
      <c r="J51" t="s">
        <v>391</v>
      </c>
      <c r="K51">
        <v>2</v>
      </c>
      <c r="L51" t="s">
        <v>396</v>
      </c>
    </row>
    <row r="52" spans="1:12" x14ac:dyDescent="0.25">
      <c r="A52" s="8" t="s">
        <v>95</v>
      </c>
      <c r="B52" s="9" t="s">
        <v>369</v>
      </c>
      <c r="C52" s="8"/>
      <c r="D52" s="8" t="s">
        <v>360</v>
      </c>
      <c r="E52" s="8">
        <v>88310</v>
      </c>
      <c r="F52" s="8">
        <v>1</v>
      </c>
      <c r="G52" s="8" t="s">
        <v>10</v>
      </c>
      <c r="H52" s="8">
        <v>1</v>
      </c>
      <c r="J52" t="s">
        <v>392</v>
      </c>
      <c r="K52">
        <v>1</v>
      </c>
      <c r="L52" t="s">
        <v>398</v>
      </c>
    </row>
    <row r="53" spans="1:12" x14ac:dyDescent="0.25">
      <c r="A53" s="8" t="s">
        <v>100</v>
      </c>
      <c r="B53" s="9" t="s">
        <v>423</v>
      </c>
      <c r="C53" s="8"/>
      <c r="D53" s="8"/>
      <c r="E53" s="8"/>
      <c r="F53" s="8">
        <v>1</v>
      </c>
      <c r="G53" s="8" t="s">
        <v>10</v>
      </c>
      <c r="H53" t="s">
        <v>410</v>
      </c>
      <c r="J53" t="s">
        <v>414</v>
      </c>
      <c r="K53">
        <v>9</v>
      </c>
      <c r="L53" t="s">
        <v>413</v>
      </c>
    </row>
    <row r="54" spans="1:12" ht="45" x14ac:dyDescent="0.25">
      <c r="A54" s="8" t="s">
        <v>412</v>
      </c>
      <c r="B54" s="9" t="str">
        <f>bolso("Cajon de tacos 3",Table69[] )</f>
        <v xml:space="preserve">Cajon de tacos 3 Contiene:  Tacos grandes cuadrados x9,  Cuñas grandes x4,  Cuñas chicas x5, </v>
      </c>
      <c r="C54" s="8"/>
      <c r="D54" s="8"/>
      <c r="E54" s="8"/>
      <c r="F54" s="8">
        <v>1</v>
      </c>
      <c r="G54" s="8" t="s">
        <v>10</v>
      </c>
      <c r="H54" t="s">
        <v>410</v>
      </c>
      <c r="J54" t="s">
        <v>415</v>
      </c>
      <c r="K54">
        <v>4</v>
      </c>
      <c r="L54" t="s">
        <v>413</v>
      </c>
    </row>
    <row r="55" spans="1:12" x14ac:dyDescent="0.25">
      <c r="A55" s="8" t="s">
        <v>352</v>
      </c>
      <c r="B55" s="9" t="s">
        <v>417</v>
      </c>
      <c r="C55" s="8"/>
      <c r="D55" s="8"/>
      <c r="E55" s="8"/>
      <c r="F55" s="8">
        <v>5</v>
      </c>
      <c r="G55" s="8" t="s">
        <v>10</v>
      </c>
      <c r="H55" t="s">
        <v>410</v>
      </c>
      <c r="J55" t="s">
        <v>416</v>
      </c>
      <c r="K55">
        <v>5</v>
      </c>
      <c r="L55" t="s">
        <v>413</v>
      </c>
    </row>
    <row r="56" spans="1:12" x14ac:dyDescent="0.25">
      <c r="A56" s="8" t="s">
        <v>226</v>
      </c>
      <c r="B56" s="9" t="s">
        <v>418</v>
      </c>
      <c r="C56" s="8"/>
      <c r="D56" s="8" t="s">
        <v>419</v>
      </c>
      <c r="E56" s="8" t="s">
        <v>420</v>
      </c>
      <c r="F56" s="8">
        <v>1</v>
      </c>
      <c r="G56" s="8" t="s">
        <v>10</v>
      </c>
      <c r="H56" t="s">
        <v>410</v>
      </c>
      <c r="J56" t="s">
        <v>440</v>
      </c>
      <c r="K56">
        <v>2</v>
      </c>
      <c r="L56" t="s">
        <v>439</v>
      </c>
    </row>
    <row r="57" spans="1:12" x14ac:dyDescent="0.25">
      <c r="A57" s="8" t="s">
        <v>226</v>
      </c>
      <c r="B57" s="9" t="s">
        <v>418</v>
      </c>
      <c r="C57" s="8"/>
      <c r="D57" s="8" t="s">
        <v>421</v>
      </c>
      <c r="E57" s="8" t="s">
        <v>422</v>
      </c>
      <c r="F57" s="8">
        <v>1</v>
      </c>
      <c r="G57" s="8" t="s">
        <v>10</v>
      </c>
      <c r="H57" t="s">
        <v>410</v>
      </c>
      <c r="J57" t="s">
        <v>442</v>
      </c>
      <c r="K57">
        <v>1</v>
      </c>
      <c r="L57" t="s">
        <v>441</v>
      </c>
    </row>
    <row r="58" spans="1:12" x14ac:dyDescent="0.25">
      <c r="A58" s="8" t="s">
        <v>111</v>
      </c>
      <c r="B58" s="9" t="s">
        <v>411</v>
      </c>
      <c r="C58" s="8"/>
      <c r="D58" s="8"/>
      <c r="E58" s="8"/>
      <c r="F58" s="8">
        <v>4</v>
      </c>
      <c r="G58" s="8" t="s">
        <v>10</v>
      </c>
      <c r="H58" t="s">
        <v>410</v>
      </c>
      <c r="J58" t="s">
        <v>443</v>
      </c>
      <c r="K58">
        <v>1</v>
      </c>
      <c r="L58" t="s">
        <v>441</v>
      </c>
    </row>
    <row r="59" spans="1:12" ht="45" x14ac:dyDescent="0.25">
      <c r="A59" s="8" t="s">
        <v>92</v>
      </c>
      <c r="B59" s="9" t="str">
        <f>bolso("Bolso de martillo demoledor",Table69[])</f>
        <v xml:space="preserve">Bolso de martillo demoledor Contiene:  Martillo demoledor 220v grande BOSCH D70745 x1,  Mecha x2, </v>
      </c>
      <c r="C59" s="8"/>
      <c r="D59" s="8"/>
      <c r="E59" s="8"/>
      <c r="F59" s="8">
        <v>1</v>
      </c>
      <c r="G59" s="8" t="s">
        <v>257</v>
      </c>
      <c r="H59" s="8">
        <v>1</v>
      </c>
      <c r="J59" t="s">
        <v>445</v>
      </c>
      <c r="K59">
        <v>2</v>
      </c>
      <c r="L59" t="s">
        <v>444</v>
      </c>
    </row>
    <row r="60" spans="1:12" ht="45" x14ac:dyDescent="0.25">
      <c r="A60" s="8" t="s">
        <v>92</v>
      </c>
      <c r="B60" s="9" t="str">
        <f>bolso("Bolso de rotomartillo",Table69[])</f>
        <v xml:space="preserve">Bolso de rotomartillo Contiene:  Rotomartillo 220v BOSCH GBH5470DCE x1,  Mecha sincel x2,  Mecha x2, </v>
      </c>
      <c r="C60" s="8"/>
      <c r="D60" s="8"/>
      <c r="E60" s="8"/>
      <c r="F60" s="8">
        <v>1</v>
      </c>
      <c r="G60" s="8" t="s">
        <v>257</v>
      </c>
      <c r="H60" s="8">
        <v>1</v>
      </c>
      <c r="J60" t="s">
        <v>448</v>
      </c>
      <c r="K60">
        <v>1</v>
      </c>
      <c r="L60" t="s">
        <v>447</v>
      </c>
    </row>
    <row r="61" spans="1:12" ht="90" x14ac:dyDescent="0.25">
      <c r="A61" s="8" t="s">
        <v>92</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268</v>
      </c>
      <c r="E61" s="8"/>
      <c r="F61" s="8">
        <v>1</v>
      </c>
      <c r="G61" s="8" t="s">
        <v>257</v>
      </c>
      <c r="H61" s="8">
        <v>1</v>
      </c>
      <c r="J61" t="s">
        <v>450</v>
      </c>
      <c r="K61">
        <v>4</v>
      </c>
      <c r="L61" t="s">
        <v>449</v>
      </c>
    </row>
    <row r="62" spans="1:12" ht="45" x14ac:dyDescent="0.25">
      <c r="A62" s="8" t="s">
        <v>92</v>
      </c>
      <c r="B62" s="9" t="str">
        <f>bolso("Bolso de sierra sable",Table69[])</f>
        <v xml:space="preserve">Bolso de sierra sable Contiene:  Sierra sable Dewalt s/n 959421  x1,  Bateria DeWalt x1, </v>
      </c>
      <c r="C62" s="8"/>
      <c r="D62" s="8" t="s">
        <v>268</v>
      </c>
      <c r="E62" s="8"/>
      <c r="F62" s="8">
        <v>1</v>
      </c>
      <c r="G62" s="8" t="s">
        <v>257</v>
      </c>
      <c r="H62" s="8">
        <v>1</v>
      </c>
      <c r="J62" t="s">
        <v>451</v>
      </c>
      <c r="K62">
        <v>1</v>
      </c>
      <c r="L62" t="s">
        <v>29</v>
      </c>
    </row>
    <row r="63" spans="1:12" ht="30" x14ac:dyDescent="0.25">
      <c r="A63" s="8" t="s">
        <v>92</v>
      </c>
      <c r="B63" s="9" t="str">
        <f>bolso("Bolso de carpintero 1",Table69[])</f>
        <v xml:space="preserve">Bolso de carpintero 1 Contiene:  Martillo x1,  Pinza x1,  Alicate x1, </v>
      </c>
      <c r="C63" s="8"/>
      <c r="D63" s="8"/>
      <c r="E63" s="8"/>
      <c r="F63" s="8">
        <v>1</v>
      </c>
      <c r="G63" s="8" t="s">
        <v>257</v>
      </c>
      <c r="H63" s="8">
        <v>1</v>
      </c>
      <c r="J63" t="s">
        <v>200</v>
      </c>
      <c r="K63">
        <v>1</v>
      </c>
      <c r="L63" t="s">
        <v>29</v>
      </c>
    </row>
    <row r="64" spans="1:12" ht="30" x14ac:dyDescent="0.25">
      <c r="A64" s="8" t="s">
        <v>92</v>
      </c>
      <c r="B64" s="9" t="str">
        <f>bolso("Bolso de carpintero 2",Table69[])</f>
        <v xml:space="preserve">Bolso de carpintero 2 Contiene:  Martillo x1,  Alicate x1, </v>
      </c>
      <c r="C64" s="8"/>
      <c r="D64" s="8"/>
      <c r="E64" s="8"/>
      <c r="F64" s="8">
        <v>1</v>
      </c>
      <c r="G64" s="8" t="s">
        <v>257</v>
      </c>
      <c r="H64" s="8">
        <v>1</v>
      </c>
      <c r="J64" t="s">
        <v>452</v>
      </c>
      <c r="K64">
        <v>2</v>
      </c>
      <c r="L64" t="s">
        <v>29</v>
      </c>
    </row>
    <row r="65" spans="1:12"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453</v>
      </c>
      <c r="K65">
        <v>2</v>
      </c>
      <c r="L65" t="s">
        <v>29</v>
      </c>
    </row>
    <row r="66" spans="1:12"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19</v>
      </c>
      <c r="K66">
        <v>1</v>
      </c>
      <c r="L66" t="s">
        <v>29</v>
      </c>
    </row>
    <row r="67" spans="1:12"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454</v>
      </c>
      <c r="K67">
        <v>1</v>
      </c>
      <c r="L67" t="s">
        <v>29</v>
      </c>
    </row>
    <row r="68" spans="1:12" x14ac:dyDescent="0.25">
      <c r="A68" s="8" t="s">
        <v>156</v>
      </c>
      <c r="B68" s="9" t="s">
        <v>424</v>
      </c>
      <c r="C68" s="8" t="s">
        <v>158</v>
      </c>
      <c r="D68" s="8"/>
      <c r="E68" s="8"/>
      <c r="F68" s="8">
        <v>3</v>
      </c>
      <c r="G68" s="8" t="s">
        <v>257</v>
      </c>
      <c r="H68" s="8">
        <v>1</v>
      </c>
      <c r="J68" t="s">
        <v>455</v>
      </c>
      <c r="K68">
        <v>3</v>
      </c>
      <c r="L68" t="s">
        <v>29</v>
      </c>
    </row>
    <row r="69" spans="1:12" x14ac:dyDescent="0.25">
      <c r="A69" s="8" t="s">
        <v>156</v>
      </c>
      <c r="B69" s="9" t="s">
        <v>425</v>
      </c>
      <c r="C69" s="8" t="s">
        <v>158</v>
      </c>
      <c r="D69" s="8"/>
      <c r="E69" s="8"/>
      <c r="F69" s="8">
        <v>1</v>
      </c>
      <c r="G69" s="8" t="s">
        <v>257</v>
      </c>
      <c r="H69" s="8">
        <v>1</v>
      </c>
      <c r="J69" t="s">
        <v>456</v>
      </c>
      <c r="K69">
        <v>1</v>
      </c>
      <c r="L69" t="s">
        <v>29</v>
      </c>
    </row>
    <row r="70" spans="1:12" x14ac:dyDescent="0.25">
      <c r="A70" s="8" t="s">
        <v>12</v>
      </c>
      <c r="B70" s="9" t="s">
        <v>267</v>
      </c>
      <c r="C70" s="8"/>
      <c r="D70" s="8" t="s">
        <v>268</v>
      </c>
      <c r="E70" s="11" t="s">
        <v>269</v>
      </c>
      <c r="F70" s="8">
        <v>1</v>
      </c>
      <c r="G70" s="8" t="s">
        <v>257</v>
      </c>
      <c r="H70" s="8">
        <v>1</v>
      </c>
      <c r="J70" t="s">
        <v>457</v>
      </c>
      <c r="K70">
        <v>1</v>
      </c>
      <c r="L70" t="s">
        <v>29</v>
      </c>
    </row>
    <row r="71" spans="1:12" ht="30" x14ac:dyDescent="0.25">
      <c r="A71" t="s">
        <v>258</v>
      </c>
      <c r="B71" s="9" t="s">
        <v>259</v>
      </c>
      <c r="C71" s="8"/>
      <c r="D71" s="8"/>
      <c r="E71" s="8"/>
      <c r="F71" s="8">
        <v>3</v>
      </c>
      <c r="G71" s="8" t="s">
        <v>257</v>
      </c>
      <c r="H71" s="8">
        <v>1</v>
      </c>
      <c r="J71" t="s">
        <v>458</v>
      </c>
      <c r="K71">
        <v>1</v>
      </c>
      <c r="L71" t="s">
        <v>29</v>
      </c>
    </row>
    <row r="72" spans="1:12" x14ac:dyDescent="0.25">
      <c r="A72" s="8" t="s">
        <v>87</v>
      </c>
      <c r="B72" s="9" t="s">
        <v>260</v>
      </c>
      <c r="C72" s="8"/>
      <c r="D72" s="8"/>
      <c r="E72" s="8"/>
      <c r="F72" s="8">
        <v>9</v>
      </c>
      <c r="G72" s="8" t="s">
        <v>257</v>
      </c>
      <c r="H72" s="8">
        <v>1</v>
      </c>
      <c r="J72" t="s">
        <v>459</v>
      </c>
      <c r="K72">
        <v>1</v>
      </c>
      <c r="L72" t="s">
        <v>29</v>
      </c>
    </row>
    <row r="73" spans="1:12" x14ac:dyDescent="0.25">
      <c r="A73" s="8" t="s">
        <v>87</v>
      </c>
      <c r="B73" s="9" t="s">
        <v>277</v>
      </c>
      <c r="C73" s="8"/>
      <c r="D73" s="8"/>
      <c r="E73" s="8"/>
      <c r="F73" s="8">
        <v>2</v>
      </c>
      <c r="G73" s="8" t="s">
        <v>257</v>
      </c>
      <c r="H73" s="8">
        <v>1</v>
      </c>
      <c r="J73" t="s">
        <v>460</v>
      </c>
      <c r="K73">
        <v>1</v>
      </c>
      <c r="L73" t="s">
        <v>29</v>
      </c>
    </row>
    <row r="74" spans="1:12" x14ac:dyDescent="0.25">
      <c r="A74" s="8" t="s">
        <v>409</v>
      </c>
      <c r="B74" s="9"/>
      <c r="C74" s="8"/>
      <c r="D74" s="8"/>
      <c r="E74" s="8"/>
      <c r="F74" s="8">
        <v>4</v>
      </c>
      <c r="G74" s="8" t="s">
        <v>7</v>
      </c>
      <c r="H74" s="8">
        <v>1</v>
      </c>
      <c r="J74" t="s">
        <v>461</v>
      </c>
      <c r="K74">
        <v>1</v>
      </c>
      <c r="L74" t="s">
        <v>29</v>
      </c>
    </row>
    <row r="75" spans="1:12" x14ac:dyDescent="0.25">
      <c r="A75" s="8" t="s">
        <v>404</v>
      </c>
      <c r="B75" s="9"/>
      <c r="C75" s="8" t="s">
        <v>405</v>
      </c>
      <c r="D75" s="8"/>
      <c r="E75" s="8"/>
      <c r="F75" s="8">
        <v>1</v>
      </c>
      <c r="G75" s="8" t="s">
        <v>7</v>
      </c>
      <c r="H75" s="8">
        <v>1</v>
      </c>
      <c r="J75" t="s">
        <v>462</v>
      </c>
      <c r="K75">
        <v>1</v>
      </c>
      <c r="L75" t="s">
        <v>29</v>
      </c>
    </row>
    <row r="76" spans="1:12" x14ac:dyDescent="0.25">
      <c r="A76" s="8" t="s">
        <v>404</v>
      </c>
      <c r="B76" s="9"/>
      <c r="C76" s="8" t="s">
        <v>406</v>
      </c>
      <c r="D76" s="8"/>
      <c r="E76" s="8"/>
      <c r="F76" s="8">
        <v>1</v>
      </c>
      <c r="G76" s="8" t="s">
        <v>7</v>
      </c>
      <c r="H76" s="8">
        <v>1</v>
      </c>
    </row>
    <row r="77" spans="1:12" x14ac:dyDescent="0.25">
      <c r="A77" s="8" t="s">
        <v>188</v>
      </c>
      <c r="B77" s="9" t="s">
        <v>408</v>
      </c>
      <c r="C77" s="8"/>
      <c r="D77" s="8"/>
      <c r="E77" s="8"/>
      <c r="F77" s="8">
        <v>1</v>
      </c>
      <c r="G77" s="8" t="s">
        <v>7</v>
      </c>
      <c r="H77" s="8">
        <v>1</v>
      </c>
    </row>
    <row r="78" spans="1:12" x14ac:dyDescent="0.25">
      <c r="A78" s="8" t="s">
        <v>212</v>
      </c>
      <c r="B78" s="9"/>
      <c r="C78" s="8"/>
      <c r="D78" s="8"/>
      <c r="E78" s="8"/>
      <c r="F78" s="8">
        <v>1</v>
      </c>
      <c r="G78" s="8" t="s">
        <v>7</v>
      </c>
      <c r="H78" s="8">
        <v>1</v>
      </c>
    </row>
    <row r="79" spans="1:12" x14ac:dyDescent="0.25">
      <c r="A79" s="8" t="s">
        <v>258</v>
      </c>
      <c r="B79" s="9" t="s">
        <v>407</v>
      </c>
      <c r="C79" s="8"/>
      <c r="D79" s="8"/>
      <c r="E79" s="8"/>
      <c r="F79" s="8">
        <v>1</v>
      </c>
      <c r="G79" s="8" t="s">
        <v>7</v>
      </c>
      <c r="H79" s="8">
        <v>1</v>
      </c>
    </row>
    <row r="80" spans="1:12" x14ac:dyDescent="0.25">
      <c r="A80" s="8" t="s">
        <v>160</v>
      </c>
      <c r="B80" s="9" t="s">
        <v>435</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436</v>
      </c>
      <c r="B83" s="9"/>
      <c r="C83" s="8"/>
      <c r="D83" s="8"/>
      <c r="E83" s="8"/>
      <c r="F83" s="8">
        <v>1</v>
      </c>
      <c r="G83" s="8" t="s">
        <v>5</v>
      </c>
      <c r="H83" s="8">
        <v>1</v>
      </c>
    </row>
    <row r="84" spans="1:8" x14ac:dyDescent="0.25">
      <c r="A84" s="8" t="s">
        <v>244</v>
      </c>
      <c r="B84" s="9" t="s">
        <v>437</v>
      </c>
      <c r="C84" s="8"/>
      <c r="D84" s="8" t="s">
        <v>438</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463</v>
      </c>
      <c r="C91" s="8"/>
      <c r="D91" s="8"/>
      <c r="E91" s="8"/>
      <c r="F91" s="8">
        <v>1</v>
      </c>
      <c r="G91" s="8" t="s">
        <v>6</v>
      </c>
      <c r="H91" s="8">
        <v>1</v>
      </c>
    </row>
    <row r="92" spans="1:8" x14ac:dyDescent="0.25">
      <c r="A92" s="8" t="s">
        <v>156</v>
      </c>
      <c r="B92" s="9" t="s">
        <v>464</v>
      </c>
      <c r="C92" s="8"/>
      <c r="D92" s="8"/>
      <c r="E92" s="8"/>
      <c r="F92" s="8">
        <v>1</v>
      </c>
      <c r="G92" s="8" t="s">
        <v>6</v>
      </c>
      <c r="H92" s="8">
        <v>1</v>
      </c>
    </row>
    <row r="93" spans="1:8" x14ac:dyDescent="0.25">
      <c r="A93" s="8" t="s">
        <v>156</v>
      </c>
      <c r="B93" s="9" t="s">
        <v>465</v>
      </c>
      <c r="C93" s="8" t="s">
        <v>108</v>
      </c>
      <c r="D93" s="8"/>
      <c r="E93" s="8"/>
      <c r="F93" s="8">
        <v>1</v>
      </c>
      <c r="G93" s="8" t="s">
        <v>6</v>
      </c>
      <c r="H93" s="8">
        <v>1</v>
      </c>
    </row>
    <row r="94" spans="1:8" x14ac:dyDescent="0.25">
      <c r="A94" s="8" t="s">
        <v>244</v>
      </c>
      <c r="B94" s="9"/>
      <c r="C94" s="8"/>
      <c r="D94" s="8" t="s">
        <v>466</v>
      </c>
      <c r="E94" s="8"/>
      <c r="F94" s="8">
        <v>1</v>
      </c>
      <c r="G94" s="8" t="s">
        <v>6</v>
      </c>
      <c r="H94" s="8">
        <v>1</v>
      </c>
    </row>
    <row r="95" spans="1:8" x14ac:dyDescent="0.25">
      <c r="A95" s="8" t="s">
        <v>156</v>
      </c>
      <c r="B95" s="9" t="s">
        <v>467</v>
      </c>
      <c r="C95" s="8" t="s">
        <v>108</v>
      </c>
      <c r="D95" s="8"/>
      <c r="E95" s="8"/>
      <c r="F95" s="8">
        <v>1</v>
      </c>
      <c r="G95" s="8" t="s">
        <v>6</v>
      </c>
      <c r="H95" s="8">
        <v>2</v>
      </c>
    </row>
    <row r="96" spans="1:8" x14ac:dyDescent="0.25">
      <c r="A96" s="8" t="s">
        <v>156</v>
      </c>
      <c r="B96" s="9" t="s">
        <v>468</v>
      </c>
      <c r="C96" s="8"/>
      <c r="D96" s="8"/>
      <c r="E96" s="8"/>
      <c r="F96" s="8">
        <v>1</v>
      </c>
      <c r="G96" s="8" t="s">
        <v>6</v>
      </c>
      <c r="H96" s="8">
        <v>2</v>
      </c>
    </row>
    <row r="97" spans="1:8" x14ac:dyDescent="0.25">
      <c r="A97" s="8" t="s">
        <v>156</v>
      </c>
      <c r="B97" s="9" t="s">
        <v>469</v>
      </c>
      <c r="C97" s="8" t="s">
        <v>470</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471</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472</v>
      </c>
      <c r="C101" s="8"/>
      <c r="D101" s="8"/>
      <c r="E101" s="8"/>
      <c r="F101" s="8">
        <v>1</v>
      </c>
      <c r="G101" s="8" t="s">
        <v>6</v>
      </c>
      <c r="H101" s="8">
        <v>2</v>
      </c>
    </row>
    <row r="102" spans="1:8" x14ac:dyDescent="0.25">
      <c r="A102" s="8" t="s">
        <v>156</v>
      </c>
      <c r="B102" s="9" t="s">
        <v>473</v>
      </c>
      <c r="C102" s="8"/>
      <c r="D102" s="8"/>
      <c r="E102" s="8"/>
      <c r="F102" s="8">
        <v>1</v>
      </c>
      <c r="G102" s="8" t="s">
        <v>6</v>
      </c>
      <c r="H102" s="8">
        <v>2</v>
      </c>
    </row>
    <row r="103" spans="1:8" x14ac:dyDescent="0.25">
      <c r="A103" s="8" t="s">
        <v>474</v>
      </c>
      <c r="B103" s="9"/>
      <c r="C103" s="8"/>
      <c r="D103" s="8"/>
      <c r="E103" s="8"/>
      <c r="F103" s="8">
        <v>2</v>
      </c>
      <c r="G103" s="8" t="s">
        <v>6</v>
      </c>
      <c r="H103" s="8">
        <v>2</v>
      </c>
    </row>
    <row r="104" spans="1:8" x14ac:dyDescent="0.25">
      <c r="A104" s="8" t="s">
        <v>475</v>
      </c>
      <c r="B104" s="9"/>
      <c r="C104" s="8"/>
      <c r="D104" s="8"/>
      <c r="E104" s="8"/>
      <c r="F104" s="8">
        <v>2</v>
      </c>
      <c r="G104" s="8" t="s">
        <v>6</v>
      </c>
      <c r="H104" s="8">
        <v>2</v>
      </c>
    </row>
    <row r="105" spans="1:8" x14ac:dyDescent="0.25">
      <c r="A105" s="8" t="s">
        <v>476</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477</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32</v>
      </c>
      <c r="B2" s="9"/>
      <c r="C2" t="s">
        <v>294</v>
      </c>
      <c r="D2" s="8"/>
      <c r="E2" s="8" t="s">
        <v>295</v>
      </c>
      <c r="F2" s="8">
        <v>1</v>
      </c>
      <c r="G2" s="8" t="s">
        <v>8</v>
      </c>
      <c r="H2" s="8">
        <v>1</v>
      </c>
    </row>
    <row r="3" spans="1:21" x14ac:dyDescent="0.25">
      <c r="A3" s="8" t="s">
        <v>11</v>
      </c>
      <c r="B3" s="9"/>
      <c r="C3" t="s">
        <v>296</v>
      </c>
      <c r="D3" s="8"/>
      <c r="E3" s="8"/>
      <c r="F3" s="8">
        <v>5</v>
      </c>
      <c r="G3" s="8" t="s">
        <v>8</v>
      </c>
      <c r="H3" s="8">
        <v>1</v>
      </c>
      <c r="J3" t="s">
        <v>16</v>
      </c>
      <c r="K3" t="s">
        <v>18</v>
      </c>
      <c r="L3" t="s">
        <v>14</v>
      </c>
      <c r="N3" t="s">
        <v>28</v>
      </c>
      <c r="P3" s="12" t="s">
        <v>230</v>
      </c>
      <c r="Q3" s="12"/>
      <c r="R3" s="12"/>
      <c r="S3" s="12"/>
      <c r="T3" s="12"/>
      <c r="U3" s="12"/>
    </row>
    <row r="4" spans="1:21" x14ac:dyDescent="0.25">
      <c r="A4" s="8" t="s">
        <v>173</v>
      </c>
      <c r="B4" s="9"/>
      <c r="C4" s="8" t="s">
        <v>297</v>
      </c>
      <c r="D4" s="8"/>
      <c r="E4" s="8"/>
      <c r="F4" s="8">
        <v>1</v>
      </c>
      <c r="G4" s="8" t="s">
        <v>298</v>
      </c>
      <c r="H4" s="8">
        <v>1</v>
      </c>
      <c r="P4" t="s">
        <v>8</v>
      </c>
      <c r="Q4" t="s">
        <v>5</v>
      </c>
      <c r="R4" t="s">
        <v>298</v>
      </c>
      <c r="S4" t="s">
        <v>36</v>
      </c>
      <c r="T4" t="s">
        <v>7</v>
      </c>
    </row>
    <row r="5" spans="1:21" x14ac:dyDescent="0.25">
      <c r="A5" s="8" t="s">
        <v>35</v>
      </c>
      <c r="B5" s="9" t="s">
        <v>299</v>
      </c>
      <c r="C5" s="8" t="s">
        <v>300</v>
      </c>
      <c r="D5" s="8"/>
      <c r="E5" s="8"/>
      <c r="F5" s="8">
        <v>1</v>
      </c>
      <c r="G5" s="8" t="s">
        <v>36</v>
      </c>
      <c r="H5" s="8">
        <v>1</v>
      </c>
      <c r="P5">
        <v>1</v>
      </c>
      <c r="Q5">
        <v>1</v>
      </c>
      <c r="R5">
        <v>1</v>
      </c>
      <c r="S5">
        <v>1</v>
      </c>
      <c r="T5">
        <v>1</v>
      </c>
    </row>
    <row r="6" spans="1:21" x14ac:dyDescent="0.25">
      <c r="A6" s="8" t="s">
        <v>40</v>
      </c>
      <c r="B6" s="9" t="s">
        <v>301</v>
      </c>
      <c r="C6" s="8" t="s">
        <v>41</v>
      </c>
      <c r="D6" s="8"/>
      <c r="E6" s="11"/>
      <c r="F6" s="8">
        <v>1</v>
      </c>
      <c r="G6" s="8" t="s">
        <v>36</v>
      </c>
      <c r="H6" s="8">
        <v>1</v>
      </c>
    </row>
    <row r="7" spans="1:21" x14ac:dyDescent="0.25">
      <c r="A7" s="8" t="s">
        <v>139</v>
      </c>
      <c r="B7" s="9"/>
      <c r="C7" s="8"/>
      <c r="D7" s="8"/>
      <c r="E7" s="8"/>
      <c r="F7" s="8">
        <v>2</v>
      </c>
      <c r="G7" s="8" t="s">
        <v>36</v>
      </c>
      <c r="H7" s="8">
        <v>1</v>
      </c>
    </row>
    <row r="8" spans="1:21" x14ac:dyDescent="0.25">
      <c r="A8" s="8" t="s">
        <v>32</v>
      </c>
      <c r="B8" s="9"/>
      <c r="C8" s="8" t="s">
        <v>52</v>
      </c>
      <c r="D8" s="8" t="s">
        <v>302</v>
      </c>
      <c r="E8" s="8"/>
      <c r="F8" s="8">
        <v>1</v>
      </c>
      <c r="G8" s="8" t="s">
        <v>5</v>
      </c>
      <c r="H8" s="8">
        <v>1</v>
      </c>
    </row>
    <row r="9" spans="1:21" x14ac:dyDescent="0.25">
      <c r="A9" s="8" t="s">
        <v>11</v>
      </c>
      <c r="B9" s="9" t="s">
        <v>303</v>
      </c>
      <c r="C9" s="8" t="s">
        <v>123</v>
      </c>
      <c r="D9" s="8"/>
      <c r="E9" s="8"/>
      <c r="F9" s="8">
        <v>2</v>
      </c>
      <c r="G9" s="8" t="s">
        <v>5</v>
      </c>
      <c r="H9" s="8">
        <v>1</v>
      </c>
    </row>
    <row r="10" spans="1:21" x14ac:dyDescent="0.25">
      <c r="A10" s="8" t="s">
        <v>32</v>
      </c>
      <c r="B10" s="9" t="s">
        <v>305</v>
      </c>
      <c r="C10" s="8" t="s">
        <v>52</v>
      </c>
      <c r="D10" s="8" t="s">
        <v>304</v>
      </c>
      <c r="E10" s="8"/>
      <c r="F10" s="8">
        <v>2</v>
      </c>
      <c r="G10" s="8" t="s">
        <v>7</v>
      </c>
      <c r="H10" s="8">
        <v>1</v>
      </c>
    </row>
    <row r="11" spans="1:21" x14ac:dyDescent="0.25">
      <c r="A11" s="8" t="s">
        <v>156</v>
      </c>
      <c r="B11" s="9" t="s">
        <v>26</v>
      </c>
      <c r="C11" s="8"/>
      <c r="D11" s="8"/>
      <c r="E11" s="8"/>
      <c r="F11" s="8">
        <v>1</v>
      </c>
      <c r="G11" s="8" t="s">
        <v>7</v>
      </c>
      <c r="H11" s="8">
        <v>1</v>
      </c>
    </row>
    <row r="12" spans="1:21" x14ac:dyDescent="0.25">
      <c r="A12" s="8" t="s">
        <v>210</v>
      </c>
      <c r="B12" s="9" t="s">
        <v>306</v>
      </c>
      <c r="C12" s="8"/>
      <c r="D12" s="8"/>
      <c r="E12" s="8"/>
      <c r="F12" s="8">
        <v>1</v>
      </c>
      <c r="G12" s="8" t="s">
        <v>7</v>
      </c>
      <c r="H12" s="8">
        <v>1</v>
      </c>
    </row>
    <row r="13" spans="1:21" x14ac:dyDescent="0.25">
      <c r="A13" s="8" t="s">
        <v>44</v>
      </c>
      <c r="B13" s="9"/>
      <c r="C13" s="8" t="s">
        <v>67</v>
      </c>
      <c r="D13" s="8"/>
      <c r="E13" s="8"/>
      <c r="F13" s="8">
        <v>1</v>
      </c>
      <c r="G13" s="8" t="s">
        <v>7</v>
      </c>
      <c r="H13" s="8">
        <v>1</v>
      </c>
    </row>
    <row r="14" spans="1:21" x14ac:dyDescent="0.25">
      <c r="A14" s="8" t="s">
        <v>43</v>
      </c>
      <c r="B14" s="9" t="s">
        <v>68</v>
      </c>
      <c r="C14" s="8" t="s">
        <v>66</v>
      </c>
      <c r="D14" s="8"/>
      <c r="E14" s="8"/>
      <c r="F14" s="8">
        <v>2</v>
      </c>
      <c r="G14" s="8" t="s">
        <v>7</v>
      </c>
      <c r="H14" s="8">
        <v>1</v>
      </c>
    </row>
    <row r="15" spans="1:21" x14ac:dyDescent="0.25">
      <c r="A15" s="8" t="s">
        <v>44</v>
      </c>
      <c r="B15" s="9" t="s">
        <v>308</v>
      </c>
      <c r="C15" s="8" t="s">
        <v>307</v>
      </c>
      <c r="D15" s="8"/>
      <c r="E15" s="8"/>
      <c r="F15" s="8">
        <v>1</v>
      </c>
      <c r="G15" s="8" t="s">
        <v>7</v>
      </c>
      <c r="H15" s="8">
        <v>1</v>
      </c>
    </row>
    <row r="16" spans="1:21"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240</v>
      </c>
      <c r="G1" s="6" t="s">
        <v>13</v>
      </c>
      <c r="H1" s="6" t="s">
        <v>232</v>
      </c>
    </row>
    <row r="2" spans="1:24" ht="45" x14ac:dyDescent="0.25">
      <c r="A2" t="s">
        <v>258</v>
      </c>
      <c r="B2" s="9" t="s">
        <v>311</v>
      </c>
      <c r="D2" s="8"/>
      <c r="E2" s="8"/>
      <c r="F2" s="8">
        <v>4</v>
      </c>
      <c r="G2" s="8" t="s">
        <v>8</v>
      </c>
      <c r="H2" s="8">
        <v>1</v>
      </c>
    </row>
    <row r="3" spans="1:24" x14ac:dyDescent="0.25">
      <c r="A3" s="8" t="s">
        <v>11</v>
      </c>
      <c r="B3" s="9" t="s">
        <v>312</v>
      </c>
      <c r="C3" t="s">
        <v>79</v>
      </c>
      <c r="D3" s="8"/>
      <c r="E3" s="8"/>
      <c r="F3" s="8">
        <v>1</v>
      </c>
      <c r="G3" s="8" t="s">
        <v>5</v>
      </c>
      <c r="H3" s="8">
        <v>1</v>
      </c>
      <c r="J3" t="s">
        <v>16</v>
      </c>
      <c r="K3" t="s">
        <v>18</v>
      </c>
      <c r="L3" t="s">
        <v>14</v>
      </c>
      <c r="N3" t="s">
        <v>28</v>
      </c>
      <c r="P3" s="12" t="s">
        <v>230</v>
      </c>
      <c r="Q3" s="12"/>
      <c r="R3" s="12"/>
      <c r="S3" s="12"/>
      <c r="T3" s="12"/>
      <c r="U3" s="12"/>
    </row>
    <row r="4" spans="1:24" x14ac:dyDescent="0.25">
      <c r="A4" s="8" t="s">
        <v>313</v>
      </c>
      <c r="B4" s="9" t="s">
        <v>316</v>
      </c>
      <c r="C4" s="8"/>
      <c r="D4" s="8" t="s">
        <v>317</v>
      </c>
      <c r="E4" s="8"/>
      <c r="F4" s="8">
        <v>1</v>
      </c>
      <c r="G4" s="8" t="s">
        <v>6</v>
      </c>
      <c r="H4" s="8">
        <v>1</v>
      </c>
      <c r="P4" t="s">
        <v>8</v>
      </c>
      <c r="Q4" t="s">
        <v>5</v>
      </c>
      <c r="R4" t="s">
        <v>6</v>
      </c>
      <c r="S4" t="s">
        <v>9</v>
      </c>
      <c r="T4" t="s">
        <v>10</v>
      </c>
      <c r="U4" t="s">
        <v>257</v>
      </c>
      <c r="V4" t="s">
        <v>309</v>
      </c>
      <c r="W4" t="s">
        <v>310</v>
      </c>
      <c r="X4" t="s">
        <v>7</v>
      </c>
    </row>
    <row r="5" spans="1:24" ht="30" x14ac:dyDescent="0.25">
      <c r="A5" s="8" t="s">
        <v>313</v>
      </c>
      <c r="B5" s="9" t="s">
        <v>314</v>
      </c>
      <c r="C5" s="8"/>
      <c r="D5" s="8" t="s">
        <v>315</v>
      </c>
      <c r="E5" s="8"/>
      <c r="F5" s="8">
        <v>1</v>
      </c>
      <c r="G5" s="8" t="s">
        <v>6</v>
      </c>
      <c r="H5" s="8">
        <v>1</v>
      </c>
      <c r="P5">
        <v>1</v>
      </c>
      <c r="Q5">
        <v>1</v>
      </c>
      <c r="R5">
        <v>1</v>
      </c>
      <c r="S5">
        <v>1</v>
      </c>
      <c r="T5">
        <v>1</v>
      </c>
      <c r="U5">
        <v>1</v>
      </c>
      <c r="V5">
        <v>1</v>
      </c>
      <c r="W5">
        <v>1</v>
      </c>
      <c r="X5">
        <v>1</v>
      </c>
    </row>
    <row r="6" spans="1:24" x14ac:dyDescent="0.25">
      <c r="A6" s="8" t="s">
        <v>313</v>
      </c>
      <c r="B6" s="9" t="s">
        <v>318</v>
      </c>
      <c r="C6" s="8"/>
      <c r="D6" s="8" t="s">
        <v>319</v>
      </c>
      <c r="E6" s="11"/>
      <c r="F6" s="8">
        <v>1</v>
      </c>
      <c r="G6" s="8" t="s">
        <v>6</v>
      </c>
      <c r="H6" s="8">
        <v>1</v>
      </c>
    </row>
    <row r="7" spans="1:24" x14ac:dyDescent="0.25">
      <c r="A7" s="8" t="s">
        <v>320</v>
      </c>
      <c r="B7" s="9" t="s">
        <v>321</v>
      </c>
      <c r="C7" s="8"/>
      <c r="D7" s="8"/>
      <c r="E7" s="8"/>
      <c r="F7" s="8">
        <v>1</v>
      </c>
      <c r="G7" s="8" t="s">
        <v>6</v>
      </c>
      <c r="H7" s="8">
        <v>1</v>
      </c>
    </row>
    <row r="8" spans="1:24" x14ac:dyDescent="0.25">
      <c r="A8" s="8" t="s">
        <v>53</v>
      </c>
      <c r="B8" s="9" t="s">
        <v>238</v>
      </c>
      <c r="C8" s="8"/>
      <c r="D8" s="8"/>
      <c r="E8" s="8"/>
      <c r="F8" s="8">
        <v>4</v>
      </c>
      <c r="G8" s="8" t="s">
        <v>9</v>
      </c>
      <c r="H8" s="8">
        <v>1</v>
      </c>
    </row>
    <row r="9" spans="1:24" x14ac:dyDescent="0.25">
      <c r="A9" s="8" t="s">
        <v>11</v>
      </c>
      <c r="B9" s="9" t="s">
        <v>322</v>
      </c>
      <c r="C9" s="8" t="s">
        <v>123</v>
      </c>
      <c r="D9" s="8"/>
      <c r="E9" s="8"/>
      <c r="F9" s="8">
        <v>4</v>
      </c>
      <c r="G9" s="8" t="s">
        <v>9</v>
      </c>
      <c r="H9" s="8">
        <v>1</v>
      </c>
    </row>
    <row r="10" spans="1:24" x14ac:dyDescent="0.25">
      <c r="A10" s="8" t="s">
        <v>11</v>
      </c>
      <c r="B10" s="9" t="s">
        <v>322</v>
      </c>
      <c r="C10" s="8" t="s">
        <v>79</v>
      </c>
      <c r="D10" s="8"/>
      <c r="E10" s="8"/>
      <c r="F10" s="8">
        <v>1</v>
      </c>
      <c r="G10" s="8" t="s">
        <v>9</v>
      </c>
      <c r="H10" s="8">
        <v>1</v>
      </c>
    </row>
    <row r="11" spans="1:24" x14ac:dyDescent="0.25">
      <c r="A11" s="8" t="s">
        <v>46</v>
      </c>
      <c r="B11" s="9"/>
      <c r="C11" s="8"/>
      <c r="D11" s="8"/>
      <c r="E11" s="8"/>
      <c r="F11" s="8">
        <v>3</v>
      </c>
      <c r="G11" s="8" t="s">
        <v>10</v>
      </c>
      <c r="H11" s="8">
        <v>1</v>
      </c>
    </row>
    <row r="12" spans="1:24" x14ac:dyDescent="0.25">
      <c r="A12" s="8" t="s">
        <v>188</v>
      </c>
      <c r="B12" s="9" t="s">
        <v>323</v>
      </c>
      <c r="C12" s="8"/>
      <c r="D12" s="8"/>
      <c r="E12" s="8"/>
      <c r="F12" s="8">
        <v>2</v>
      </c>
      <c r="G12" s="8" t="s">
        <v>10</v>
      </c>
      <c r="H12" s="8">
        <v>1</v>
      </c>
    </row>
    <row r="13" spans="1:24" ht="30" x14ac:dyDescent="0.25">
      <c r="A13" s="8" t="s">
        <v>32</v>
      </c>
      <c r="B13" s="9" t="s">
        <v>324</v>
      </c>
      <c r="C13" s="8" t="s">
        <v>72</v>
      </c>
      <c r="D13" s="8"/>
      <c r="E13" s="8"/>
      <c r="F13" s="8">
        <v>1</v>
      </c>
      <c r="G13" s="8" t="s">
        <v>257</v>
      </c>
      <c r="H13" s="8">
        <v>1</v>
      </c>
    </row>
    <row r="14" spans="1:24" x14ac:dyDescent="0.25">
      <c r="A14" s="8" t="s">
        <v>11</v>
      </c>
      <c r="B14" s="9" t="s">
        <v>322</v>
      </c>
      <c r="C14" t="s">
        <v>77</v>
      </c>
      <c r="D14" s="8"/>
      <c r="E14" s="8"/>
      <c r="F14" s="8">
        <v>1</v>
      </c>
      <c r="G14" s="8" t="s">
        <v>257</v>
      </c>
      <c r="H14" s="8">
        <v>1</v>
      </c>
    </row>
    <row r="15" spans="1:24" x14ac:dyDescent="0.25">
      <c r="A15" s="8" t="s">
        <v>174</v>
      </c>
      <c r="B15" s="9"/>
      <c r="C15" s="8" t="s">
        <v>236</v>
      </c>
      <c r="D15" s="8"/>
      <c r="E15" s="8"/>
      <c r="F15" s="8">
        <v>1</v>
      </c>
      <c r="G15" s="8" t="s">
        <v>309</v>
      </c>
      <c r="H15" s="8">
        <v>1</v>
      </c>
    </row>
    <row r="16" spans="1:24" x14ac:dyDescent="0.25">
      <c r="A16" s="8" t="s">
        <v>88</v>
      </c>
      <c r="B16" s="9" t="s">
        <v>325</v>
      </c>
      <c r="C16" s="8"/>
      <c r="D16" s="8"/>
      <c r="E16" s="8"/>
      <c r="F16" s="8">
        <v>1</v>
      </c>
      <c r="G16" s="8" t="s">
        <v>309</v>
      </c>
      <c r="H16" s="8">
        <v>1</v>
      </c>
    </row>
    <row r="17" spans="1:8" ht="30" x14ac:dyDescent="0.25">
      <c r="A17" s="8" t="s">
        <v>326</v>
      </c>
      <c r="B17" s="9" t="s">
        <v>327</v>
      </c>
      <c r="C17" s="8"/>
      <c r="D17" s="8" t="s">
        <v>328</v>
      </c>
      <c r="E17" s="8"/>
      <c r="F17" s="8">
        <v>1</v>
      </c>
      <c r="G17" s="8" t="s">
        <v>309</v>
      </c>
      <c r="H17" s="8">
        <v>1</v>
      </c>
    </row>
    <row r="18" spans="1:8" x14ac:dyDescent="0.25">
      <c r="A18" s="8" t="s">
        <v>313</v>
      </c>
      <c r="B18" s="9" t="s">
        <v>318</v>
      </c>
      <c r="C18" s="8"/>
      <c r="D18" s="8" t="s">
        <v>329</v>
      </c>
      <c r="E18" s="8"/>
      <c r="F18" s="8">
        <v>1</v>
      </c>
      <c r="G18" s="8" t="s">
        <v>309</v>
      </c>
      <c r="H18" s="8">
        <v>1</v>
      </c>
    </row>
    <row r="19" spans="1:8" x14ac:dyDescent="0.25">
      <c r="A19" s="8" t="s">
        <v>160</v>
      </c>
      <c r="B19" s="9" t="s">
        <v>330</v>
      </c>
      <c r="C19" s="8"/>
      <c r="D19" s="8"/>
      <c r="E19" s="8"/>
      <c r="F19" s="8">
        <v>2</v>
      </c>
      <c r="G19" s="8" t="s">
        <v>310</v>
      </c>
      <c r="H19" s="8">
        <v>1</v>
      </c>
    </row>
    <row r="20" spans="1:8" x14ac:dyDescent="0.25">
      <c r="A20" s="8" t="s">
        <v>53</v>
      </c>
      <c r="B20" s="9" t="s">
        <v>238</v>
      </c>
      <c r="C20" s="8"/>
      <c r="D20" s="8"/>
      <c r="E20" s="8"/>
      <c r="F20" s="8">
        <v>5</v>
      </c>
      <c r="G20" s="8" t="s">
        <v>310</v>
      </c>
      <c r="H20" s="8">
        <v>1</v>
      </c>
    </row>
    <row r="21" spans="1:8" ht="30" x14ac:dyDescent="0.25">
      <c r="A21" s="8" t="s">
        <v>217</v>
      </c>
      <c r="B21" s="9" t="s">
        <v>331</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W136"/>
  <sheetViews>
    <sheetView workbookViewId="0">
      <pane ySplit="1" topLeftCell="A25" activePane="bottomLeft" state="frozen"/>
      <selection pane="bottomLeft" activeCell="B31" sqref="B3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3" x14ac:dyDescent="0.25">
      <c r="A1" s="6" t="s">
        <v>0</v>
      </c>
      <c r="B1" s="7" t="s">
        <v>1</v>
      </c>
      <c r="C1" s="6" t="s">
        <v>2</v>
      </c>
      <c r="D1" s="6" t="s">
        <v>3</v>
      </c>
      <c r="E1" s="6" t="s">
        <v>4</v>
      </c>
      <c r="F1" s="6" t="s">
        <v>240</v>
      </c>
      <c r="G1" s="6" t="s">
        <v>13</v>
      </c>
      <c r="H1" s="6" t="s">
        <v>232</v>
      </c>
    </row>
    <row r="2" spans="1:23" x14ac:dyDescent="0.25">
      <c r="A2" s="6" t="s">
        <v>409</v>
      </c>
      <c r="B2" s="9"/>
      <c r="C2" s="8"/>
      <c r="D2" s="8"/>
      <c r="E2" s="8"/>
      <c r="F2" s="8">
        <v>3</v>
      </c>
      <c r="G2" s="8" t="s">
        <v>235</v>
      </c>
      <c r="H2" s="8" t="s">
        <v>484</v>
      </c>
    </row>
    <row r="3" spans="1:23" x14ac:dyDescent="0.25">
      <c r="A3" s="8" t="s">
        <v>485</v>
      </c>
      <c r="B3" s="9" t="s">
        <v>486</v>
      </c>
      <c r="C3" s="8"/>
      <c r="D3" s="8"/>
      <c r="E3" s="8"/>
      <c r="F3" s="8">
        <v>1</v>
      </c>
      <c r="G3" s="8" t="s">
        <v>235</v>
      </c>
      <c r="H3" s="8" t="s">
        <v>484</v>
      </c>
      <c r="J3" t="s">
        <v>16</v>
      </c>
      <c r="K3" t="s">
        <v>18</v>
      </c>
      <c r="L3" t="s">
        <v>14</v>
      </c>
      <c r="M3" t="s">
        <v>0</v>
      </c>
      <c r="N3" t="s">
        <v>2</v>
      </c>
      <c r="P3" t="s">
        <v>28</v>
      </c>
      <c r="R3" s="12" t="s">
        <v>230</v>
      </c>
      <c r="S3" s="12"/>
      <c r="T3" s="12"/>
      <c r="U3" s="12"/>
      <c r="V3" s="12"/>
      <c r="W3" s="12"/>
    </row>
    <row r="4" spans="1:23" x14ac:dyDescent="0.25">
      <c r="A4" s="8" t="s">
        <v>92</v>
      </c>
      <c r="B4" s="9" t="str">
        <f>bolso("Bolso de RCP",Table621[])</f>
        <v xml:space="preserve">Bolso de RCP Contiene:  BVM x1, </v>
      </c>
      <c r="C4" s="8"/>
      <c r="D4" s="8"/>
      <c r="E4" s="8"/>
      <c r="F4" s="8">
        <v>1</v>
      </c>
      <c r="G4" t="s">
        <v>500</v>
      </c>
      <c r="H4" s="8" t="s">
        <v>484</v>
      </c>
      <c r="J4" t="s">
        <v>491</v>
      </c>
      <c r="K4">
        <v>1</v>
      </c>
      <c r="L4" t="s">
        <v>487</v>
      </c>
      <c r="M4" t="s">
        <v>489</v>
      </c>
      <c r="P4" t="s">
        <v>487</v>
      </c>
      <c r="R4" t="s">
        <v>500</v>
      </c>
      <c r="S4" t="s">
        <v>235</v>
      </c>
      <c r="T4" t="s">
        <v>8</v>
      </c>
      <c r="U4" t="s">
        <v>5</v>
      </c>
    </row>
    <row r="5" spans="1:23" ht="45" x14ac:dyDescent="0.25">
      <c r="A5" s="8" t="s">
        <v>92</v>
      </c>
      <c r="B5" s="9" t="str">
        <f>bolso("Bolso via aerea",Table621[])</f>
        <v xml:space="preserve">Bolso via aerea Contiene:  BVM x1,  Kit de canulas de mayo x5,  Pinza de maguill x1,  Kit de intubacion c/ larngoscopio x1, </v>
      </c>
      <c r="C5" s="8"/>
      <c r="D5" s="8"/>
      <c r="E5" s="8"/>
      <c r="F5" s="8">
        <v>1</v>
      </c>
      <c r="G5" t="s">
        <v>500</v>
      </c>
      <c r="H5" s="8" t="s">
        <v>484</v>
      </c>
      <c r="J5" t="s">
        <v>491</v>
      </c>
      <c r="K5">
        <v>1</v>
      </c>
      <c r="L5" t="s">
        <v>490</v>
      </c>
      <c r="M5" t="s">
        <v>489</v>
      </c>
      <c r="P5" t="s">
        <v>490</v>
      </c>
      <c r="R5">
        <v>1</v>
      </c>
      <c r="S5" t="s">
        <v>484</v>
      </c>
      <c r="T5">
        <v>1</v>
      </c>
      <c r="U5">
        <v>1</v>
      </c>
    </row>
    <row r="6" spans="1:23" ht="30" x14ac:dyDescent="0.25">
      <c r="A6" s="8" t="s">
        <v>92</v>
      </c>
      <c r="B6" s="9" t="str">
        <f>bolso("Bolso trauma liviano",Table621[])</f>
        <v xml:space="preserve">Bolso trauma liviano Contiene:  Mascara oxigeno x1,  Mascara rcp x1, </v>
      </c>
      <c r="C6" s="8"/>
      <c r="D6" s="8"/>
      <c r="E6" s="8"/>
      <c r="F6" s="8">
        <v>1</v>
      </c>
      <c r="G6" t="s">
        <v>500</v>
      </c>
      <c r="H6" s="8" t="s">
        <v>484</v>
      </c>
      <c r="J6" t="s">
        <v>493</v>
      </c>
      <c r="K6">
        <v>5</v>
      </c>
      <c r="L6" t="s">
        <v>490</v>
      </c>
      <c r="M6" t="s">
        <v>492</v>
      </c>
      <c r="P6" t="s">
        <v>497</v>
      </c>
      <c r="R6">
        <v>2</v>
      </c>
    </row>
    <row r="7" spans="1:23" x14ac:dyDescent="0.25">
      <c r="A7" s="8" t="s">
        <v>409</v>
      </c>
      <c r="B7" s="9"/>
      <c r="C7" s="8"/>
      <c r="D7" s="8"/>
      <c r="E7" s="8"/>
      <c r="F7" s="8">
        <v>1</v>
      </c>
      <c r="G7" t="s">
        <v>500</v>
      </c>
      <c r="H7" s="8" t="s">
        <v>484</v>
      </c>
      <c r="J7" t="s">
        <v>494</v>
      </c>
      <c r="K7">
        <v>1</v>
      </c>
      <c r="L7" t="s">
        <v>490</v>
      </c>
      <c r="M7" t="s">
        <v>494</v>
      </c>
      <c r="P7" t="s">
        <v>519</v>
      </c>
      <c r="R7">
        <v>3</v>
      </c>
    </row>
    <row r="8" spans="1:23" x14ac:dyDescent="0.25">
      <c r="A8" s="8" t="s">
        <v>489</v>
      </c>
      <c r="B8" s="9"/>
      <c r="C8" s="8"/>
      <c r="D8" s="8"/>
      <c r="E8" s="8"/>
      <c r="F8" s="8">
        <v>2</v>
      </c>
      <c r="G8" t="s">
        <v>500</v>
      </c>
      <c r="H8" s="8">
        <v>1</v>
      </c>
      <c r="J8" t="s">
        <v>496</v>
      </c>
      <c r="K8">
        <v>1</v>
      </c>
      <c r="L8" t="s">
        <v>490</v>
      </c>
      <c r="M8" t="s">
        <v>495</v>
      </c>
      <c r="P8" t="s">
        <v>521</v>
      </c>
      <c r="R8">
        <v>4</v>
      </c>
    </row>
    <row r="9" spans="1:23" x14ac:dyDescent="0.25">
      <c r="A9" s="8" t="s">
        <v>210</v>
      </c>
      <c r="B9" s="9">
        <v>2008</v>
      </c>
      <c r="C9" s="8"/>
      <c r="D9" s="8"/>
      <c r="E9" s="8"/>
      <c r="F9" s="8">
        <v>1</v>
      </c>
      <c r="G9" t="s">
        <v>500</v>
      </c>
      <c r="H9" s="8">
        <v>1</v>
      </c>
      <c r="J9" t="s">
        <v>498</v>
      </c>
      <c r="K9">
        <v>1</v>
      </c>
      <c r="L9" t="s">
        <v>497</v>
      </c>
      <c r="M9" t="s">
        <v>480</v>
      </c>
      <c r="P9" t="s">
        <v>532</v>
      </c>
      <c r="R9">
        <v>5</v>
      </c>
    </row>
    <row r="10" spans="1:23" x14ac:dyDescent="0.25">
      <c r="A10" s="8" t="s">
        <v>479</v>
      </c>
      <c r="B10" s="9" t="s">
        <v>501</v>
      </c>
      <c r="C10" s="8"/>
      <c r="D10" s="8"/>
      <c r="E10" s="8"/>
      <c r="F10" s="8">
        <v>1</v>
      </c>
      <c r="G10" t="s">
        <v>500</v>
      </c>
      <c r="H10" s="8">
        <v>1</v>
      </c>
      <c r="J10" t="s">
        <v>499</v>
      </c>
      <c r="K10">
        <v>1</v>
      </c>
      <c r="L10" t="s">
        <v>497</v>
      </c>
      <c r="M10" t="s">
        <v>499</v>
      </c>
      <c r="P10" t="s">
        <v>93</v>
      </c>
      <c r="R10">
        <v>6</v>
      </c>
    </row>
    <row r="11" spans="1:23" x14ac:dyDescent="0.25">
      <c r="A11" s="8" t="s">
        <v>480</v>
      </c>
      <c r="B11" s="9" t="s">
        <v>502</v>
      </c>
      <c r="C11" s="8"/>
      <c r="D11" s="8"/>
      <c r="E11" s="8"/>
      <c r="F11" s="8">
        <v>1</v>
      </c>
      <c r="G11" t="s">
        <v>500</v>
      </c>
      <c r="H11" s="8">
        <v>1</v>
      </c>
      <c r="J11" t="s">
        <v>522</v>
      </c>
      <c r="K11">
        <v>1</v>
      </c>
      <c r="L11" t="s">
        <v>521</v>
      </c>
      <c r="M11" t="s">
        <v>492</v>
      </c>
      <c r="R11">
        <v>7</v>
      </c>
    </row>
    <row r="12" spans="1:23" x14ac:dyDescent="0.25">
      <c r="A12" s="8" t="s">
        <v>480</v>
      </c>
      <c r="B12" s="9" t="s">
        <v>503</v>
      </c>
      <c r="C12" s="8"/>
      <c r="D12" s="8"/>
      <c r="E12" s="8"/>
      <c r="F12" s="8">
        <v>1</v>
      </c>
      <c r="G12" s="8" t="s">
        <v>500</v>
      </c>
      <c r="H12" s="8">
        <v>1</v>
      </c>
      <c r="J12" t="s">
        <v>524</v>
      </c>
      <c r="K12">
        <v>3</v>
      </c>
      <c r="L12" t="s">
        <v>521</v>
      </c>
      <c r="M12" t="s">
        <v>404</v>
      </c>
      <c r="R12" t="s">
        <v>484</v>
      </c>
    </row>
    <row r="13" spans="1:23" x14ac:dyDescent="0.25">
      <c r="A13" s="8" t="s">
        <v>504</v>
      </c>
      <c r="B13" s="9"/>
      <c r="C13" s="8"/>
      <c r="D13" s="8"/>
      <c r="E13" s="8"/>
      <c r="F13" s="8">
        <v>5</v>
      </c>
      <c r="G13" s="8" t="s">
        <v>500</v>
      </c>
      <c r="H13" s="8">
        <v>1</v>
      </c>
      <c r="J13" t="s">
        <v>525</v>
      </c>
      <c r="K13">
        <v>2</v>
      </c>
      <c r="L13" t="s">
        <v>521</v>
      </c>
      <c r="M13" t="s">
        <v>488</v>
      </c>
    </row>
    <row r="14" spans="1:23" x14ac:dyDescent="0.25">
      <c r="A14" s="8" t="s">
        <v>505</v>
      </c>
      <c r="B14" s="9"/>
      <c r="C14" s="8"/>
      <c r="D14" s="8"/>
      <c r="E14" s="8"/>
      <c r="F14" s="8">
        <v>1</v>
      </c>
      <c r="G14" s="8" t="s">
        <v>500</v>
      </c>
      <c r="H14" s="8">
        <v>2</v>
      </c>
      <c r="J14" t="s">
        <v>526</v>
      </c>
      <c r="K14">
        <v>5</v>
      </c>
      <c r="L14" t="s">
        <v>521</v>
      </c>
      <c r="M14" t="s">
        <v>523</v>
      </c>
    </row>
    <row r="15" spans="1:23" x14ac:dyDescent="0.25">
      <c r="A15" s="8" t="s">
        <v>506</v>
      </c>
      <c r="B15" s="9"/>
      <c r="C15" s="8"/>
      <c r="D15" s="8"/>
      <c r="E15" s="8"/>
      <c r="F15" s="8">
        <v>1</v>
      </c>
      <c r="G15" s="8" t="s">
        <v>500</v>
      </c>
      <c r="H15" s="8">
        <v>2</v>
      </c>
      <c r="J15" t="s">
        <v>528</v>
      </c>
      <c r="K15">
        <v>1</v>
      </c>
      <c r="L15" t="s">
        <v>521</v>
      </c>
      <c r="M15" t="s">
        <v>527</v>
      </c>
    </row>
    <row r="16" spans="1:23" x14ac:dyDescent="0.25">
      <c r="A16" s="8" t="s">
        <v>507</v>
      </c>
      <c r="B16" s="9"/>
      <c r="C16" s="8"/>
      <c r="D16" s="8"/>
      <c r="E16" s="8"/>
      <c r="F16" s="8">
        <v>1</v>
      </c>
      <c r="G16" s="8" t="s">
        <v>500</v>
      </c>
      <c r="H16" s="8">
        <v>2</v>
      </c>
      <c r="J16" t="s">
        <v>529</v>
      </c>
      <c r="K16">
        <v>1</v>
      </c>
      <c r="L16" t="s">
        <v>521</v>
      </c>
      <c r="M16" t="s">
        <v>479</v>
      </c>
    </row>
    <row r="17" spans="1:14" x14ac:dyDescent="0.25">
      <c r="A17" s="8" t="s">
        <v>508</v>
      </c>
      <c r="B17" s="9"/>
      <c r="C17" s="8"/>
      <c r="D17" s="8" t="s">
        <v>509</v>
      </c>
      <c r="E17" s="8" t="s">
        <v>510</v>
      </c>
      <c r="F17" s="8">
        <v>1</v>
      </c>
      <c r="G17" s="8" t="s">
        <v>500</v>
      </c>
      <c r="H17" s="8">
        <v>2</v>
      </c>
      <c r="J17" t="s">
        <v>147</v>
      </c>
      <c r="K17">
        <v>1</v>
      </c>
      <c r="L17" t="s">
        <v>521</v>
      </c>
      <c r="M17" t="s">
        <v>147</v>
      </c>
    </row>
    <row r="18" spans="1:14" x14ac:dyDescent="0.25">
      <c r="A18" s="8" t="s">
        <v>211</v>
      </c>
      <c r="B18" s="9" t="s">
        <v>511</v>
      </c>
      <c r="C18" s="8"/>
      <c r="D18" s="8"/>
      <c r="E18" s="8"/>
      <c r="F18" s="8">
        <v>1</v>
      </c>
      <c r="G18" s="8" t="s">
        <v>500</v>
      </c>
      <c r="H18" s="8">
        <v>2</v>
      </c>
      <c r="J18" t="s">
        <v>530</v>
      </c>
      <c r="K18">
        <v>1</v>
      </c>
      <c r="L18" t="s">
        <v>521</v>
      </c>
      <c r="M18" t="s">
        <v>505</v>
      </c>
    </row>
    <row r="19" spans="1:14" x14ac:dyDescent="0.25">
      <c r="A19" s="8" t="s">
        <v>512</v>
      </c>
      <c r="B19" s="9"/>
      <c r="C19" s="8"/>
      <c r="D19" s="8" t="s">
        <v>513</v>
      </c>
      <c r="E19" s="8" t="s">
        <v>514</v>
      </c>
      <c r="F19" s="8">
        <v>1</v>
      </c>
      <c r="G19" s="8" t="s">
        <v>500</v>
      </c>
      <c r="H19" s="8">
        <v>2</v>
      </c>
      <c r="J19" t="s">
        <v>146</v>
      </c>
      <c r="K19">
        <v>1</v>
      </c>
      <c r="L19" t="s">
        <v>532</v>
      </c>
      <c r="M19" t="s">
        <v>499</v>
      </c>
    </row>
    <row r="20" spans="1:14" x14ac:dyDescent="0.25">
      <c r="A20" s="8" t="s">
        <v>515</v>
      </c>
      <c r="B20" s="9"/>
      <c r="C20" s="8"/>
      <c r="D20" s="8"/>
      <c r="E20" s="8"/>
      <c r="F20" s="8">
        <v>1</v>
      </c>
      <c r="G20" s="8" t="s">
        <v>500</v>
      </c>
      <c r="H20" s="8">
        <v>4</v>
      </c>
      <c r="J20" t="s">
        <v>524</v>
      </c>
      <c r="K20">
        <v>3</v>
      </c>
      <c r="L20" t="s">
        <v>93</v>
      </c>
      <c r="M20" t="s">
        <v>404</v>
      </c>
    </row>
    <row r="21" spans="1:14" x14ac:dyDescent="0.25">
      <c r="A21" s="8" t="s">
        <v>516</v>
      </c>
      <c r="B21" s="9"/>
      <c r="C21" s="8"/>
      <c r="D21" s="8"/>
      <c r="E21" s="8"/>
      <c r="F21" s="8">
        <v>1</v>
      </c>
      <c r="G21" s="8" t="s">
        <v>500</v>
      </c>
      <c r="H21" s="8">
        <v>5</v>
      </c>
      <c r="J21" t="s">
        <v>538</v>
      </c>
      <c r="K21">
        <v>2</v>
      </c>
      <c r="L21" t="s">
        <v>93</v>
      </c>
      <c r="M21" t="s">
        <v>404</v>
      </c>
      <c r="N21" t="s">
        <v>539</v>
      </c>
    </row>
    <row r="22" spans="1:14" x14ac:dyDescent="0.25">
      <c r="A22" s="8" t="s">
        <v>517</v>
      </c>
      <c r="B22" s="9"/>
      <c r="C22" s="8"/>
      <c r="D22" s="8"/>
      <c r="E22" s="8"/>
      <c r="F22" s="8">
        <v>4</v>
      </c>
      <c r="G22" s="8" t="s">
        <v>500</v>
      </c>
      <c r="H22" s="8">
        <v>5</v>
      </c>
      <c r="J22" t="s">
        <v>540</v>
      </c>
      <c r="K22">
        <v>1</v>
      </c>
      <c r="L22" t="s">
        <v>93</v>
      </c>
      <c r="M22" t="s">
        <v>404</v>
      </c>
      <c r="N22" t="s">
        <v>541</v>
      </c>
    </row>
    <row r="23" spans="1:14" x14ac:dyDescent="0.25">
      <c r="A23" t="s">
        <v>518</v>
      </c>
      <c r="B23" s="9"/>
      <c r="C23" s="8"/>
      <c r="D23" s="8"/>
      <c r="E23" s="8"/>
      <c r="F23" s="8">
        <v>12</v>
      </c>
      <c r="G23" s="8" t="s">
        <v>500</v>
      </c>
      <c r="H23" s="8">
        <v>6</v>
      </c>
      <c r="J23" t="s">
        <v>542</v>
      </c>
      <c r="K23">
        <v>1</v>
      </c>
      <c r="L23" t="s">
        <v>93</v>
      </c>
      <c r="M23" t="s">
        <v>404</v>
      </c>
      <c r="N23" t="s">
        <v>405</v>
      </c>
    </row>
    <row r="24" spans="1:14" x14ac:dyDescent="0.25">
      <c r="A24" s="8" t="s">
        <v>409</v>
      </c>
      <c r="B24" s="9"/>
      <c r="C24" s="8"/>
      <c r="D24" s="8"/>
      <c r="E24" s="8"/>
      <c r="F24" s="8">
        <v>1</v>
      </c>
      <c r="G24" s="8" t="s">
        <v>500</v>
      </c>
      <c r="H24" s="8">
        <v>7</v>
      </c>
      <c r="J24" t="s">
        <v>543</v>
      </c>
      <c r="K24">
        <v>9</v>
      </c>
      <c r="L24" t="s">
        <v>93</v>
      </c>
      <c r="M24" t="s">
        <v>404</v>
      </c>
      <c r="N24" t="s">
        <v>406</v>
      </c>
    </row>
    <row r="25" spans="1:14" x14ac:dyDescent="0.25">
      <c r="A25" s="8" t="s">
        <v>92</v>
      </c>
      <c r="B25" s="9" t="s">
        <v>520</v>
      </c>
      <c r="C25" s="8"/>
      <c r="D25" s="8"/>
      <c r="E25" s="8"/>
      <c r="F25" s="8">
        <v>1</v>
      </c>
      <c r="G25" s="8" t="s">
        <v>500</v>
      </c>
      <c r="H25" s="8">
        <v>7</v>
      </c>
    </row>
    <row r="26" spans="1:14" ht="45"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4" x14ac:dyDescent="0.25">
      <c r="A27" s="8" t="s">
        <v>88</v>
      </c>
      <c r="B27" s="9" t="s">
        <v>531</v>
      </c>
      <c r="C27" s="8"/>
      <c r="D27" s="8"/>
      <c r="E27" s="8"/>
      <c r="F27" s="8">
        <v>2</v>
      </c>
      <c r="G27" s="8" t="s">
        <v>8</v>
      </c>
      <c r="H27" s="8">
        <v>1</v>
      </c>
    </row>
    <row r="28" spans="1:14" x14ac:dyDescent="0.25">
      <c r="A28" s="8" t="s">
        <v>143</v>
      </c>
      <c r="B28" s="9"/>
      <c r="C28" s="8"/>
      <c r="D28" s="8"/>
      <c r="E28" s="8"/>
      <c r="F28" s="8">
        <v>1</v>
      </c>
      <c r="G28" s="8" t="s">
        <v>8</v>
      </c>
      <c r="H28" s="8">
        <v>1</v>
      </c>
    </row>
    <row r="29" spans="1:14" x14ac:dyDescent="0.25">
      <c r="A29" s="8" t="s">
        <v>92</v>
      </c>
      <c r="B29" s="9" t="str">
        <f>bolso("Bolso quemados",Table621[])</f>
        <v xml:space="preserve">Bolso quemados Contiene:  Mascara RCP x1, </v>
      </c>
      <c r="C29" s="8"/>
      <c r="D29" s="8"/>
      <c r="E29" s="8"/>
      <c r="F29" s="8">
        <v>1</v>
      </c>
      <c r="G29" s="8" t="s">
        <v>8</v>
      </c>
      <c r="H29" s="8">
        <v>1</v>
      </c>
    </row>
    <row r="30" spans="1:14" ht="3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4" x14ac:dyDescent="0.25">
      <c r="A31" s="8" t="s">
        <v>533</v>
      </c>
      <c r="B31" s="9" t="s">
        <v>534</v>
      </c>
      <c r="C31" s="8"/>
      <c r="D31" s="8"/>
      <c r="E31" s="8"/>
      <c r="F31" s="8">
        <v>1</v>
      </c>
      <c r="G31" s="8" t="s">
        <v>5</v>
      </c>
      <c r="H31" s="8">
        <v>1</v>
      </c>
    </row>
    <row r="32" spans="1:14" x14ac:dyDescent="0.25">
      <c r="A32" s="8" t="s">
        <v>533</v>
      </c>
      <c r="B32" s="9" t="s">
        <v>535</v>
      </c>
      <c r="C32" s="8"/>
      <c r="D32" s="8"/>
      <c r="E32" s="8"/>
      <c r="F32" s="8">
        <v>1</v>
      </c>
      <c r="G32" s="8" t="s">
        <v>5</v>
      </c>
      <c r="H32" s="8">
        <v>1</v>
      </c>
    </row>
    <row r="33" spans="1:8" x14ac:dyDescent="0.25">
      <c r="A33" s="8" t="s">
        <v>533</v>
      </c>
      <c r="B33" s="9" t="s">
        <v>536</v>
      </c>
      <c r="C33" s="8"/>
      <c r="D33" s="8"/>
      <c r="E33" s="8"/>
      <c r="F33" s="8">
        <v>5</v>
      </c>
      <c r="G33" s="8" t="s">
        <v>5</v>
      </c>
      <c r="H33" s="8">
        <v>1</v>
      </c>
    </row>
    <row r="34" spans="1:8" x14ac:dyDescent="0.25">
      <c r="A34" s="8" t="s">
        <v>533</v>
      </c>
      <c r="B34" s="9" t="s">
        <v>537</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R3:W3"/>
  </mergeCells>
  <dataValidations count="6">
    <dataValidation type="list" allowBlank="1" showInputMessage="1" showErrorMessage="1" sqref="N4:N24 P14" xr:uid="{9186B44B-FBFF-4A1D-8BD2-44DAE8FD792F}">
      <formula1>INDEX(Medidas,0,MATCH(OFFSET(INDIRECT(ADDRESS(ROW(), COLUMN())),0,-1),categoriasDeMedidas,0))</formula1>
    </dataValidation>
    <dataValidation type="list" allowBlank="1" showInputMessage="1" showErrorMessage="1" sqref="N47:N1048576 H137:H1048576 N1:N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L4:L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M4:M8 A1:A22 M10:M1048576" xr:uid="{6B216254-A207-423E-A421-6CE68F439DDA}">
      <formula1>categorias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M1:M3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100"/>
  <sheetViews>
    <sheetView topLeftCell="A33" workbookViewId="0">
      <selection activeCell="A45" sqref="A45"/>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86</v>
      </c>
      <c r="P1" t="s">
        <v>105</v>
      </c>
      <c r="Q1" t="s">
        <v>109</v>
      </c>
      <c r="R1" t="s">
        <v>174</v>
      </c>
      <c r="S1" t="s">
        <v>175</v>
      </c>
    </row>
    <row r="2" spans="1:19" x14ac:dyDescent="0.25">
      <c r="A2" t="s">
        <v>100</v>
      </c>
      <c r="F2" t="s">
        <v>119</v>
      </c>
      <c r="G2" t="s">
        <v>225</v>
      </c>
      <c r="H2" t="s">
        <v>37</v>
      </c>
      <c r="I2" t="s">
        <v>256</v>
      </c>
      <c r="J2" t="s">
        <v>66</v>
      </c>
      <c r="K2" t="s">
        <v>70</v>
      </c>
      <c r="M2" t="s">
        <v>614</v>
      </c>
      <c r="N2" t="s">
        <v>52</v>
      </c>
      <c r="P2" t="s">
        <v>107</v>
      </c>
      <c r="Q2" t="s">
        <v>127</v>
      </c>
      <c r="R2" t="s">
        <v>236</v>
      </c>
      <c r="S2" t="s">
        <v>237</v>
      </c>
    </row>
    <row r="3" spans="1:19" x14ac:dyDescent="0.25">
      <c r="A3" t="s">
        <v>326</v>
      </c>
      <c r="F3" s="4" t="s">
        <v>50</v>
      </c>
      <c r="G3" t="s">
        <v>72</v>
      </c>
      <c r="H3" t="s">
        <v>38</v>
      </c>
      <c r="J3" t="s">
        <v>65</v>
      </c>
      <c r="K3" t="s">
        <v>69</v>
      </c>
      <c r="P3" t="s">
        <v>108</v>
      </c>
      <c r="Q3" t="s">
        <v>128</v>
      </c>
      <c r="S3" t="s">
        <v>553</v>
      </c>
    </row>
    <row r="4" spans="1:19" x14ac:dyDescent="0.25">
      <c r="A4" t="s">
        <v>43</v>
      </c>
      <c r="F4" t="s">
        <v>79</v>
      </c>
      <c r="G4" t="s">
        <v>294</v>
      </c>
      <c r="H4" t="s">
        <v>103</v>
      </c>
      <c r="K4" t="s">
        <v>67</v>
      </c>
      <c r="P4" t="s">
        <v>106</v>
      </c>
      <c r="Q4" t="s">
        <v>129</v>
      </c>
    </row>
    <row r="5" spans="1:19" x14ac:dyDescent="0.25">
      <c r="A5" t="s">
        <v>313</v>
      </c>
      <c r="F5" s="5" t="s">
        <v>30</v>
      </c>
      <c r="G5" t="s">
        <v>33</v>
      </c>
      <c r="K5" t="s">
        <v>45</v>
      </c>
      <c r="P5" t="s">
        <v>477</v>
      </c>
      <c r="Q5" t="s">
        <v>130</v>
      </c>
    </row>
    <row r="6" spans="1:19" x14ac:dyDescent="0.25">
      <c r="A6" t="s">
        <v>475</v>
      </c>
      <c r="F6" t="s">
        <v>77</v>
      </c>
      <c r="G6" t="s">
        <v>52</v>
      </c>
      <c r="K6" t="s">
        <v>64</v>
      </c>
      <c r="Q6" t="s">
        <v>125</v>
      </c>
    </row>
    <row r="7" spans="1:19" x14ac:dyDescent="0.25">
      <c r="A7" t="s">
        <v>139</v>
      </c>
      <c r="F7" t="s">
        <v>58</v>
      </c>
      <c r="I7" t="s">
        <v>41</v>
      </c>
      <c r="K7" t="s">
        <v>307</v>
      </c>
      <c r="Q7" t="s">
        <v>126</v>
      </c>
    </row>
    <row r="8" spans="1:19" x14ac:dyDescent="0.25">
      <c r="A8" t="s">
        <v>109</v>
      </c>
      <c r="F8" t="s">
        <v>121</v>
      </c>
    </row>
    <row r="9" spans="1:19" x14ac:dyDescent="0.25">
      <c r="A9" t="s">
        <v>478</v>
      </c>
      <c r="F9" s="3" t="s">
        <v>31</v>
      </c>
      <c r="L9" t="s">
        <v>55</v>
      </c>
      <c r="M9" t="s">
        <v>63</v>
      </c>
      <c r="N9" t="s">
        <v>33</v>
      </c>
      <c r="O9" t="s">
        <v>52</v>
      </c>
    </row>
    <row r="10" spans="1:19" x14ac:dyDescent="0.25">
      <c r="A10" t="s">
        <v>476</v>
      </c>
      <c r="F10" t="s">
        <v>123</v>
      </c>
    </row>
    <row r="11" spans="1:19" x14ac:dyDescent="0.25">
      <c r="A11" t="s">
        <v>116</v>
      </c>
      <c r="F11" t="s">
        <v>296</v>
      </c>
    </row>
    <row r="12" spans="1:19" x14ac:dyDescent="0.25">
      <c r="A12" s="1" t="s">
        <v>92</v>
      </c>
    </row>
    <row r="13" spans="1:19" x14ac:dyDescent="0.25">
      <c r="A13" t="s">
        <v>215</v>
      </c>
    </row>
    <row r="14" spans="1:19" x14ac:dyDescent="0.25">
      <c r="A14" t="s">
        <v>382</v>
      </c>
    </row>
    <row r="15" spans="1:19" x14ac:dyDescent="0.25">
      <c r="A15" t="s">
        <v>143</v>
      </c>
    </row>
    <row r="16" spans="1:19" x14ac:dyDescent="0.25">
      <c r="A16" t="s">
        <v>409</v>
      </c>
    </row>
    <row r="17" spans="1:1" x14ac:dyDescent="0.25">
      <c r="A17" t="s">
        <v>89</v>
      </c>
    </row>
    <row r="18" spans="1:1" x14ac:dyDescent="0.25">
      <c r="A18" t="s">
        <v>253</v>
      </c>
    </row>
    <row r="19" spans="1:1" x14ac:dyDescent="0.25">
      <c r="A19" t="s">
        <v>46</v>
      </c>
    </row>
    <row r="20" spans="1:1" x14ac:dyDescent="0.25">
      <c r="A20" t="s">
        <v>368</v>
      </c>
    </row>
    <row r="21" spans="1:1" x14ac:dyDescent="0.25">
      <c r="A21" t="s">
        <v>436</v>
      </c>
    </row>
    <row r="22" spans="1:1" x14ac:dyDescent="0.25">
      <c r="A22" t="s">
        <v>404</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427</v>
      </c>
    </row>
    <row r="30" spans="1:1" x14ac:dyDescent="0.25">
      <c r="A30" t="s">
        <v>188</v>
      </c>
    </row>
    <row r="31" spans="1:1" x14ac:dyDescent="0.25">
      <c r="A31" t="s">
        <v>80</v>
      </c>
    </row>
    <row r="32" spans="1:1" x14ac:dyDescent="0.25">
      <c r="A32" t="s">
        <v>35</v>
      </c>
    </row>
    <row r="33" spans="1:1" x14ac:dyDescent="0.25">
      <c r="A33" t="s">
        <v>352</v>
      </c>
    </row>
    <row r="34" spans="1:1" x14ac:dyDescent="0.25">
      <c r="A34" t="s">
        <v>386</v>
      </c>
    </row>
    <row r="35" spans="1:1" x14ac:dyDescent="0.25">
      <c r="A35" t="s">
        <v>371</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482</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483</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480</v>
      </c>
    </row>
    <row r="56" spans="1:1" x14ac:dyDescent="0.25">
      <c r="A56" t="s">
        <v>146</v>
      </c>
    </row>
    <row r="57" spans="1:1" x14ac:dyDescent="0.25">
      <c r="A57" t="s">
        <v>320</v>
      </c>
    </row>
    <row r="58" spans="1:1" x14ac:dyDescent="0.25">
      <c r="A58" t="s">
        <v>140</v>
      </c>
    </row>
    <row r="59" spans="1:1" x14ac:dyDescent="0.25">
      <c r="A59" t="s">
        <v>151</v>
      </c>
    </row>
    <row r="60" spans="1:1" x14ac:dyDescent="0.25">
      <c r="A60" t="s">
        <v>144</v>
      </c>
    </row>
    <row r="61" spans="1:1" x14ac:dyDescent="0.25">
      <c r="A61" t="s">
        <v>388</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400</v>
      </c>
    </row>
    <row r="68" spans="1:1" x14ac:dyDescent="0.25">
      <c r="A68" t="s">
        <v>394</v>
      </c>
    </row>
    <row r="69" spans="1:1" x14ac:dyDescent="0.25">
      <c r="A69" t="s">
        <v>217</v>
      </c>
    </row>
    <row r="70" spans="1:1" x14ac:dyDescent="0.25">
      <c r="A70" t="s">
        <v>95</v>
      </c>
    </row>
    <row r="71" spans="1:1" x14ac:dyDescent="0.25">
      <c r="A71" t="s">
        <v>44</v>
      </c>
    </row>
    <row r="72" spans="1:1" x14ac:dyDescent="0.25">
      <c r="A72" t="s">
        <v>193</v>
      </c>
    </row>
    <row r="73" spans="1:1" x14ac:dyDescent="0.25">
      <c r="A73" t="s">
        <v>485</v>
      </c>
    </row>
    <row r="74" spans="1:1" x14ac:dyDescent="0.25">
      <c r="A74" t="s">
        <v>479</v>
      </c>
    </row>
    <row r="75" spans="1:1" x14ac:dyDescent="0.25">
      <c r="A75" t="s">
        <v>88</v>
      </c>
    </row>
    <row r="76" spans="1:1" x14ac:dyDescent="0.25">
      <c r="A76" t="s">
        <v>481</v>
      </c>
    </row>
    <row r="77" spans="1:1" x14ac:dyDescent="0.25">
      <c r="A77" t="s">
        <v>87</v>
      </c>
    </row>
    <row r="78" spans="1:1" x14ac:dyDescent="0.25">
      <c r="A78" t="s">
        <v>403</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489</v>
      </c>
    </row>
    <row r="85" spans="1:1" x14ac:dyDescent="0.25">
      <c r="A85" t="s">
        <v>492</v>
      </c>
    </row>
    <row r="86" spans="1:1" x14ac:dyDescent="0.25">
      <c r="A86" t="s">
        <v>494</v>
      </c>
    </row>
    <row r="87" spans="1:1" x14ac:dyDescent="0.25">
      <c r="A87" t="s">
        <v>495</v>
      </c>
    </row>
    <row r="88" spans="1:1" x14ac:dyDescent="0.25">
      <c r="A88" t="s">
        <v>504</v>
      </c>
    </row>
    <row r="89" spans="1:1" x14ac:dyDescent="0.25">
      <c r="A89" t="s">
        <v>505</v>
      </c>
    </row>
    <row r="90" spans="1:1" x14ac:dyDescent="0.25">
      <c r="A90" t="s">
        <v>506</v>
      </c>
    </row>
    <row r="91" spans="1:1" x14ac:dyDescent="0.25">
      <c r="A91" t="s">
        <v>507</v>
      </c>
    </row>
    <row r="92" spans="1:1" x14ac:dyDescent="0.25">
      <c r="A92" t="s">
        <v>508</v>
      </c>
    </row>
    <row r="93" spans="1:1" x14ac:dyDescent="0.25">
      <c r="A93" t="s">
        <v>512</v>
      </c>
    </row>
    <row r="94" spans="1:1" x14ac:dyDescent="0.25">
      <c r="A94" t="s">
        <v>515</v>
      </c>
    </row>
    <row r="95" spans="1:1" x14ac:dyDescent="0.25">
      <c r="A95" t="s">
        <v>516</v>
      </c>
    </row>
    <row r="96" spans="1:1" x14ac:dyDescent="0.25">
      <c r="A96" t="s">
        <v>517</v>
      </c>
    </row>
    <row r="97" spans="1:1" x14ac:dyDescent="0.25">
      <c r="A97" t="s">
        <v>518</v>
      </c>
    </row>
    <row r="98" spans="1:1" x14ac:dyDescent="0.25">
      <c r="A98" t="s">
        <v>523</v>
      </c>
    </row>
    <row r="99" spans="1:1" x14ac:dyDescent="0.25">
      <c r="A99" t="s">
        <v>527</v>
      </c>
    </row>
    <row r="100" spans="1:1" x14ac:dyDescent="0.25">
      <c r="A100" t="s">
        <v>569</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45</vt:i4>
      </vt:variant>
    </vt:vector>
  </HeadingPairs>
  <TitlesOfParts>
    <vt:vector size="53" baseType="lpstr">
      <vt:lpstr>Movil 51</vt:lpstr>
      <vt:lpstr>Movil 56</vt:lpstr>
      <vt:lpstr>Movil 41</vt:lpstr>
      <vt:lpstr>Movil 39</vt:lpstr>
      <vt:lpstr>Movil 52</vt:lpstr>
      <vt:lpstr>Movil 42</vt:lpstr>
      <vt:lpstr>Inventario general</vt:lpstr>
      <vt:lpstr>Configuracion</vt:lpstr>
      <vt:lpstr>'Movil 39'!Bolsos</vt:lpstr>
      <vt:lpstr>'Movil 42'!Bolsos</vt:lpstr>
      <vt:lpstr>Bolsos</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2019-02-14T01:51:11Z</dcterms:modified>
</cp:coreProperties>
</file>