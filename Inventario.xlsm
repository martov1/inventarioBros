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86024112-05D3-42FE-8C77-F27EAF39C35B}" xr6:coauthVersionLast="40" xr6:coauthVersionMax="40" xr10:uidLastSave="{00000000-0000-0000-0000-000000000000}"/>
  <bookViews>
    <workbookView xWindow="-120" yWindow="-120" windowWidth="20730" windowHeight="11160" firstSheet="2" activeTab="6"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105" i="1"/>
  <c r="B69" i="1"/>
  <c r="B27" i="1"/>
  <c r="B76" i="8"/>
  <c r="B78" i="8"/>
  <c r="B77" i="8"/>
  <c r="B32" i="8"/>
  <c r="B30" i="8"/>
  <c r="B31" i="8"/>
  <c r="B90" i="4"/>
  <c r="B40" i="4"/>
  <c r="B12" i="4"/>
  <c r="B63" i="4"/>
  <c r="B85" i="4"/>
  <c r="B64" i="4"/>
  <c r="B37" i="4"/>
  <c r="B88" i="4"/>
  <c r="B65" i="4"/>
  <c r="B38" i="4"/>
  <c r="B86" i="4"/>
  <c r="B39" i="4"/>
  <c r="B87" i="4"/>
  <c r="B67" i="4"/>
  <c r="B61" i="4"/>
  <c r="B89" i="4"/>
  <c r="B35" i="4"/>
  <c r="B10" i="4"/>
  <c r="B54" i="4"/>
  <c r="B60" i="4"/>
  <c r="B66" i="4"/>
  <c r="B11" i="4"/>
  <c r="B59" i="4"/>
  <c r="B62" i="4"/>
  <c r="B34" i="4"/>
  <c r="B30" i="7"/>
  <c r="B26" i="7"/>
  <c r="B6" i="7"/>
  <c r="B29" i="7"/>
  <c r="B5" i="7"/>
  <c r="B4" i="7"/>
</calcChain>
</file>

<file path=xl/sharedStrings.xml><?xml version="1.0" encoding="utf-8"?>
<sst xmlns="http://schemas.openxmlformats.org/spreadsheetml/2006/main" count="2331" uniqueCount="700">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</sst>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5" totalsRowShown="0">
  <autoFilter ref="J3:P7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0" totalsRowShown="0" headerRowDxfId="1" tableBorderDxfId="0">
  <autoFilter ref="A1:A110"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J1" workbookViewId="0">
      <pane ySplit="1" topLeftCell="A20" activePane="bottomLeft" state="frozen"/>
      <selection pane="bottomLeft" activeCell="L13" sqref="L1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536</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537</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472</v>
      </c>
      <c r="L13" t="s">
        <v>148</v>
      </c>
      <c r="P13">
        <v>10</v>
      </c>
      <c r="Q13" t="s">
        <v>537</v>
      </c>
    </row>
    <row r="14" spans="1:31" x14ac:dyDescent="0.25">
      <c r="A14" s="8" t="s">
        <v>243</v>
      </c>
      <c r="B14" s="9" t="s">
        <v>98</v>
      </c>
      <c r="C14" s="8"/>
      <c r="D14" s="8" t="s">
        <v>99</v>
      </c>
      <c r="E14" s="8"/>
      <c r="F14" s="8">
        <v>1</v>
      </c>
      <c r="G14" s="8" t="s">
        <v>8</v>
      </c>
      <c r="H14" s="8">
        <v>2</v>
      </c>
      <c r="K14" t="s">
        <v>472</v>
      </c>
      <c r="L14" t="s">
        <v>149</v>
      </c>
      <c r="P14">
        <v>4</v>
      </c>
      <c r="Q14" t="s">
        <v>537</v>
      </c>
    </row>
    <row r="15" spans="1:31" x14ac:dyDescent="0.25">
      <c r="A15" s="8" t="s">
        <v>244</v>
      </c>
      <c r="B15" s="9" t="s">
        <v>98</v>
      </c>
      <c r="C15" s="8"/>
      <c r="D15" s="8"/>
      <c r="E15" s="8"/>
      <c r="F15" s="8">
        <v>1</v>
      </c>
      <c r="G15" s="8" t="s">
        <v>8</v>
      </c>
      <c r="H15" s="8">
        <v>2</v>
      </c>
      <c r="K15" t="s">
        <v>472</v>
      </c>
      <c r="L15" t="s">
        <v>150</v>
      </c>
      <c r="P15">
        <v>3</v>
      </c>
      <c r="Q15" t="s">
        <v>537</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535</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472</v>
      </c>
      <c r="L32" t="s">
        <v>538</v>
      </c>
      <c r="Q32" t="s">
        <v>536</v>
      </c>
    </row>
    <row r="33" spans="1:8" x14ac:dyDescent="0.25">
      <c r="A33" s="8" t="s">
        <v>11</v>
      </c>
      <c r="B33" s="9" t="s">
        <v>539</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540</v>
      </c>
      <c r="C120" s="8" t="s">
        <v>79</v>
      </c>
      <c r="D120" s="8" t="s">
        <v>27</v>
      </c>
      <c r="E120" s="8" t="s">
        <v>27</v>
      </c>
      <c r="F120" s="8">
        <v>1</v>
      </c>
      <c r="G120" s="8" t="s">
        <v>5</v>
      </c>
      <c r="H120" s="8">
        <v>1</v>
      </c>
    </row>
    <row r="121" spans="1:8" x14ac:dyDescent="0.25">
      <c r="A121" s="8" t="s">
        <v>11</v>
      </c>
      <c r="B121" s="9" t="s">
        <v>541</v>
      </c>
      <c r="C121" s="8" t="s">
        <v>30</v>
      </c>
      <c r="D121" s="8" t="s">
        <v>27</v>
      </c>
      <c r="E121" s="8" t="s">
        <v>27</v>
      </c>
      <c r="F121" s="8">
        <v>4</v>
      </c>
      <c r="G121" s="8" t="s">
        <v>5</v>
      </c>
      <c r="H121" s="8">
        <v>1</v>
      </c>
    </row>
    <row r="122" spans="1:8" x14ac:dyDescent="0.25">
      <c r="A122" s="8" t="s">
        <v>12</v>
      </c>
      <c r="B122" s="9" t="s">
        <v>542</v>
      </c>
      <c r="C122" s="8"/>
      <c r="D122" s="8"/>
      <c r="E122" s="8"/>
      <c r="F122" s="8">
        <v>1</v>
      </c>
      <c r="G122" s="8" t="s">
        <v>5</v>
      </c>
      <c r="H122" s="8">
        <v>1</v>
      </c>
    </row>
    <row r="123" spans="1:8" ht="30" x14ac:dyDescent="0.25">
      <c r="A123" s="8" t="s">
        <v>44</v>
      </c>
      <c r="B123" s="9" t="s">
        <v>543</v>
      </c>
      <c r="C123" s="8" t="s">
        <v>64</v>
      </c>
      <c r="D123" s="8"/>
      <c r="E123" s="8"/>
      <c r="F123" s="8">
        <v>1</v>
      </c>
      <c r="G123" s="8" t="s">
        <v>5</v>
      </c>
      <c r="H123" s="8">
        <v>1</v>
      </c>
    </row>
    <row r="124" spans="1:8" x14ac:dyDescent="0.25">
      <c r="A124" s="8" t="s">
        <v>156</v>
      </c>
      <c r="B124" s="9" t="s">
        <v>415</v>
      </c>
      <c r="C124" s="8"/>
      <c r="D124" s="8"/>
      <c r="E124" s="8"/>
      <c r="F124" s="8"/>
      <c r="G124" s="8" t="s">
        <v>10</v>
      </c>
      <c r="H124" s="8">
        <v>2</v>
      </c>
    </row>
    <row r="125" spans="1:8" x14ac:dyDescent="0.25">
      <c r="A125" s="8" t="s">
        <v>175</v>
      </c>
      <c r="B125" s="9"/>
      <c r="C125" s="8" t="s">
        <v>544</v>
      </c>
      <c r="D125" s="8"/>
      <c r="E125" s="8"/>
      <c r="F125" s="8">
        <v>1</v>
      </c>
      <c r="G125" s="8" t="s">
        <v>7</v>
      </c>
      <c r="H125" s="8" t="s">
        <v>233</v>
      </c>
    </row>
    <row r="126" spans="1:8" x14ac:dyDescent="0.25">
      <c r="A126" s="8" t="s">
        <v>116</v>
      </c>
      <c r="B126" s="9"/>
      <c r="C126" s="9" t="s">
        <v>545</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J1" workbookViewId="0">
      <selection activeCell="L5" sqref="L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546</v>
      </c>
      <c r="C2" s="8"/>
      <c r="D2" s="8"/>
      <c r="E2" s="8"/>
      <c r="F2" s="8">
        <v>1</v>
      </c>
      <c r="G2" s="8" t="s">
        <v>303</v>
      </c>
      <c r="H2" s="8">
        <v>1</v>
      </c>
    </row>
    <row r="3" spans="1:30" x14ac:dyDescent="0.25">
      <c r="A3" s="8" t="s">
        <v>88</v>
      </c>
      <c r="B3" s="9" t="s">
        <v>547</v>
      </c>
      <c r="C3" s="8"/>
      <c r="D3" s="8"/>
      <c r="E3" s="8"/>
      <c r="F3" s="8">
        <v>3</v>
      </c>
      <c r="G3" s="8" t="s">
        <v>303</v>
      </c>
      <c r="H3" s="8">
        <v>1</v>
      </c>
      <c r="J3" t="s">
        <v>0</v>
      </c>
      <c r="K3" t="s">
        <v>1</v>
      </c>
      <c r="L3" t="s">
        <v>2</v>
      </c>
      <c r="M3" t="s">
        <v>669</v>
      </c>
      <c r="N3" s="6" t="s">
        <v>4</v>
      </c>
      <c r="O3" t="s">
        <v>18</v>
      </c>
      <c r="P3" t="s">
        <v>14</v>
      </c>
      <c r="T3" t="s">
        <v>28</v>
      </c>
      <c r="V3" s="13" t="s">
        <v>230</v>
      </c>
      <c r="W3" s="13"/>
      <c r="X3" s="13"/>
      <c r="Y3" s="13"/>
      <c r="Z3" s="13"/>
      <c r="AA3" s="13"/>
    </row>
    <row r="4" spans="1:30" x14ac:dyDescent="0.25">
      <c r="A4" s="8" t="s">
        <v>242</v>
      </c>
      <c r="B4" s="9"/>
      <c r="C4" s="8"/>
      <c r="D4" s="8" t="s">
        <v>354</v>
      </c>
      <c r="E4" s="8"/>
      <c r="F4" s="8">
        <v>1</v>
      </c>
      <c r="G4" s="8" t="s">
        <v>303</v>
      </c>
      <c r="H4" s="8">
        <v>1</v>
      </c>
      <c r="J4" t="s">
        <v>156</v>
      </c>
      <c r="K4" t="s">
        <v>572</v>
      </c>
      <c r="O4">
        <v>3</v>
      </c>
      <c r="P4" t="s">
        <v>15</v>
      </c>
      <c r="T4" t="s">
        <v>15</v>
      </c>
      <c r="V4" t="s">
        <v>8</v>
      </c>
      <c r="W4" t="s">
        <v>5</v>
      </c>
      <c r="X4" t="s">
        <v>6</v>
      </c>
      <c r="Y4" t="s">
        <v>9</v>
      </c>
      <c r="Z4" t="s">
        <v>10</v>
      </c>
      <c r="AA4" t="s">
        <v>257</v>
      </c>
      <c r="AB4" t="s">
        <v>303</v>
      </c>
      <c r="AC4" t="s">
        <v>7</v>
      </c>
      <c r="AD4" t="s">
        <v>36</v>
      </c>
    </row>
    <row r="5" spans="1:30" x14ac:dyDescent="0.25">
      <c r="A5" s="8" t="s">
        <v>100</v>
      </c>
      <c r="B5" s="9" t="s">
        <v>548</v>
      </c>
      <c r="C5" s="8"/>
      <c r="D5" s="8"/>
      <c r="E5" s="8"/>
      <c r="F5" s="8">
        <v>1</v>
      </c>
      <c r="G5" s="8" t="s">
        <v>303</v>
      </c>
      <c r="H5" s="8">
        <v>1</v>
      </c>
      <c r="J5" t="s">
        <v>156</v>
      </c>
      <c r="K5" t="s">
        <v>573</v>
      </c>
      <c r="O5">
        <v>1</v>
      </c>
      <c r="P5" t="s">
        <v>15</v>
      </c>
      <c r="T5" t="s">
        <v>578</v>
      </c>
      <c r="V5">
        <v>1</v>
      </c>
      <c r="W5">
        <v>1</v>
      </c>
      <c r="X5">
        <v>1</v>
      </c>
      <c r="Y5">
        <v>1</v>
      </c>
      <c r="Z5">
        <v>1</v>
      </c>
      <c r="AA5">
        <v>1</v>
      </c>
      <c r="AB5">
        <v>1</v>
      </c>
      <c r="AC5" t="s">
        <v>231</v>
      </c>
      <c r="AD5" t="s">
        <v>36</v>
      </c>
    </row>
    <row r="6" spans="1:30" x14ac:dyDescent="0.25">
      <c r="A6" s="8" t="s">
        <v>83</v>
      </c>
      <c r="B6" s="9"/>
      <c r="C6" s="8"/>
      <c r="D6" s="8" t="s">
        <v>549</v>
      </c>
      <c r="E6" s="8">
        <v>1813</v>
      </c>
      <c r="F6" s="8">
        <v>1</v>
      </c>
      <c r="G6" s="8" t="s">
        <v>303</v>
      </c>
      <c r="H6" s="8">
        <v>1</v>
      </c>
      <c r="J6" t="s">
        <v>156</v>
      </c>
      <c r="K6" t="s">
        <v>444</v>
      </c>
      <c r="O6">
        <v>3</v>
      </c>
      <c r="P6" t="s">
        <v>15</v>
      </c>
      <c r="T6" t="s">
        <v>581</v>
      </c>
      <c r="V6">
        <v>2</v>
      </c>
      <c r="Z6">
        <v>2</v>
      </c>
      <c r="AC6" t="s">
        <v>233</v>
      </c>
    </row>
    <row r="7" spans="1:30" x14ac:dyDescent="0.25">
      <c r="A7" s="8" t="s">
        <v>550</v>
      </c>
      <c r="B7" s="9" t="s">
        <v>112</v>
      </c>
      <c r="C7" s="8"/>
      <c r="D7" s="8"/>
      <c r="E7" s="8"/>
      <c r="F7" s="8">
        <v>1</v>
      </c>
      <c r="G7" s="8" t="s">
        <v>303</v>
      </c>
      <c r="H7" s="8">
        <v>1</v>
      </c>
      <c r="J7" t="s">
        <v>156</v>
      </c>
      <c r="K7" t="s">
        <v>443</v>
      </c>
      <c r="O7">
        <v>3</v>
      </c>
      <c r="P7" t="s">
        <v>15</v>
      </c>
      <c r="T7" t="s">
        <v>387</v>
      </c>
      <c r="V7">
        <v>3</v>
      </c>
      <c r="Z7">
        <v>3</v>
      </c>
      <c r="AC7" t="s">
        <v>234</v>
      </c>
    </row>
    <row r="8" spans="1:30" x14ac:dyDescent="0.25">
      <c r="A8" s="8" t="s">
        <v>365</v>
      </c>
      <c r="B8" s="9"/>
      <c r="C8" s="8"/>
      <c r="D8" s="8" t="s">
        <v>549</v>
      </c>
      <c r="E8" s="8">
        <v>851</v>
      </c>
      <c r="F8" s="8">
        <v>1</v>
      </c>
      <c r="G8" s="8" t="s">
        <v>303</v>
      </c>
      <c r="H8" s="8">
        <v>1</v>
      </c>
      <c r="J8" t="s">
        <v>156</v>
      </c>
      <c r="K8" t="s">
        <v>574</v>
      </c>
      <c r="O8">
        <v>1</v>
      </c>
      <c r="P8" t="s">
        <v>15</v>
      </c>
      <c r="T8" t="s">
        <v>623</v>
      </c>
      <c r="V8">
        <v>4</v>
      </c>
    </row>
    <row r="9" spans="1:30" x14ac:dyDescent="0.25">
      <c r="A9" s="8" t="s">
        <v>362</v>
      </c>
      <c r="B9" s="9"/>
      <c r="C9" s="8"/>
      <c r="D9" s="8" t="s">
        <v>549</v>
      </c>
      <c r="E9" s="8">
        <v>722</v>
      </c>
      <c r="F9" s="8">
        <v>1</v>
      </c>
      <c r="G9" s="8" t="s">
        <v>303</v>
      </c>
      <c r="H9" s="8">
        <v>1</v>
      </c>
      <c r="J9" t="s">
        <v>156</v>
      </c>
      <c r="K9" t="s">
        <v>575</v>
      </c>
      <c r="O9">
        <v>1</v>
      </c>
      <c r="P9" t="s">
        <v>15</v>
      </c>
      <c r="T9" t="s">
        <v>627</v>
      </c>
    </row>
    <row r="10" spans="1:30" x14ac:dyDescent="0.25">
      <c r="A10" s="8" t="s">
        <v>80</v>
      </c>
      <c r="B10" s="9"/>
      <c r="C10" s="8"/>
      <c r="D10" s="8" t="s">
        <v>549</v>
      </c>
      <c r="E10" s="8">
        <v>1626</v>
      </c>
      <c r="F10" s="8">
        <v>1</v>
      </c>
      <c r="G10" s="8" t="s">
        <v>303</v>
      </c>
      <c r="H10" s="8">
        <v>1</v>
      </c>
      <c r="J10" t="s">
        <v>156</v>
      </c>
      <c r="K10" t="s">
        <v>23</v>
      </c>
      <c r="O10">
        <v>1</v>
      </c>
      <c r="P10" t="s">
        <v>15</v>
      </c>
      <c r="T10" t="s">
        <v>388</v>
      </c>
    </row>
    <row r="11" spans="1:30" x14ac:dyDescent="0.25">
      <c r="A11" s="8" t="s">
        <v>95</v>
      </c>
      <c r="B11" s="9"/>
      <c r="C11" s="8"/>
      <c r="D11" s="8" t="s">
        <v>549</v>
      </c>
      <c r="E11" s="8">
        <v>1110</v>
      </c>
      <c r="F11" s="8">
        <v>1</v>
      </c>
      <c r="G11" s="8" t="s">
        <v>303</v>
      </c>
      <c r="H11" s="8">
        <v>1</v>
      </c>
      <c r="J11" t="s">
        <v>156</v>
      </c>
      <c r="K11" t="s">
        <v>576</v>
      </c>
      <c r="O11">
        <v>2</v>
      </c>
      <c r="P11" t="s">
        <v>15</v>
      </c>
      <c r="T11" t="s">
        <v>368</v>
      </c>
    </row>
    <row r="12" spans="1:30" x14ac:dyDescent="0.25">
      <c r="A12" s="8" t="s">
        <v>346</v>
      </c>
      <c r="B12" s="9" t="s">
        <v>551</v>
      </c>
      <c r="C12" s="8"/>
      <c r="D12" s="8" t="s">
        <v>552</v>
      </c>
      <c r="E12" s="8"/>
      <c r="F12" s="8">
        <v>1</v>
      </c>
      <c r="G12" s="8" t="s">
        <v>303</v>
      </c>
      <c r="H12" s="8">
        <v>1</v>
      </c>
      <c r="J12" t="s">
        <v>156</v>
      </c>
      <c r="K12" t="s">
        <v>577</v>
      </c>
      <c r="O12">
        <v>1</v>
      </c>
      <c r="P12" t="s">
        <v>15</v>
      </c>
      <c r="T12" t="s">
        <v>630</v>
      </c>
    </row>
    <row r="13" spans="1:30" x14ac:dyDescent="0.25">
      <c r="A13" s="8" t="s">
        <v>472</v>
      </c>
      <c r="B13" s="9" t="s">
        <v>553</v>
      </c>
      <c r="C13" s="8"/>
      <c r="D13" s="8"/>
      <c r="E13" s="8"/>
      <c r="F13" s="8">
        <v>2</v>
      </c>
      <c r="G13" s="8" t="s">
        <v>303</v>
      </c>
      <c r="H13" s="8">
        <v>1</v>
      </c>
      <c r="J13" t="s">
        <v>90</v>
      </c>
      <c r="K13" t="s">
        <v>579</v>
      </c>
      <c r="O13">
        <v>3</v>
      </c>
      <c r="P13" t="s">
        <v>578</v>
      </c>
      <c r="T13" t="s">
        <v>29</v>
      </c>
    </row>
    <row r="14" spans="1:30" x14ac:dyDescent="0.25">
      <c r="A14" s="8" t="s">
        <v>87</v>
      </c>
      <c r="B14" s="9"/>
      <c r="C14" s="8"/>
      <c r="D14" s="8"/>
      <c r="E14" s="8"/>
      <c r="F14" s="8">
        <v>4</v>
      </c>
      <c r="G14" s="8" t="s">
        <v>303</v>
      </c>
      <c r="H14" s="8">
        <v>1</v>
      </c>
      <c r="J14" t="s">
        <v>473</v>
      </c>
      <c r="K14" t="s">
        <v>580</v>
      </c>
      <c r="O14">
        <v>1</v>
      </c>
      <c r="P14" t="s">
        <v>578</v>
      </c>
    </row>
    <row r="15" spans="1:30" x14ac:dyDescent="0.25">
      <c r="A15" s="8" t="s">
        <v>12</v>
      </c>
      <c r="B15" s="9" t="s">
        <v>554</v>
      </c>
      <c r="C15" s="8" t="s">
        <v>461</v>
      </c>
      <c r="D15" s="8" t="s">
        <v>555</v>
      </c>
      <c r="E15" s="8"/>
      <c r="F15" s="8">
        <v>1</v>
      </c>
      <c r="G15" s="8" t="s">
        <v>257</v>
      </c>
      <c r="H15" s="8">
        <v>1</v>
      </c>
      <c r="J15" t="s">
        <v>395</v>
      </c>
      <c r="K15" t="s">
        <v>395</v>
      </c>
      <c r="L15" t="s">
        <v>397</v>
      </c>
      <c r="O15">
        <v>2</v>
      </c>
      <c r="P15" t="s">
        <v>581</v>
      </c>
    </row>
    <row r="16" spans="1:30" x14ac:dyDescent="0.25">
      <c r="A16" s="8" t="s">
        <v>12</v>
      </c>
      <c r="B16" s="9" t="s">
        <v>556</v>
      </c>
      <c r="C16" s="8"/>
      <c r="D16" s="8" t="s">
        <v>182</v>
      </c>
      <c r="E16" s="8" t="s">
        <v>557</v>
      </c>
      <c r="F16" s="8">
        <v>1</v>
      </c>
      <c r="G16" s="8" t="s">
        <v>257</v>
      </c>
      <c r="H16" s="8">
        <v>1</v>
      </c>
      <c r="J16" t="s">
        <v>395</v>
      </c>
      <c r="K16" t="s">
        <v>395</v>
      </c>
      <c r="L16" t="s">
        <v>582</v>
      </c>
      <c r="O16">
        <v>1</v>
      </c>
      <c r="P16" t="s">
        <v>581</v>
      </c>
    </row>
    <row r="17" spans="1:16" x14ac:dyDescent="0.25">
      <c r="A17" s="8" t="s">
        <v>12</v>
      </c>
      <c r="B17" s="9" t="s">
        <v>558</v>
      </c>
      <c r="C17" s="8"/>
      <c r="D17" s="8" t="s">
        <v>181</v>
      </c>
      <c r="E17" s="8" t="s">
        <v>559</v>
      </c>
      <c r="F17" s="8">
        <v>1</v>
      </c>
      <c r="G17" s="8" t="s">
        <v>257</v>
      </c>
      <c r="H17" s="8">
        <v>1</v>
      </c>
      <c r="J17" t="s">
        <v>469</v>
      </c>
      <c r="K17" t="s">
        <v>469</v>
      </c>
      <c r="O17">
        <v>1</v>
      </c>
      <c r="P17" t="s">
        <v>581</v>
      </c>
    </row>
    <row r="18" spans="1:16" x14ac:dyDescent="0.25">
      <c r="A18" s="8" t="s">
        <v>151</v>
      </c>
      <c r="B18" s="9"/>
      <c r="C18" s="8"/>
      <c r="D18" s="8"/>
      <c r="E18" s="8"/>
      <c r="F18" s="8"/>
      <c r="G18" s="8"/>
      <c r="H18" s="8"/>
      <c r="J18" t="s">
        <v>469</v>
      </c>
      <c r="K18" t="s">
        <v>583</v>
      </c>
      <c r="O18">
        <v>1</v>
      </c>
      <c r="P18" t="s">
        <v>581</v>
      </c>
    </row>
    <row r="19" spans="1:16" x14ac:dyDescent="0.25">
      <c r="A19" s="8" t="s">
        <v>560</v>
      </c>
      <c r="B19" s="9" t="s">
        <v>561</v>
      </c>
      <c r="C19" s="8"/>
      <c r="D19" s="8" t="s">
        <v>562</v>
      </c>
      <c r="E19" s="8"/>
      <c r="F19" s="8">
        <v>1</v>
      </c>
      <c r="G19" s="8" t="s">
        <v>10</v>
      </c>
      <c r="H19" s="8">
        <v>1</v>
      </c>
      <c r="J19" t="s">
        <v>470</v>
      </c>
      <c r="K19" t="s">
        <v>584</v>
      </c>
      <c r="O19">
        <v>1</v>
      </c>
      <c r="P19" t="s">
        <v>581</v>
      </c>
    </row>
    <row r="20" spans="1:16" x14ac:dyDescent="0.25">
      <c r="A20" s="8" t="s">
        <v>151</v>
      </c>
      <c r="B20" s="9" t="s">
        <v>563</v>
      </c>
      <c r="C20" s="8"/>
      <c r="D20" s="8"/>
      <c r="E20" s="8"/>
      <c r="F20" s="8">
        <v>2</v>
      </c>
      <c r="G20" s="8" t="s">
        <v>10</v>
      </c>
      <c r="H20" s="8">
        <v>1</v>
      </c>
      <c r="J20" t="s">
        <v>619</v>
      </c>
      <c r="K20" t="s">
        <v>620</v>
      </c>
      <c r="O20">
        <v>1</v>
      </c>
      <c r="P20" t="s">
        <v>387</v>
      </c>
    </row>
    <row r="21" spans="1:16" x14ac:dyDescent="0.25">
      <c r="A21" s="8" t="s">
        <v>11</v>
      </c>
      <c r="B21" s="9" t="s">
        <v>564</v>
      </c>
      <c r="C21" s="8" t="s">
        <v>123</v>
      </c>
      <c r="D21" s="8"/>
      <c r="E21" s="8"/>
      <c r="F21" s="8">
        <v>3</v>
      </c>
      <c r="G21" s="8" t="s">
        <v>10</v>
      </c>
      <c r="H21" s="8">
        <v>1</v>
      </c>
      <c r="J21" t="s">
        <v>90</v>
      </c>
      <c r="K21" t="s">
        <v>622</v>
      </c>
      <c r="O21">
        <v>2</v>
      </c>
      <c r="P21" t="s">
        <v>387</v>
      </c>
    </row>
    <row r="22" spans="1:16" x14ac:dyDescent="0.25">
      <c r="A22" s="8" t="s">
        <v>32</v>
      </c>
      <c r="B22" s="9" t="s">
        <v>565</v>
      </c>
      <c r="C22" s="8" t="s">
        <v>52</v>
      </c>
      <c r="D22" s="8" t="s">
        <v>566</v>
      </c>
      <c r="E22" s="8"/>
      <c r="F22" s="8">
        <v>1</v>
      </c>
      <c r="G22" s="8" t="s">
        <v>10</v>
      </c>
      <c r="H22" s="8">
        <v>1</v>
      </c>
      <c r="J22" t="s">
        <v>619</v>
      </c>
      <c r="K22" t="s">
        <v>621</v>
      </c>
      <c r="P22" t="s">
        <v>387</v>
      </c>
    </row>
    <row r="23" spans="1:16" x14ac:dyDescent="0.25">
      <c r="A23" s="8" t="s">
        <v>11</v>
      </c>
      <c r="B23" s="9"/>
      <c r="C23" s="8" t="s">
        <v>121</v>
      </c>
      <c r="D23" s="8"/>
      <c r="E23" s="8"/>
      <c r="F23" s="8">
        <v>5</v>
      </c>
      <c r="G23" s="8" t="s">
        <v>10</v>
      </c>
      <c r="H23" s="8">
        <v>1</v>
      </c>
      <c r="J23" t="s">
        <v>626</v>
      </c>
      <c r="K23" t="s">
        <v>624</v>
      </c>
      <c r="O23">
        <v>1</v>
      </c>
      <c r="P23" t="s">
        <v>623</v>
      </c>
    </row>
    <row r="24" spans="1:16" ht="30" x14ac:dyDescent="0.25">
      <c r="A24" s="8" t="s">
        <v>32</v>
      </c>
      <c r="B24" s="9" t="s">
        <v>567</v>
      </c>
      <c r="C24" s="8" t="s">
        <v>52</v>
      </c>
      <c r="D24" s="8" t="s">
        <v>568</v>
      </c>
      <c r="E24" s="8"/>
      <c r="F24" s="8">
        <v>1</v>
      </c>
      <c r="G24" s="8" t="s">
        <v>10</v>
      </c>
      <c r="H24" s="8">
        <v>1</v>
      </c>
      <c r="J24" t="s">
        <v>400</v>
      </c>
      <c r="K24" t="s">
        <v>625</v>
      </c>
      <c r="O24">
        <v>6</v>
      </c>
      <c r="P24" t="s">
        <v>623</v>
      </c>
    </row>
    <row r="25" spans="1:16" x14ac:dyDescent="0.25">
      <c r="A25" s="8" t="s">
        <v>175</v>
      </c>
      <c r="B25" s="9"/>
      <c r="C25" s="8" t="s">
        <v>237</v>
      </c>
      <c r="D25" s="8" t="s">
        <v>298</v>
      </c>
      <c r="E25" s="8"/>
      <c r="F25" s="8">
        <v>1</v>
      </c>
      <c r="G25" s="8" t="s">
        <v>10</v>
      </c>
      <c r="H25" s="8">
        <v>1</v>
      </c>
      <c r="J25" t="s">
        <v>89</v>
      </c>
      <c r="K25" t="s">
        <v>628</v>
      </c>
      <c r="O25">
        <v>5</v>
      </c>
      <c r="P25" t="s">
        <v>627</v>
      </c>
    </row>
    <row r="26" spans="1:16" x14ac:dyDescent="0.25">
      <c r="A26" s="8" t="s">
        <v>156</v>
      </c>
      <c r="B26" s="9" t="s">
        <v>569</v>
      </c>
      <c r="C26" s="8"/>
      <c r="D26" s="8"/>
      <c r="E26" s="8"/>
      <c r="F26" s="8">
        <v>1</v>
      </c>
      <c r="G26" s="8" t="s">
        <v>5</v>
      </c>
      <c r="H26" s="8">
        <v>1</v>
      </c>
      <c r="J26" t="s">
        <v>90</v>
      </c>
      <c r="K26" t="s">
        <v>383</v>
      </c>
      <c r="O26">
        <v>6</v>
      </c>
      <c r="P26" t="s">
        <v>388</v>
      </c>
    </row>
    <row r="27" spans="1:16" x14ac:dyDescent="0.25">
      <c r="A27" s="8" t="s">
        <v>156</v>
      </c>
      <c r="B27" s="9" t="s">
        <v>570</v>
      </c>
      <c r="C27" s="8"/>
      <c r="D27" s="8"/>
      <c r="E27" s="8"/>
      <c r="F27" s="8">
        <v>1</v>
      </c>
      <c r="G27" s="8" t="s">
        <v>5</v>
      </c>
      <c r="H27" s="8">
        <v>1</v>
      </c>
      <c r="J27" t="s">
        <v>472</v>
      </c>
      <c r="K27" t="s">
        <v>629</v>
      </c>
      <c r="O27">
        <v>20</v>
      </c>
      <c r="P27" t="s">
        <v>368</v>
      </c>
    </row>
    <row r="28" spans="1:16" x14ac:dyDescent="0.25">
      <c r="A28" s="8" t="s">
        <v>156</v>
      </c>
      <c r="B28" s="9" t="s">
        <v>571</v>
      </c>
      <c r="C28" s="8"/>
      <c r="D28" s="8"/>
      <c r="E28" s="8"/>
      <c r="F28" s="8">
        <v>1</v>
      </c>
      <c r="G28" s="8" t="s">
        <v>5</v>
      </c>
      <c r="H28" s="8">
        <v>1</v>
      </c>
      <c r="J28" t="s">
        <v>632</v>
      </c>
      <c r="K28" t="s">
        <v>631</v>
      </c>
      <c r="L28" t="s">
        <v>633</v>
      </c>
      <c r="P28" t="s">
        <v>630</v>
      </c>
    </row>
    <row r="29" spans="1:16" x14ac:dyDescent="0.25">
      <c r="A29" s="8" t="s">
        <v>154</v>
      </c>
      <c r="B29" s="9" t="s">
        <v>155</v>
      </c>
      <c r="C29" s="8"/>
      <c r="D29" s="8"/>
      <c r="E29" s="8"/>
      <c r="F29" s="8">
        <v>1</v>
      </c>
      <c r="G29" s="8" t="s">
        <v>5</v>
      </c>
      <c r="H29" s="8">
        <v>1</v>
      </c>
      <c r="J29" t="s">
        <v>632</v>
      </c>
      <c r="K29" t="s">
        <v>631</v>
      </c>
      <c r="L29" t="s">
        <v>636</v>
      </c>
      <c r="O29" t="s">
        <v>634</v>
      </c>
      <c r="P29" t="s">
        <v>630</v>
      </c>
    </row>
    <row r="30" spans="1:16" x14ac:dyDescent="0.25">
      <c r="A30" s="8" t="s">
        <v>92</v>
      </c>
      <c r="B30" s="9" t="str">
        <f>bolso("Caja de herramientas 1",Table625[])</f>
        <v xml:space="preserve">Caja de herramientas 1 Contiene: </v>
      </c>
      <c r="C30" s="8"/>
      <c r="D30" s="8"/>
      <c r="E30" s="8"/>
      <c r="F30" s="8">
        <v>1</v>
      </c>
      <c r="G30" s="8" t="s">
        <v>5</v>
      </c>
      <c r="H30" s="8">
        <v>1</v>
      </c>
      <c r="J30" t="s">
        <v>632</v>
      </c>
      <c r="K30" t="s">
        <v>631</v>
      </c>
      <c r="L30" t="s">
        <v>637</v>
      </c>
      <c r="O30" t="s">
        <v>635</v>
      </c>
      <c r="P30" t="s">
        <v>630</v>
      </c>
    </row>
    <row r="31" spans="1:16" x14ac:dyDescent="0.25">
      <c r="A31" s="8" t="s">
        <v>92</v>
      </c>
      <c r="B31" s="9" t="str">
        <f>bolso("Bolso de trauma 1",Table625[])</f>
        <v xml:space="preserve">Bolso de trauma 1 Contiene: </v>
      </c>
      <c r="C31" s="8"/>
      <c r="D31" s="8"/>
      <c r="E31" s="8"/>
      <c r="F31" s="8">
        <v>1</v>
      </c>
      <c r="G31" s="8" t="s">
        <v>5</v>
      </c>
      <c r="H31" s="8">
        <v>1</v>
      </c>
      <c r="J31" t="s">
        <v>632</v>
      </c>
      <c r="K31" t="s">
        <v>639</v>
      </c>
      <c r="L31" t="s">
        <v>638</v>
      </c>
      <c r="P31" t="s">
        <v>630</v>
      </c>
    </row>
    <row r="32" spans="1:16" x14ac:dyDescent="0.25">
      <c r="A32" s="8" t="s">
        <v>92</v>
      </c>
      <c r="B32" s="9" t="str">
        <f>bolso("Bolso de cadaveres",Table625[])</f>
        <v xml:space="preserve">Bolso de cadaveres Contiene: </v>
      </c>
      <c r="C32" s="8"/>
      <c r="D32" s="8"/>
      <c r="E32" s="8"/>
      <c r="F32" s="8">
        <v>1</v>
      </c>
      <c r="G32" s="8" t="s">
        <v>5</v>
      </c>
      <c r="H32" s="8">
        <v>1</v>
      </c>
      <c r="J32" t="s">
        <v>632</v>
      </c>
      <c r="K32" t="s">
        <v>639</v>
      </c>
      <c r="L32" t="s">
        <v>640</v>
      </c>
      <c r="P32" t="s">
        <v>630</v>
      </c>
    </row>
    <row r="33" spans="1:16" x14ac:dyDescent="0.25">
      <c r="A33" s="8" t="s">
        <v>156</v>
      </c>
      <c r="B33" s="9" t="s">
        <v>585</v>
      </c>
      <c r="C33" s="8"/>
      <c r="D33" s="8"/>
      <c r="E33" s="8"/>
      <c r="F33" s="8">
        <v>1</v>
      </c>
      <c r="G33" s="8" t="s">
        <v>5</v>
      </c>
      <c r="H33" s="8">
        <v>1</v>
      </c>
      <c r="J33" t="s">
        <v>632</v>
      </c>
      <c r="K33" t="s">
        <v>632</v>
      </c>
      <c r="L33" t="s">
        <v>641</v>
      </c>
      <c r="O33" t="s">
        <v>642</v>
      </c>
      <c r="P33" t="s">
        <v>630</v>
      </c>
    </row>
    <row r="34" spans="1:16" x14ac:dyDescent="0.25">
      <c r="A34" s="8" t="s">
        <v>586</v>
      </c>
      <c r="B34" s="9" t="s">
        <v>587</v>
      </c>
      <c r="C34" s="8" t="s">
        <v>52</v>
      </c>
      <c r="D34" s="8"/>
      <c r="E34" s="8">
        <v>27348635</v>
      </c>
      <c r="F34" s="8"/>
      <c r="G34" s="8" t="s">
        <v>9</v>
      </c>
      <c r="H34" s="8">
        <v>1</v>
      </c>
      <c r="J34" t="s">
        <v>656</v>
      </c>
      <c r="K34" t="s">
        <v>655</v>
      </c>
      <c r="O34">
        <v>1</v>
      </c>
      <c r="P34" t="s">
        <v>29</v>
      </c>
    </row>
    <row r="35" spans="1:16" x14ac:dyDescent="0.25">
      <c r="A35" s="8" t="s">
        <v>59</v>
      </c>
      <c r="B35" s="9" t="s">
        <v>589</v>
      </c>
      <c r="C35" s="8" t="s">
        <v>52</v>
      </c>
      <c r="D35" s="8" t="s">
        <v>588</v>
      </c>
      <c r="E35" s="8"/>
      <c r="F35" s="8"/>
      <c r="G35" s="8" t="s">
        <v>9</v>
      </c>
      <c r="H35" s="8">
        <v>1</v>
      </c>
      <c r="J35" t="s">
        <v>156</v>
      </c>
      <c r="K35" t="s">
        <v>205</v>
      </c>
      <c r="O35">
        <v>1</v>
      </c>
      <c r="P35" t="s">
        <v>29</v>
      </c>
    </row>
    <row r="36" spans="1:16" x14ac:dyDescent="0.25">
      <c r="A36" s="8" t="s">
        <v>53</v>
      </c>
      <c r="B36" s="9"/>
      <c r="C36" s="8"/>
      <c r="D36" s="8"/>
      <c r="E36" s="8"/>
      <c r="F36" s="8">
        <v>7</v>
      </c>
      <c r="G36" s="8" t="s">
        <v>9</v>
      </c>
      <c r="H36" s="8">
        <v>1</v>
      </c>
      <c r="J36" t="s">
        <v>156</v>
      </c>
      <c r="K36" t="s">
        <v>657</v>
      </c>
      <c r="O36">
        <v>2</v>
      </c>
      <c r="P36" t="s">
        <v>29</v>
      </c>
    </row>
    <row r="37" spans="1:16" x14ac:dyDescent="0.25">
      <c r="A37" s="8" t="s">
        <v>590</v>
      </c>
      <c r="B37" s="9"/>
      <c r="C37" s="8" t="s">
        <v>52</v>
      </c>
      <c r="D37" s="8"/>
      <c r="E37" s="8"/>
      <c r="F37" s="8">
        <v>1</v>
      </c>
      <c r="G37" s="8" t="s">
        <v>9</v>
      </c>
      <c r="H37" s="8">
        <v>1</v>
      </c>
      <c r="J37" t="s">
        <v>156</v>
      </c>
      <c r="K37" t="s">
        <v>658</v>
      </c>
      <c r="O37">
        <v>1</v>
      </c>
      <c r="P37" t="s">
        <v>29</v>
      </c>
    </row>
    <row r="38" spans="1:16" x14ac:dyDescent="0.25">
      <c r="A38" s="8" t="s">
        <v>44</v>
      </c>
      <c r="B38" s="9" t="s">
        <v>591</v>
      </c>
      <c r="C38" s="8" t="s">
        <v>45</v>
      </c>
      <c r="D38" s="8"/>
      <c r="E38" s="8"/>
      <c r="F38" s="8">
        <v>1</v>
      </c>
      <c r="G38" s="8" t="s">
        <v>9</v>
      </c>
      <c r="H38" s="8">
        <v>1</v>
      </c>
      <c r="J38" t="s">
        <v>156</v>
      </c>
      <c r="K38" t="s">
        <v>659</v>
      </c>
      <c r="O38">
        <v>1</v>
      </c>
      <c r="P38" t="s">
        <v>29</v>
      </c>
    </row>
    <row r="39" spans="1:16" x14ac:dyDescent="0.25">
      <c r="A39" s="8" t="s">
        <v>11</v>
      </c>
      <c r="B39" s="9"/>
      <c r="C39" s="8" t="s">
        <v>123</v>
      </c>
      <c r="D39" s="8"/>
      <c r="E39" s="8"/>
      <c r="F39" s="8">
        <v>2</v>
      </c>
      <c r="G39" s="8" t="s">
        <v>9</v>
      </c>
      <c r="H39" s="8">
        <v>1</v>
      </c>
      <c r="J39" t="s">
        <v>156</v>
      </c>
      <c r="K39" t="s">
        <v>660</v>
      </c>
      <c r="O39">
        <v>1</v>
      </c>
      <c r="P39" t="s">
        <v>29</v>
      </c>
    </row>
    <row r="40" spans="1:16" x14ac:dyDescent="0.25">
      <c r="A40" s="8" t="s">
        <v>592</v>
      </c>
      <c r="B40" s="9" t="s">
        <v>593</v>
      </c>
      <c r="C40" s="8"/>
      <c r="D40" s="8"/>
      <c r="E40" s="8"/>
      <c r="F40" s="8">
        <v>1</v>
      </c>
      <c r="G40" s="8" t="s">
        <v>9</v>
      </c>
      <c r="H40" s="8">
        <v>1</v>
      </c>
      <c r="J40" t="s">
        <v>661</v>
      </c>
      <c r="K40" t="s">
        <v>662</v>
      </c>
      <c r="O40">
        <v>3</v>
      </c>
      <c r="P40" t="s">
        <v>29</v>
      </c>
    </row>
    <row r="41" spans="1:16" x14ac:dyDescent="0.25">
      <c r="A41" s="8" t="s">
        <v>586</v>
      </c>
      <c r="B41" s="9" t="s">
        <v>594</v>
      </c>
      <c r="C41" s="8"/>
      <c r="D41" s="8" t="s">
        <v>595</v>
      </c>
      <c r="E41" s="8"/>
      <c r="F41" s="8">
        <v>1</v>
      </c>
      <c r="G41" s="8" t="s">
        <v>9</v>
      </c>
      <c r="H41" s="8">
        <v>1</v>
      </c>
      <c r="J41" t="s">
        <v>156</v>
      </c>
      <c r="K41" t="s">
        <v>17</v>
      </c>
      <c r="O41">
        <v>1</v>
      </c>
      <c r="P41" t="s">
        <v>29</v>
      </c>
    </row>
    <row r="42" spans="1:16" x14ac:dyDescent="0.25">
      <c r="A42" s="8" t="s">
        <v>173</v>
      </c>
      <c r="B42" s="9"/>
      <c r="C42" s="8" t="s">
        <v>66</v>
      </c>
      <c r="D42" s="8"/>
      <c r="E42" s="8"/>
      <c r="F42" s="8">
        <v>1</v>
      </c>
      <c r="G42" s="8" t="s">
        <v>9</v>
      </c>
      <c r="H42" s="8">
        <v>1</v>
      </c>
      <c r="J42" t="s">
        <v>156</v>
      </c>
      <c r="K42" t="s">
        <v>663</v>
      </c>
      <c r="O42">
        <v>1</v>
      </c>
      <c r="P42" t="s">
        <v>29</v>
      </c>
    </row>
    <row r="43" spans="1:16" x14ac:dyDescent="0.25">
      <c r="A43" s="8" t="s">
        <v>156</v>
      </c>
      <c r="B43" s="9" t="s">
        <v>26</v>
      </c>
      <c r="C43" s="8"/>
      <c r="D43" s="8"/>
      <c r="E43" s="8"/>
      <c r="F43" s="8">
        <v>4</v>
      </c>
      <c r="G43" s="8" t="s">
        <v>9</v>
      </c>
      <c r="H43" s="8">
        <v>1</v>
      </c>
      <c r="J43" t="s">
        <v>156</v>
      </c>
      <c r="K43" t="s">
        <v>664</v>
      </c>
      <c r="O43">
        <v>3</v>
      </c>
      <c r="P43" t="s">
        <v>29</v>
      </c>
    </row>
    <row r="44" spans="1:16" x14ac:dyDescent="0.25">
      <c r="A44" s="8" t="s">
        <v>174</v>
      </c>
      <c r="B44" s="9"/>
      <c r="C44" s="8" t="s">
        <v>236</v>
      </c>
      <c r="D44" s="8"/>
      <c r="E44" s="8"/>
      <c r="F44" s="8"/>
      <c r="G44" s="8" t="s">
        <v>9</v>
      </c>
      <c r="H44" s="8">
        <v>1</v>
      </c>
      <c r="J44" t="s">
        <v>156</v>
      </c>
      <c r="K44" t="s">
        <v>576</v>
      </c>
      <c r="O44">
        <v>2</v>
      </c>
      <c r="P44" t="s">
        <v>29</v>
      </c>
    </row>
    <row r="45" spans="1:16" x14ac:dyDescent="0.25">
      <c r="A45" s="8" t="s">
        <v>44</v>
      </c>
      <c r="B45" s="9" t="s">
        <v>596</v>
      </c>
      <c r="C45" s="8" t="s">
        <v>45</v>
      </c>
      <c r="D45" s="8"/>
      <c r="E45" s="8"/>
      <c r="F45" s="8">
        <v>1</v>
      </c>
      <c r="G45" s="8" t="s">
        <v>9</v>
      </c>
      <c r="H45" s="8">
        <v>1</v>
      </c>
      <c r="J45" t="s">
        <v>156</v>
      </c>
      <c r="K45" t="s">
        <v>23</v>
      </c>
      <c r="O45">
        <v>1</v>
      </c>
      <c r="P45" t="s">
        <v>29</v>
      </c>
    </row>
    <row r="46" spans="1:16" ht="30" x14ac:dyDescent="0.25">
      <c r="A46" s="8" t="s">
        <v>73</v>
      </c>
      <c r="B46" s="9" t="s">
        <v>567</v>
      </c>
      <c r="C46" s="8"/>
      <c r="D46" s="8"/>
      <c r="E46" s="8"/>
      <c r="F46" s="8">
        <v>2</v>
      </c>
      <c r="G46" s="8" t="s">
        <v>6</v>
      </c>
      <c r="H46" s="8">
        <v>1</v>
      </c>
      <c r="J46" t="s">
        <v>156</v>
      </c>
      <c r="K46" t="s">
        <v>665</v>
      </c>
      <c r="O46">
        <v>1</v>
      </c>
      <c r="P46" t="s">
        <v>29</v>
      </c>
    </row>
    <row r="47" spans="1:16" x14ac:dyDescent="0.25">
      <c r="A47" s="8" t="s">
        <v>243</v>
      </c>
      <c r="B47" s="9"/>
      <c r="C47" s="8"/>
      <c r="D47" s="8" t="s">
        <v>597</v>
      </c>
      <c r="E47" s="8" t="s">
        <v>598</v>
      </c>
      <c r="F47" s="8">
        <v>1</v>
      </c>
      <c r="G47" s="8" t="s">
        <v>6</v>
      </c>
      <c r="H47" s="8">
        <v>1</v>
      </c>
    </row>
    <row r="48" spans="1:16" x14ac:dyDescent="0.25">
      <c r="A48" s="8" t="s">
        <v>599</v>
      </c>
      <c r="B48" s="9"/>
      <c r="C48" s="8"/>
      <c r="D48" s="8" t="s">
        <v>182</v>
      </c>
      <c r="E48" s="8" t="s">
        <v>600</v>
      </c>
      <c r="F48" s="8">
        <v>1</v>
      </c>
      <c r="G48" s="8" t="s">
        <v>6</v>
      </c>
      <c r="H48" s="8">
        <v>1</v>
      </c>
    </row>
    <row r="49" spans="1:9" x14ac:dyDescent="0.25">
      <c r="A49" s="8" t="s">
        <v>59</v>
      </c>
      <c r="B49" s="9" t="s">
        <v>601</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565</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603</v>
      </c>
      <c r="C56" s="8" t="s">
        <v>103</v>
      </c>
      <c r="D56" s="8"/>
      <c r="E56" s="8"/>
      <c r="F56" s="8">
        <v>1</v>
      </c>
      <c r="G56" s="8" t="s">
        <v>36</v>
      </c>
      <c r="H56" s="8" t="s">
        <v>36</v>
      </c>
    </row>
    <row r="57" spans="1:9" x14ac:dyDescent="0.25">
      <c r="A57" s="8" t="s">
        <v>35</v>
      </c>
      <c r="B57" s="9" t="s">
        <v>602</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604</v>
      </c>
      <c r="C59" s="8" t="s">
        <v>605</v>
      </c>
      <c r="D59" s="8"/>
      <c r="E59" s="8"/>
      <c r="F59" s="8">
        <v>1</v>
      </c>
      <c r="G59" s="8" t="s">
        <v>36</v>
      </c>
      <c r="H59" s="8" t="s">
        <v>36</v>
      </c>
    </row>
    <row r="60" spans="1:9" x14ac:dyDescent="0.25">
      <c r="A60" s="8" t="s">
        <v>156</v>
      </c>
      <c r="B60" s="9" t="s">
        <v>606</v>
      </c>
      <c r="C60" s="8" t="s">
        <v>545</v>
      </c>
      <c r="D60" s="8"/>
      <c r="E60" s="8"/>
      <c r="F60" s="8">
        <v>1</v>
      </c>
      <c r="G60" s="8" t="s">
        <v>36</v>
      </c>
      <c r="H60" s="8" t="s">
        <v>36</v>
      </c>
      <c r="I60" s="8"/>
    </row>
    <row r="61" spans="1:9" x14ac:dyDescent="0.25">
      <c r="A61" s="8" t="s">
        <v>156</v>
      </c>
      <c r="B61" s="9" t="s">
        <v>607</v>
      </c>
      <c r="C61" s="8"/>
      <c r="D61" s="8"/>
      <c r="E61" s="8"/>
      <c r="F61" s="8">
        <v>1</v>
      </c>
      <c r="G61" s="8" t="s">
        <v>8</v>
      </c>
      <c r="H61" s="8">
        <v>1</v>
      </c>
    </row>
    <row r="62" spans="1:9" x14ac:dyDescent="0.25">
      <c r="A62" s="8" t="s">
        <v>156</v>
      </c>
      <c r="B62" s="9" t="s">
        <v>608</v>
      </c>
      <c r="C62" s="8"/>
      <c r="D62" s="8"/>
      <c r="E62" s="8"/>
      <c r="F62" s="8">
        <v>1</v>
      </c>
      <c r="G62" s="8" t="s">
        <v>8</v>
      </c>
      <c r="H62" s="8">
        <v>1</v>
      </c>
    </row>
    <row r="63" spans="1:9" x14ac:dyDescent="0.25">
      <c r="A63" s="8" t="s">
        <v>156</v>
      </c>
      <c r="B63" s="9" t="s">
        <v>609</v>
      </c>
      <c r="C63" s="8"/>
      <c r="D63" s="8"/>
      <c r="E63" s="8"/>
      <c r="F63" s="8">
        <v>1</v>
      </c>
      <c r="G63" s="8" t="s">
        <v>8</v>
      </c>
      <c r="H63" s="8">
        <v>1</v>
      </c>
    </row>
    <row r="64" spans="1:9" x14ac:dyDescent="0.25">
      <c r="A64" s="8" t="s">
        <v>156</v>
      </c>
      <c r="B64" s="9" t="s">
        <v>610</v>
      </c>
      <c r="C64" s="8"/>
      <c r="D64" s="8"/>
      <c r="E64" s="8"/>
      <c r="F64" s="8">
        <v>2</v>
      </c>
      <c r="G64" s="8" t="s">
        <v>8</v>
      </c>
      <c r="H64" s="8">
        <v>1</v>
      </c>
    </row>
    <row r="65" spans="1:8" x14ac:dyDescent="0.25">
      <c r="A65" s="8" t="s">
        <v>156</v>
      </c>
      <c r="B65" s="9" t="s">
        <v>415</v>
      </c>
      <c r="C65" s="8"/>
      <c r="D65" s="8"/>
      <c r="E65" s="8"/>
      <c r="F65" s="8">
        <v>1</v>
      </c>
      <c r="G65" s="8" t="s">
        <v>8</v>
      </c>
      <c r="H65" s="8">
        <v>1</v>
      </c>
    </row>
    <row r="66" spans="1:8" x14ac:dyDescent="0.25">
      <c r="A66" s="8" t="s">
        <v>156</v>
      </c>
      <c r="B66" s="9" t="s">
        <v>611</v>
      </c>
      <c r="C66" s="8"/>
      <c r="D66" s="8"/>
      <c r="E66" s="8"/>
      <c r="F66" s="8">
        <v>1</v>
      </c>
      <c r="G66" s="8" t="s">
        <v>8</v>
      </c>
      <c r="H66" s="8">
        <v>1</v>
      </c>
    </row>
    <row r="67" spans="1:8" x14ac:dyDescent="0.25">
      <c r="A67" s="8" t="s">
        <v>156</v>
      </c>
      <c r="B67" s="9" t="s">
        <v>612</v>
      </c>
      <c r="C67" s="8"/>
      <c r="D67" s="8"/>
      <c r="E67" s="8"/>
      <c r="F67" s="8">
        <v>2</v>
      </c>
      <c r="G67" s="8" t="s">
        <v>8</v>
      </c>
      <c r="H67" s="8">
        <v>1</v>
      </c>
    </row>
    <row r="68" spans="1:8" x14ac:dyDescent="0.25">
      <c r="A68" s="8" t="s">
        <v>156</v>
      </c>
      <c r="B68" s="9" t="s">
        <v>613</v>
      </c>
      <c r="C68" s="8"/>
      <c r="D68" s="8"/>
      <c r="E68" s="8"/>
      <c r="F68" s="8">
        <v>3</v>
      </c>
      <c r="G68" s="8" t="s">
        <v>8</v>
      </c>
      <c r="H68" s="8">
        <v>1</v>
      </c>
    </row>
    <row r="69" spans="1:8" x14ac:dyDescent="0.25">
      <c r="A69" s="8" t="s">
        <v>614</v>
      </c>
      <c r="B69" s="9"/>
      <c r="C69" s="8"/>
      <c r="D69" s="8"/>
      <c r="E69" s="8"/>
      <c r="F69" s="8">
        <v>1</v>
      </c>
      <c r="G69" s="8" t="s">
        <v>8</v>
      </c>
      <c r="H69" s="8">
        <v>1</v>
      </c>
    </row>
    <row r="70" spans="1:8" x14ac:dyDescent="0.25">
      <c r="A70" s="8" t="s">
        <v>156</v>
      </c>
      <c r="B70" s="9" t="s">
        <v>615</v>
      </c>
      <c r="C70" s="8"/>
      <c r="D70" s="8"/>
      <c r="E70" s="8"/>
      <c r="F70" s="8">
        <v>4</v>
      </c>
      <c r="G70" s="8" t="s">
        <v>8</v>
      </c>
      <c r="H70" s="8">
        <v>1</v>
      </c>
    </row>
    <row r="71" spans="1:8" x14ac:dyDescent="0.25">
      <c r="A71" s="8" t="s">
        <v>156</v>
      </c>
      <c r="B71" s="9" t="s">
        <v>616</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617</v>
      </c>
      <c r="C73" s="8"/>
      <c r="D73" s="8"/>
      <c r="E73" s="8"/>
      <c r="F73" s="8">
        <v>1</v>
      </c>
      <c r="G73" s="8" t="s">
        <v>8</v>
      </c>
      <c r="H73" s="8">
        <v>1</v>
      </c>
    </row>
    <row r="74" spans="1:8" x14ac:dyDescent="0.25">
      <c r="A74" s="8" t="s">
        <v>156</v>
      </c>
      <c r="B74" s="12" t="s">
        <v>618</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9.75" customHeight="1"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643</v>
      </c>
      <c r="C81" s="8"/>
      <c r="D81" s="8"/>
      <c r="E81" s="8"/>
      <c r="F81" s="8">
        <v>1</v>
      </c>
      <c r="G81" s="8" t="s">
        <v>7</v>
      </c>
      <c r="H81" s="8" t="s">
        <v>231</v>
      </c>
    </row>
    <row r="82" spans="1:8" x14ac:dyDescent="0.25">
      <c r="A82" s="8" t="s">
        <v>509</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395</v>
      </c>
      <c r="B84" s="9"/>
      <c r="C84" s="8" t="s">
        <v>644</v>
      </c>
      <c r="D84" s="8"/>
      <c r="E84" s="8"/>
      <c r="F84" s="8">
        <v>5</v>
      </c>
      <c r="G84" s="8" t="s">
        <v>7</v>
      </c>
      <c r="H84" s="8" t="s">
        <v>231</v>
      </c>
    </row>
    <row r="85" spans="1:8" x14ac:dyDescent="0.25">
      <c r="A85" s="8" t="s">
        <v>395</v>
      </c>
      <c r="B85" s="9"/>
      <c r="C85" s="8" t="s">
        <v>397</v>
      </c>
      <c r="D85" s="8"/>
      <c r="E85" s="8"/>
      <c r="F85" s="8">
        <v>1</v>
      </c>
      <c r="G85" s="8" t="s">
        <v>7</v>
      </c>
      <c r="H85" s="8" t="s">
        <v>231</v>
      </c>
    </row>
    <row r="86" spans="1:8" x14ac:dyDescent="0.25">
      <c r="A86" s="8" t="s">
        <v>395</v>
      </c>
      <c r="B86" s="9"/>
      <c r="C86" s="8" t="s">
        <v>532</v>
      </c>
      <c r="D86" s="8"/>
      <c r="E86" s="8"/>
      <c r="F86" s="8">
        <v>1</v>
      </c>
      <c r="G86" s="8" t="s">
        <v>7</v>
      </c>
      <c r="H86" s="8" t="s">
        <v>231</v>
      </c>
    </row>
    <row r="87" spans="1:8" x14ac:dyDescent="0.25">
      <c r="A87" s="8" t="s">
        <v>647</v>
      </c>
      <c r="B87" s="9"/>
      <c r="C87" s="8"/>
      <c r="D87" s="8"/>
      <c r="E87" s="8"/>
      <c r="F87" s="8">
        <v>2</v>
      </c>
      <c r="G87" s="8" t="s">
        <v>7</v>
      </c>
      <c r="H87" s="8" t="s">
        <v>231</v>
      </c>
    </row>
    <row r="88" spans="1:8" x14ac:dyDescent="0.25">
      <c r="A88" s="8" t="s">
        <v>469</v>
      </c>
      <c r="B88" s="9" t="s">
        <v>494</v>
      </c>
      <c r="C88" s="8"/>
      <c r="D88" s="8"/>
      <c r="E88" s="8"/>
      <c r="F88" s="8">
        <v>1</v>
      </c>
      <c r="G88" s="8" t="s">
        <v>7</v>
      </c>
      <c r="H88" s="8" t="s">
        <v>231</v>
      </c>
    </row>
    <row r="89" spans="1:8" x14ac:dyDescent="0.25">
      <c r="A89" s="8" t="s">
        <v>258</v>
      </c>
      <c r="B89" s="9" t="s">
        <v>648</v>
      </c>
      <c r="C89" s="8"/>
      <c r="D89" s="8"/>
      <c r="E89" s="8"/>
      <c r="F89" s="8">
        <v>1</v>
      </c>
      <c r="G89" s="8" t="s">
        <v>7</v>
      </c>
      <c r="H89" s="8" t="s">
        <v>231</v>
      </c>
    </row>
    <row r="90" spans="1:8" x14ac:dyDescent="0.25">
      <c r="A90" s="8" t="s">
        <v>212</v>
      </c>
      <c r="B90" s="9"/>
      <c r="C90" s="8" t="s">
        <v>461</v>
      </c>
      <c r="D90" s="8"/>
      <c r="E90" s="8">
        <v>173865</v>
      </c>
      <c r="F90" s="8">
        <v>1</v>
      </c>
      <c r="G90" s="8" t="s">
        <v>7</v>
      </c>
      <c r="H90" s="8" t="s">
        <v>231</v>
      </c>
    </row>
    <row r="91" spans="1:8" x14ac:dyDescent="0.25">
      <c r="A91" t="s">
        <v>193</v>
      </c>
      <c r="B91" s="9" t="s">
        <v>649</v>
      </c>
      <c r="C91" s="8"/>
      <c r="D91" s="8" t="s">
        <v>650</v>
      </c>
      <c r="E91" s="8">
        <v>27309</v>
      </c>
      <c r="F91" s="8">
        <v>1</v>
      </c>
      <c r="G91" s="8" t="s">
        <v>7</v>
      </c>
      <c r="H91" s="8" t="s">
        <v>231</v>
      </c>
    </row>
    <row r="92" spans="1:8" x14ac:dyDescent="0.25">
      <c r="A92" s="8" t="s">
        <v>217</v>
      </c>
      <c r="B92" s="9"/>
      <c r="C92" s="8"/>
      <c r="D92" s="8"/>
      <c r="E92" s="8" t="s">
        <v>651</v>
      </c>
      <c r="F92" s="8">
        <v>1</v>
      </c>
      <c r="G92" s="8" t="s">
        <v>7</v>
      </c>
      <c r="H92" s="8" t="s">
        <v>231</v>
      </c>
    </row>
    <row r="93" spans="1:8" x14ac:dyDescent="0.25">
      <c r="A93" s="8" t="s">
        <v>217</v>
      </c>
      <c r="B93" s="9"/>
      <c r="C93" s="8"/>
      <c r="D93" s="8"/>
      <c r="E93" s="8" t="s">
        <v>652</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593</v>
      </c>
      <c r="C96" s="8" t="s">
        <v>653</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O4:O46" xr:uid="{9570069C-680E-43F0-A274-6FF141815118}">
      <formula1>INDEX(Medidas,0,MATCH(OFFSET(INDIRECT(ADDRESS(ROW(), COLUMN())),0,-1),categoriasDeMedidas,0))</formula1>
    </dataValidation>
    <dataValidation type="list" allowBlank="1" showInputMessage="1" showErrorMessage="1" sqref="L1:N3 L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P1:P25 P47:P1048576" xr:uid="{9B51F6F7-D609-46BB-8F82-8FFECADB6CB1}">
      <formula1>$T:$T</formula1>
    </dataValidation>
    <dataValidation type="list" allowBlank="1" showInputMessage="1" showErrorMessage="1" sqref="L4:L46" xr:uid="{BC68B347-5A27-4B20-BF34-174D9602D296}">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J1:J22 J24:J27 J34:J1048576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I3" workbookViewId="0">
      <selection activeCell="P5" sqref="P5"/>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6" t="s">
        <v>0</v>
      </c>
      <c r="B1" s="7" t="s">
        <v>1</v>
      </c>
      <c r="C1" s="6" t="s">
        <v>2</v>
      </c>
      <c r="D1" s="6" t="s">
        <v>3</v>
      </c>
      <c r="E1" s="6" t="s">
        <v>4</v>
      </c>
      <c r="F1" s="6" t="s">
        <v>240</v>
      </c>
      <c r="G1" s="6" t="s">
        <v>13</v>
      </c>
      <c r="H1" s="6" t="s">
        <v>232</v>
      </c>
    </row>
    <row r="2" spans="1:26" x14ac:dyDescent="0.25">
      <c r="A2" s="8" t="s">
        <v>116</v>
      </c>
      <c r="B2" s="9"/>
      <c r="C2" s="8" t="s">
        <v>390</v>
      </c>
      <c r="D2" s="8"/>
      <c r="E2" s="8"/>
      <c r="F2" s="8">
        <v>1</v>
      </c>
      <c r="G2" s="8" t="s">
        <v>8</v>
      </c>
      <c r="H2" s="8">
        <v>1</v>
      </c>
    </row>
    <row r="3" spans="1:26" x14ac:dyDescent="0.25">
      <c r="A3" s="8" t="s">
        <v>375</v>
      </c>
      <c r="B3" s="9" t="s">
        <v>376</v>
      </c>
      <c r="C3" s="8"/>
      <c r="D3" s="8"/>
      <c r="E3" s="8"/>
      <c r="F3" s="8">
        <v>4</v>
      </c>
      <c r="G3" s="8" t="s">
        <v>8</v>
      </c>
      <c r="H3" s="8">
        <v>1</v>
      </c>
      <c r="J3" t="s">
        <v>0</v>
      </c>
      <c r="K3" t="s">
        <v>16</v>
      </c>
      <c r="L3" t="s">
        <v>2</v>
      </c>
      <c r="M3" s="6" t="s">
        <v>3</v>
      </c>
      <c r="N3" s="6" t="s">
        <v>4</v>
      </c>
      <c r="O3" t="s">
        <v>18</v>
      </c>
      <c r="P3" t="s">
        <v>14</v>
      </c>
      <c r="R3" t="s">
        <v>28</v>
      </c>
      <c r="T3" s="13" t="s">
        <v>230</v>
      </c>
      <c r="U3" s="13"/>
      <c r="V3" s="13"/>
      <c r="W3" s="13"/>
      <c r="X3" s="13"/>
      <c r="Y3" s="13"/>
    </row>
    <row r="4" spans="1:26" x14ac:dyDescent="0.25">
      <c r="A4" s="8" t="s">
        <v>375</v>
      </c>
      <c r="B4" s="9" t="s">
        <v>377</v>
      </c>
      <c r="C4" s="8"/>
      <c r="D4" s="8"/>
      <c r="E4" s="8"/>
      <c r="F4" s="8">
        <v>1</v>
      </c>
      <c r="G4" s="8" t="s">
        <v>8</v>
      </c>
      <c r="H4" s="8">
        <v>1</v>
      </c>
      <c r="J4" t="s">
        <v>12</v>
      </c>
      <c r="K4" t="s">
        <v>671</v>
      </c>
      <c r="M4" t="s">
        <v>670</v>
      </c>
      <c r="N4" t="s">
        <v>672</v>
      </c>
      <c r="O4">
        <v>1</v>
      </c>
      <c r="P4" t="s">
        <v>261</v>
      </c>
      <c r="R4" t="s">
        <v>268</v>
      </c>
      <c r="T4" t="s">
        <v>8</v>
      </c>
      <c r="U4" t="s">
        <v>5</v>
      </c>
      <c r="V4" t="s">
        <v>6</v>
      </c>
      <c r="W4" t="s">
        <v>9</v>
      </c>
      <c r="X4" t="s">
        <v>10</v>
      </c>
      <c r="Y4" t="s">
        <v>257</v>
      </c>
      <c r="Z4" t="s">
        <v>7</v>
      </c>
    </row>
    <row r="5" spans="1:26" x14ac:dyDescent="0.25">
      <c r="A5" s="8" t="s">
        <v>378</v>
      </c>
      <c r="B5" s="9" t="s">
        <v>379</v>
      </c>
      <c r="C5" s="8"/>
      <c r="D5" s="8"/>
      <c r="E5" s="8"/>
      <c r="F5" s="8">
        <v>7</v>
      </c>
      <c r="G5" s="8" t="s">
        <v>8</v>
      </c>
      <c r="H5" s="8">
        <v>1</v>
      </c>
      <c r="J5" t="s">
        <v>673</v>
      </c>
      <c r="K5" t="s">
        <v>262</v>
      </c>
      <c r="O5">
        <v>2</v>
      </c>
      <c r="P5" t="s">
        <v>261</v>
      </c>
      <c r="R5" t="s">
        <v>272</v>
      </c>
      <c r="T5">
        <v>1</v>
      </c>
      <c r="U5">
        <v>1</v>
      </c>
      <c r="V5">
        <v>1</v>
      </c>
      <c r="W5">
        <v>1</v>
      </c>
      <c r="X5">
        <v>1</v>
      </c>
      <c r="Y5">
        <v>1</v>
      </c>
      <c r="Z5">
        <v>1</v>
      </c>
    </row>
    <row r="6" spans="1:26" x14ac:dyDescent="0.25">
      <c r="A6" s="8" t="s">
        <v>154</v>
      </c>
      <c r="B6" s="9" t="s">
        <v>155</v>
      </c>
      <c r="C6" s="8"/>
      <c r="D6" s="8"/>
      <c r="E6" s="8"/>
      <c r="F6" s="8">
        <v>1</v>
      </c>
      <c r="G6" s="8" t="s">
        <v>8</v>
      </c>
      <c r="H6" s="8">
        <v>1</v>
      </c>
      <c r="J6" t="s">
        <v>12</v>
      </c>
      <c r="K6" t="s">
        <v>674</v>
      </c>
      <c r="M6" t="s">
        <v>670</v>
      </c>
      <c r="N6" t="s">
        <v>675</v>
      </c>
      <c r="O6">
        <v>1</v>
      </c>
      <c r="P6" t="s">
        <v>263</v>
      </c>
      <c r="R6" t="s">
        <v>274</v>
      </c>
      <c r="T6">
        <v>2</v>
      </c>
      <c r="U6">
        <v>2</v>
      </c>
      <c r="X6" t="s">
        <v>401</v>
      </c>
    </row>
    <row r="7" spans="1:26" x14ac:dyDescent="0.25">
      <c r="A7" s="8" t="s">
        <v>53</v>
      </c>
      <c r="B7" s="9" t="s">
        <v>238</v>
      </c>
      <c r="C7" s="8"/>
      <c r="D7" s="8"/>
      <c r="E7" s="8"/>
      <c r="F7" s="8">
        <v>8</v>
      </c>
      <c r="G7" s="8" t="s">
        <v>8</v>
      </c>
      <c r="H7" s="8">
        <v>2</v>
      </c>
      <c r="J7" t="s">
        <v>673</v>
      </c>
      <c r="K7" t="s">
        <v>264</v>
      </c>
      <c r="O7">
        <v>2</v>
      </c>
      <c r="P7" t="s">
        <v>263</v>
      </c>
      <c r="R7" t="s">
        <v>352</v>
      </c>
      <c r="T7">
        <v>3</v>
      </c>
    </row>
    <row r="8" spans="1:26" x14ac:dyDescent="0.25">
      <c r="A8" s="8" t="s">
        <v>381</v>
      </c>
      <c r="B8" s="9" t="s">
        <v>382</v>
      </c>
      <c r="C8" s="8"/>
      <c r="D8" s="8"/>
      <c r="E8" s="8">
        <v>10023961</v>
      </c>
      <c r="F8" s="8">
        <v>1</v>
      </c>
      <c r="G8" s="8" t="s">
        <v>8</v>
      </c>
      <c r="H8" s="8">
        <v>2</v>
      </c>
      <c r="J8" t="s">
        <v>673</v>
      </c>
      <c r="K8" t="s">
        <v>262</v>
      </c>
      <c r="O8">
        <v>2</v>
      </c>
      <c r="P8" t="s">
        <v>263</v>
      </c>
      <c r="R8" t="s">
        <v>353</v>
      </c>
    </row>
    <row r="9" spans="1:26" x14ac:dyDescent="0.25">
      <c r="A9" s="8" t="s">
        <v>394</v>
      </c>
      <c r="B9" s="9"/>
      <c r="C9" s="8"/>
      <c r="D9" s="8"/>
      <c r="E9" s="8"/>
      <c r="F9" s="8">
        <v>1</v>
      </c>
      <c r="G9" s="8" t="s">
        <v>8</v>
      </c>
      <c r="H9" s="8">
        <v>2</v>
      </c>
      <c r="J9" t="s">
        <v>12</v>
      </c>
      <c r="K9" t="s">
        <v>677</v>
      </c>
      <c r="M9" t="s">
        <v>676</v>
      </c>
      <c r="N9">
        <v>580426</v>
      </c>
      <c r="O9">
        <v>1</v>
      </c>
      <c r="P9" t="s">
        <v>268</v>
      </c>
      <c r="R9" t="s">
        <v>348</v>
      </c>
    </row>
    <row r="10" spans="1:26"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680</v>
      </c>
      <c r="K10" t="s">
        <v>678</v>
      </c>
      <c r="M10" t="s">
        <v>679</v>
      </c>
      <c r="O10">
        <v>2</v>
      </c>
      <c r="P10" t="s">
        <v>268</v>
      </c>
      <c r="R10" t="s">
        <v>261</v>
      </c>
    </row>
    <row r="11" spans="1:26" ht="60" x14ac:dyDescent="0.25">
      <c r="A11" s="8" t="s">
        <v>92</v>
      </c>
      <c r="B11" s="9" t="str">
        <f>bolso("Cajon de hazmat 2",Table69[] )</f>
        <v xml:space="preserve">Cajon de hazmat 2 Contiene:  Traje de aproximacion clase "A" x1,  Traje de aproximacion clase "C" x2, </v>
      </c>
      <c r="C11" s="8"/>
      <c r="D11" s="8"/>
      <c r="E11" s="8"/>
      <c r="F11" s="8">
        <v>1</v>
      </c>
      <c r="G11" s="8" t="s">
        <v>8</v>
      </c>
      <c r="H11" s="8">
        <v>3</v>
      </c>
      <c r="J11" t="s">
        <v>681</v>
      </c>
      <c r="K11" t="s">
        <v>683</v>
      </c>
      <c r="M11" t="s">
        <v>682</v>
      </c>
      <c r="N11" t="s">
        <v>684</v>
      </c>
      <c r="O11">
        <v>2</v>
      </c>
      <c r="P11" t="s">
        <v>268</v>
      </c>
      <c r="R11" t="s">
        <v>263</v>
      </c>
    </row>
    <row r="12" spans="1:26" ht="30" x14ac:dyDescent="0.25">
      <c r="A12" s="8" t="s">
        <v>92</v>
      </c>
      <c r="B12" s="9" t="str">
        <f>bolso("Cajon de hazmat 3",Table69[] )</f>
        <v xml:space="preserve">Cajon de hazmat 3 Contiene:  Traje de aproximacion clase "A" x1, </v>
      </c>
      <c r="C12" s="8"/>
      <c r="D12" s="8"/>
      <c r="E12" s="8"/>
      <c r="F12" s="8">
        <v>1</v>
      </c>
      <c r="G12" s="8" t="s">
        <v>8</v>
      </c>
      <c r="H12" s="8">
        <v>3</v>
      </c>
      <c r="J12" t="s">
        <v>156</v>
      </c>
      <c r="K12" t="s">
        <v>269</v>
      </c>
      <c r="O12">
        <v>2</v>
      </c>
      <c r="P12" t="s">
        <v>268</v>
      </c>
      <c r="R12" t="s">
        <v>270</v>
      </c>
    </row>
    <row r="13" spans="1:26" x14ac:dyDescent="0.25">
      <c r="A13" s="8" t="s">
        <v>392</v>
      </c>
      <c r="B13" s="9" t="s">
        <v>393</v>
      </c>
      <c r="C13" s="8"/>
      <c r="D13" s="8"/>
      <c r="E13" s="8"/>
      <c r="F13" s="8">
        <v>1</v>
      </c>
      <c r="G13" s="8" t="s">
        <v>8</v>
      </c>
      <c r="H13" s="8">
        <v>3</v>
      </c>
      <c r="J13" t="s">
        <v>12</v>
      </c>
      <c r="K13" t="s">
        <v>685</v>
      </c>
      <c r="M13" t="s">
        <v>676</v>
      </c>
      <c r="N13">
        <v>959421</v>
      </c>
      <c r="O13">
        <v>1</v>
      </c>
      <c r="P13" t="s">
        <v>270</v>
      </c>
      <c r="R13" t="s">
        <v>357</v>
      </c>
    </row>
    <row r="14" spans="1:26" x14ac:dyDescent="0.25">
      <c r="A14" s="8" t="s">
        <v>392</v>
      </c>
      <c r="B14" s="9"/>
      <c r="C14" s="8"/>
      <c r="D14" s="8"/>
      <c r="E14" s="8"/>
      <c r="F14" s="8">
        <v>2</v>
      </c>
      <c r="G14" s="8" t="s">
        <v>8</v>
      </c>
      <c r="H14" s="8">
        <v>3</v>
      </c>
      <c r="J14" t="s">
        <v>680</v>
      </c>
      <c r="K14" t="s">
        <v>678</v>
      </c>
      <c r="M14" t="s">
        <v>679</v>
      </c>
      <c r="O14">
        <v>1</v>
      </c>
      <c r="P14" t="s">
        <v>270</v>
      </c>
      <c r="R14" t="s">
        <v>275</v>
      </c>
    </row>
    <row r="15" spans="1:26" x14ac:dyDescent="0.25">
      <c r="A15" t="s">
        <v>386</v>
      </c>
      <c r="B15" s="9"/>
      <c r="C15" s="8"/>
      <c r="D15" s="8"/>
      <c r="E15" s="8"/>
      <c r="F15" s="8">
        <v>2</v>
      </c>
      <c r="G15" s="8" t="s">
        <v>8</v>
      </c>
      <c r="H15" s="8">
        <v>3</v>
      </c>
      <c r="J15" t="s">
        <v>156</v>
      </c>
      <c r="K15" t="s">
        <v>19</v>
      </c>
      <c r="O15">
        <v>1</v>
      </c>
      <c r="P15" t="s">
        <v>272</v>
      </c>
      <c r="R15" t="s">
        <v>280</v>
      </c>
    </row>
    <row r="16" spans="1:26" x14ac:dyDescent="0.25">
      <c r="A16" t="s">
        <v>90</v>
      </c>
      <c r="B16" s="9" t="s">
        <v>385</v>
      </c>
      <c r="C16" s="8"/>
      <c r="D16" s="8"/>
      <c r="E16" s="8"/>
      <c r="F16" s="8">
        <v>2</v>
      </c>
      <c r="G16" s="8" t="s">
        <v>8</v>
      </c>
      <c r="H16" s="8">
        <v>3</v>
      </c>
      <c r="J16" t="s">
        <v>156</v>
      </c>
      <c r="K16" t="s">
        <v>273</v>
      </c>
      <c r="O16">
        <v>1</v>
      </c>
      <c r="P16" t="s">
        <v>272</v>
      </c>
      <c r="R16" t="s">
        <v>367</v>
      </c>
    </row>
    <row r="17" spans="1:18" x14ac:dyDescent="0.25">
      <c r="A17" s="8" t="s">
        <v>418</v>
      </c>
      <c r="B17" s="9" t="s">
        <v>420</v>
      </c>
      <c r="C17" s="8"/>
      <c r="D17" s="8"/>
      <c r="E17" s="8" t="s">
        <v>419</v>
      </c>
      <c r="F17" s="8">
        <v>1</v>
      </c>
      <c r="G17" s="8" t="s">
        <v>9</v>
      </c>
      <c r="H17" s="8">
        <v>1</v>
      </c>
      <c r="J17" t="s">
        <v>156</v>
      </c>
      <c r="K17" t="s">
        <v>20</v>
      </c>
      <c r="O17">
        <v>1</v>
      </c>
      <c r="P17" t="s">
        <v>272</v>
      </c>
      <c r="R17" t="s">
        <v>387</v>
      </c>
    </row>
    <row r="18" spans="1:18" ht="30" x14ac:dyDescent="0.25">
      <c r="A18" s="8" t="s">
        <v>151</v>
      </c>
      <c r="B18" s="9" t="s">
        <v>330</v>
      </c>
      <c r="C18" s="8" t="s">
        <v>332</v>
      </c>
      <c r="D18" s="8"/>
      <c r="E18" s="8"/>
      <c r="F18" s="8">
        <v>1</v>
      </c>
      <c r="G18" s="8" t="s">
        <v>9</v>
      </c>
      <c r="H18" s="8">
        <v>1</v>
      </c>
      <c r="J18" t="s">
        <v>156</v>
      </c>
      <c r="K18" t="s">
        <v>19</v>
      </c>
      <c r="O18">
        <v>1</v>
      </c>
      <c r="P18" t="s">
        <v>274</v>
      </c>
      <c r="R18" t="s">
        <v>388</v>
      </c>
    </row>
    <row r="19" spans="1:18" ht="30" x14ac:dyDescent="0.25">
      <c r="A19" s="8" t="s">
        <v>151</v>
      </c>
      <c r="B19" s="9" t="s">
        <v>331</v>
      </c>
      <c r="C19" s="8" t="s">
        <v>333</v>
      </c>
      <c r="D19" s="8"/>
      <c r="E19" s="8"/>
      <c r="F19" s="8">
        <v>1</v>
      </c>
      <c r="G19" s="8" t="s">
        <v>9</v>
      </c>
      <c r="H19" s="8">
        <v>1</v>
      </c>
      <c r="J19" t="s">
        <v>156</v>
      </c>
      <c r="K19" t="s">
        <v>20</v>
      </c>
      <c r="O19">
        <v>1</v>
      </c>
      <c r="P19" t="s">
        <v>274</v>
      </c>
      <c r="R19" t="s">
        <v>389</v>
      </c>
    </row>
    <row r="20" spans="1:18" ht="45" x14ac:dyDescent="0.25">
      <c r="A20" s="8" t="s">
        <v>151</v>
      </c>
      <c r="B20" s="9" t="s">
        <v>334</v>
      </c>
      <c r="C20" s="8" t="s">
        <v>335</v>
      </c>
      <c r="D20" s="8"/>
      <c r="E20" s="8"/>
      <c r="F20" s="8">
        <v>1</v>
      </c>
      <c r="G20" s="8" t="s">
        <v>9</v>
      </c>
      <c r="H20" s="8">
        <v>1</v>
      </c>
      <c r="J20" t="s">
        <v>686</v>
      </c>
      <c r="K20" t="s">
        <v>276</v>
      </c>
      <c r="O20">
        <v>1</v>
      </c>
      <c r="P20" t="s">
        <v>275</v>
      </c>
      <c r="R20" t="s">
        <v>368</v>
      </c>
    </row>
    <row r="21" spans="1:18" ht="30" x14ac:dyDescent="0.25">
      <c r="A21" s="8" t="s">
        <v>151</v>
      </c>
      <c r="B21" s="9" t="s">
        <v>336</v>
      </c>
      <c r="C21" s="8" t="s">
        <v>337</v>
      </c>
      <c r="D21" s="8"/>
      <c r="E21" s="8"/>
      <c r="F21" s="8">
        <v>1</v>
      </c>
      <c r="G21" s="8" t="s">
        <v>9</v>
      </c>
      <c r="H21" s="8">
        <v>1</v>
      </c>
      <c r="J21" t="s">
        <v>686</v>
      </c>
      <c r="K21" t="s">
        <v>277</v>
      </c>
      <c r="O21">
        <v>1</v>
      </c>
      <c r="P21" t="s">
        <v>275</v>
      </c>
      <c r="R21" t="s">
        <v>370</v>
      </c>
    </row>
    <row r="22" spans="1:18" ht="30" x14ac:dyDescent="0.25">
      <c r="A22" s="8" t="s">
        <v>151</v>
      </c>
      <c r="B22" s="9" t="s">
        <v>338</v>
      </c>
      <c r="C22" s="8" t="s">
        <v>339</v>
      </c>
      <c r="D22" s="8"/>
      <c r="E22" s="8"/>
      <c r="F22" s="8">
        <v>1</v>
      </c>
      <c r="G22" s="8" t="s">
        <v>9</v>
      </c>
      <c r="H22" s="8">
        <v>1</v>
      </c>
      <c r="J22" t="s">
        <v>686</v>
      </c>
      <c r="K22" t="s">
        <v>278</v>
      </c>
      <c r="O22">
        <v>1</v>
      </c>
      <c r="P22" t="s">
        <v>275</v>
      </c>
      <c r="R22" t="s">
        <v>404</v>
      </c>
    </row>
    <row r="23" spans="1:18" ht="45" x14ac:dyDescent="0.25">
      <c r="A23" s="8" t="s">
        <v>151</v>
      </c>
      <c r="B23" s="9" t="s">
        <v>340</v>
      </c>
      <c r="C23" s="8" t="s">
        <v>341</v>
      </c>
      <c r="D23" s="8"/>
      <c r="E23" s="8"/>
      <c r="F23" s="8">
        <v>1</v>
      </c>
      <c r="G23" s="8" t="s">
        <v>9</v>
      </c>
      <c r="H23" s="8">
        <v>1</v>
      </c>
      <c r="J23" t="s">
        <v>686</v>
      </c>
      <c r="K23" t="s">
        <v>279</v>
      </c>
      <c r="O23">
        <v>1</v>
      </c>
      <c r="P23" t="s">
        <v>275</v>
      </c>
      <c r="R23" t="s">
        <v>430</v>
      </c>
    </row>
    <row r="24" spans="1:18" x14ac:dyDescent="0.25">
      <c r="A24" s="8" t="s">
        <v>151</v>
      </c>
      <c r="B24" s="9" t="s">
        <v>344</v>
      </c>
      <c r="C24" s="8" t="s">
        <v>345</v>
      </c>
      <c r="D24" s="8"/>
      <c r="E24" s="8"/>
      <c r="F24" s="8">
        <v>1</v>
      </c>
      <c r="G24" s="8" t="s">
        <v>9</v>
      </c>
      <c r="H24" s="8">
        <v>1</v>
      </c>
      <c r="J24" t="s">
        <v>686</v>
      </c>
      <c r="K24" t="s">
        <v>281</v>
      </c>
      <c r="O24">
        <v>1</v>
      </c>
      <c r="P24" t="s">
        <v>280</v>
      </c>
      <c r="R24" t="s">
        <v>432</v>
      </c>
    </row>
    <row r="25" spans="1:18" x14ac:dyDescent="0.25">
      <c r="A25" s="8" t="s">
        <v>11</v>
      </c>
      <c r="B25" s="9" t="s">
        <v>417</v>
      </c>
      <c r="C25" s="8" t="s">
        <v>123</v>
      </c>
      <c r="D25" s="8"/>
      <c r="E25" s="8"/>
      <c r="F25" s="8">
        <v>2</v>
      </c>
      <c r="G25" s="8" t="s">
        <v>9</v>
      </c>
      <c r="H25" s="8">
        <v>1</v>
      </c>
      <c r="J25" t="s">
        <v>686</v>
      </c>
      <c r="K25" t="s">
        <v>282</v>
      </c>
      <c r="O25">
        <v>1</v>
      </c>
      <c r="P25" t="s">
        <v>280</v>
      </c>
      <c r="R25" t="s">
        <v>435</v>
      </c>
    </row>
    <row r="26" spans="1:18" ht="30" x14ac:dyDescent="0.25">
      <c r="A26" s="8" t="s">
        <v>151</v>
      </c>
      <c r="B26" s="9" t="s">
        <v>342</v>
      </c>
      <c r="C26" s="8"/>
      <c r="D26" s="8"/>
      <c r="E26" s="8"/>
      <c r="F26" s="8">
        <v>1</v>
      </c>
      <c r="G26" s="8" t="s">
        <v>9</v>
      </c>
      <c r="H26" s="8">
        <v>2</v>
      </c>
      <c r="J26" t="s">
        <v>686</v>
      </c>
      <c r="K26" t="s">
        <v>283</v>
      </c>
      <c r="O26">
        <v>2</v>
      </c>
      <c r="P26" t="s">
        <v>280</v>
      </c>
      <c r="R26" t="s">
        <v>437</v>
      </c>
    </row>
    <row r="27" spans="1:18" ht="30" x14ac:dyDescent="0.25">
      <c r="A27" s="8" t="s">
        <v>151</v>
      </c>
      <c r="B27" s="9" t="s">
        <v>343</v>
      </c>
      <c r="C27" s="8"/>
      <c r="D27" s="8"/>
      <c r="E27" s="8"/>
      <c r="F27" s="8">
        <v>1</v>
      </c>
      <c r="G27" s="8" t="s">
        <v>9</v>
      </c>
      <c r="H27" s="8">
        <v>2</v>
      </c>
      <c r="J27" t="s">
        <v>687</v>
      </c>
      <c r="K27" t="s">
        <v>284</v>
      </c>
      <c r="O27">
        <v>1</v>
      </c>
      <c r="P27" t="s">
        <v>280</v>
      </c>
      <c r="R27" t="s">
        <v>440</v>
      </c>
    </row>
    <row r="28" spans="1:18" x14ac:dyDescent="0.25">
      <c r="A28" s="8" t="s">
        <v>381</v>
      </c>
      <c r="B28" s="9" t="s">
        <v>422</v>
      </c>
      <c r="C28" s="8"/>
      <c r="D28" s="8" t="s">
        <v>421</v>
      </c>
      <c r="E28" s="8">
        <v>1043</v>
      </c>
      <c r="F28" s="8">
        <v>1</v>
      </c>
      <c r="G28" s="8" t="s">
        <v>9</v>
      </c>
      <c r="H28" s="8">
        <v>1</v>
      </c>
      <c r="J28" t="s">
        <v>687</v>
      </c>
      <c r="K28" t="s">
        <v>285</v>
      </c>
      <c r="O28">
        <v>5</v>
      </c>
      <c r="P28" t="s">
        <v>280</v>
      </c>
      <c r="R28" t="s">
        <v>29</v>
      </c>
    </row>
    <row r="29" spans="1:18" x14ac:dyDescent="0.25">
      <c r="A29" s="8" t="s">
        <v>381</v>
      </c>
      <c r="B29" s="9" t="s">
        <v>422</v>
      </c>
      <c r="C29" s="8"/>
      <c r="D29" s="8" t="s">
        <v>421</v>
      </c>
      <c r="E29" s="8">
        <v>4100</v>
      </c>
      <c r="F29" s="8">
        <v>1</v>
      </c>
      <c r="G29" s="8" t="s">
        <v>9</v>
      </c>
      <c r="H29" s="8">
        <v>1</v>
      </c>
      <c r="J29" t="s">
        <v>687</v>
      </c>
      <c r="K29" t="s">
        <v>286</v>
      </c>
      <c r="O29">
        <v>2</v>
      </c>
      <c r="P29" t="s">
        <v>280</v>
      </c>
    </row>
    <row r="30" spans="1:18" x14ac:dyDescent="0.25">
      <c r="A30" s="8" t="s">
        <v>381</v>
      </c>
      <c r="B30" s="9" t="s">
        <v>423</v>
      </c>
      <c r="C30" s="8"/>
      <c r="D30" s="8"/>
      <c r="E30" s="8"/>
      <c r="F30" s="8">
        <v>2</v>
      </c>
      <c r="G30" s="8" t="s">
        <v>9</v>
      </c>
      <c r="H30" s="8">
        <v>1</v>
      </c>
      <c r="J30" t="s">
        <v>687</v>
      </c>
      <c r="K30" t="s">
        <v>287</v>
      </c>
      <c r="O30">
        <v>1</v>
      </c>
      <c r="P30" t="s">
        <v>280</v>
      </c>
    </row>
    <row r="31" spans="1:18" x14ac:dyDescent="0.25">
      <c r="A31" s="8" t="s">
        <v>381</v>
      </c>
      <c r="B31" s="9" t="s">
        <v>424</v>
      </c>
      <c r="C31" s="8"/>
      <c r="D31" s="8" t="s">
        <v>354</v>
      </c>
      <c r="E31" s="8"/>
      <c r="F31" s="8">
        <v>2</v>
      </c>
      <c r="G31" s="8" t="s">
        <v>9</v>
      </c>
      <c r="H31" s="8">
        <v>1</v>
      </c>
      <c r="J31" t="s">
        <v>688</v>
      </c>
      <c r="K31" t="s">
        <v>326</v>
      </c>
      <c r="O31">
        <v>1</v>
      </c>
      <c r="P31" t="s">
        <v>352</v>
      </c>
    </row>
    <row r="32" spans="1:18" x14ac:dyDescent="0.25">
      <c r="A32" s="8" t="s">
        <v>381</v>
      </c>
      <c r="B32" s="9" t="s">
        <v>425</v>
      </c>
      <c r="C32" s="8"/>
      <c r="D32" s="8"/>
      <c r="E32" s="8"/>
      <c r="F32" s="8">
        <v>2</v>
      </c>
      <c r="G32" s="8" t="s">
        <v>9</v>
      </c>
      <c r="H32" s="8">
        <v>1</v>
      </c>
      <c r="J32" t="s">
        <v>688</v>
      </c>
      <c r="K32" t="s">
        <v>327</v>
      </c>
      <c r="O32">
        <v>1</v>
      </c>
      <c r="P32" t="s">
        <v>352</v>
      </c>
    </row>
    <row r="33" spans="1:16" x14ac:dyDescent="0.25">
      <c r="A33" s="8" t="s">
        <v>100</v>
      </c>
      <c r="B33" s="9" t="s">
        <v>360</v>
      </c>
      <c r="C33" s="8"/>
      <c r="D33" s="8" t="s">
        <v>354</v>
      </c>
      <c r="E33" s="8"/>
      <c r="F33" s="8">
        <v>3</v>
      </c>
      <c r="G33" s="8" t="s">
        <v>10</v>
      </c>
      <c r="H33" s="8">
        <v>1</v>
      </c>
      <c r="J33" t="s">
        <v>688</v>
      </c>
      <c r="K33" t="s">
        <v>328</v>
      </c>
      <c r="O33">
        <v>2</v>
      </c>
      <c r="P33" t="s">
        <v>352</v>
      </c>
    </row>
    <row r="34" spans="1:16"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688</v>
      </c>
      <c r="K34" t="s">
        <v>329</v>
      </c>
      <c r="O34">
        <v>2</v>
      </c>
      <c r="P34" t="s">
        <v>352</v>
      </c>
    </row>
    <row r="35" spans="1:16"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156</v>
      </c>
      <c r="K35" t="s">
        <v>349</v>
      </c>
      <c r="O35">
        <v>1</v>
      </c>
      <c r="P35" t="s">
        <v>348</v>
      </c>
    </row>
    <row r="36" spans="1:16" ht="30" x14ac:dyDescent="0.25">
      <c r="A36" s="8" t="s">
        <v>92</v>
      </c>
      <c r="B36" s="9" t="s">
        <v>355</v>
      </c>
      <c r="C36" s="8"/>
      <c r="D36" s="8"/>
      <c r="E36" s="8"/>
      <c r="F36" s="8">
        <v>1</v>
      </c>
      <c r="G36" s="8" t="s">
        <v>10</v>
      </c>
      <c r="H36" s="8">
        <v>1</v>
      </c>
      <c r="J36" t="s">
        <v>156</v>
      </c>
      <c r="K36" t="s">
        <v>350</v>
      </c>
      <c r="O36">
        <v>2</v>
      </c>
      <c r="P36" t="s">
        <v>348</v>
      </c>
    </row>
    <row r="37" spans="1:16" ht="45" x14ac:dyDescent="0.25">
      <c r="A37" s="8" t="s">
        <v>92</v>
      </c>
      <c r="B37" s="9" t="str">
        <f>bolso("Caja de cubre parantes",Table69[])</f>
        <v xml:space="preserve">Caja de cubre parantes Contiene:  Cubre parantes chico x6,  Cubre parantes grande x6, </v>
      </c>
      <c r="C37" s="8"/>
      <c r="D37" s="8" t="s">
        <v>354</v>
      </c>
      <c r="E37" s="8"/>
      <c r="F37" s="8">
        <v>1</v>
      </c>
      <c r="G37" s="8" t="s">
        <v>10</v>
      </c>
      <c r="H37" s="8">
        <v>1</v>
      </c>
      <c r="J37" t="s">
        <v>688</v>
      </c>
      <c r="K37" t="s">
        <v>326</v>
      </c>
      <c r="O37">
        <v>1</v>
      </c>
      <c r="P37" t="s">
        <v>353</v>
      </c>
    </row>
    <row r="38" spans="1:16" ht="45" x14ac:dyDescent="0.25">
      <c r="A38" s="8" t="s">
        <v>92</v>
      </c>
      <c r="B38" s="9" t="str">
        <f>bolso("Caja de seguridad en la escena",Table69[])</f>
        <v xml:space="preserve">Caja de seguridad en la escena Contiene:  lampara vial x4,  Lampara vial marca x1, </v>
      </c>
      <c r="C38" s="8"/>
      <c r="D38" s="8"/>
      <c r="E38" s="8"/>
      <c r="F38" s="8">
        <v>1</v>
      </c>
      <c r="G38" s="8" t="s">
        <v>10</v>
      </c>
      <c r="H38" s="8">
        <v>1</v>
      </c>
      <c r="J38" t="s">
        <v>688</v>
      </c>
      <c r="K38" t="s">
        <v>327</v>
      </c>
      <c r="O38">
        <v>1</v>
      </c>
      <c r="P38" t="s">
        <v>353</v>
      </c>
    </row>
    <row r="39" spans="1:16" ht="30" x14ac:dyDescent="0.25">
      <c r="A39" s="8" t="s">
        <v>92</v>
      </c>
      <c r="B39" s="9" t="str">
        <f>bolso("Cajon de tacos 1",Table69[])</f>
        <v xml:space="preserve">Cajon de tacos 1 Contiene:  Tacos varios de madera x12, </v>
      </c>
      <c r="C39" s="8"/>
      <c r="D39" s="8"/>
      <c r="E39" s="8"/>
      <c r="F39" s="8">
        <v>1</v>
      </c>
      <c r="G39" s="8" t="s">
        <v>10</v>
      </c>
      <c r="H39" s="8">
        <v>1</v>
      </c>
      <c r="J39" t="s">
        <v>689</v>
      </c>
      <c r="K39" t="s">
        <v>358</v>
      </c>
      <c r="O39">
        <v>6</v>
      </c>
      <c r="P39" t="s">
        <v>357</v>
      </c>
    </row>
    <row r="40" spans="1:16"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689</v>
      </c>
      <c r="K40" t="s">
        <v>359</v>
      </c>
      <c r="O40">
        <v>6</v>
      </c>
      <c r="P40" t="s">
        <v>357</v>
      </c>
    </row>
    <row r="41" spans="1:16" x14ac:dyDescent="0.25">
      <c r="A41" s="8" t="s">
        <v>362</v>
      </c>
      <c r="B41" s="9" t="s">
        <v>363</v>
      </c>
      <c r="C41" s="8"/>
      <c r="D41" s="8" t="s">
        <v>354</v>
      </c>
      <c r="E41" s="8">
        <v>58115</v>
      </c>
      <c r="F41" s="8">
        <v>1</v>
      </c>
      <c r="G41" s="8" t="s">
        <v>10</v>
      </c>
      <c r="H41" s="8">
        <v>1</v>
      </c>
      <c r="J41" t="s">
        <v>690</v>
      </c>
      <c r="K41" t="s">
        <v>691</v>
      </c>
      <c r="M41" t="s">
        <v>692</v>
      </c>
      <c r="O41">
        <v>4</v>
      </c>
      <c r="P41" t="s">
        <v>367</v>
      </c>
    </row>
    <row r="42" spans="1:16" x14ac:dyDescent="0.25">
      <c r="A42" s="8" t="s">
        <v>83</v>
      </c>
      <c r="B42" s="9" t="s">
        <v>363</v>
      </c>
      <c r="C42" s="8"/>
      <c r="D42" s="8" t="s">
        <v>354</v>
      </c>
      <c r="E42" s="8">
        <v>114947</v>
      </c>
      <c r="F42" s="8">
        <v>1</v>
      </c>
      <c r="G42" s="8" t="s">
        <v>10</v>
      </c>
      <c r="H42" s="8">
        <v>1</v>
      </c>
      <c r="J42" t="s">
        <v>690</v>
      </c>
      <c r="K42" t="s">
        <v>693</v>
      </c>
      <c r="M42" t="s">
        <v>694</v>
      </c>
      <c r="O42">
        <v>1</v>
      </c>
      <c r="P42" t="s">
        <v>367</v>
      </c>
    </row>
    <row r="43" spans="1:16" x14ac:dyDescent="0.25">
      <c r="A43" s="8" t="s">
        <v>242</v>
      </c>
      <c r="B43" s="9"/>
      <c r="C43" s="8"/>
      <c r="D43" s="8" t="s">
        <v>354</v>
      </c>
      <c r="E43" s="8"/>
      <c r="F43" s="8">
        <v>2</v>
      </c>
      <c r="G43" s="8" t="s">
        <v>10</v>
      </c>
      <c r="H43" s="8">
        <v>1</v>
      </c>
      <c r="J43" t="s">
        <v>695</v>
      </c>
      <c r="K43" t="s">
        <v>369</v>
      </c>
      <c r="O43">
        <v>12</v>
      </c>
      <c r="P43" t="s">
        <v>368</v>
      </c>
    </row>
    <row r="44" spans="1:16" x14ac:dyDescent="0.25">
      <c r="A44" s="8" t="s">
        <v>242</v>
      </c>
      <c r="B44" s="9"/>
      <c r="C44" s="8"/>
      <c r="D44" s="8" t="s">
        <v>356</v>
      </c>
      <c r="E44" s="8"/>
      <c r="F44" s="8">
        <v>2</v>
      </c>
      <c r="G44" s="8" t="s">
        <v>10</v>
      </c>
      <c r="H44" s="8">
        <v>1</v>
      </c>
      <c r="J44" t="s">
        <v>695</v>
      </c>
      <c r="K44" t="s">
        <v>371</v>
      </c>
      <c r="O44">
        <v>11</v>
      </c>
      <c r="P44" t="s">
        <v>370</v>
      </c>
    </row>
    <row r="45" spans="1:16" x14ac:dyDescent="0.25">
      <c r="A45" s="8" t="s">
        <v>242</v>
      </c>
      <c r="B45" s="9"/>
      <c r="C45" s="8"/>
      <c r="D45" s="8"/>
      <c r="E45" s="8"/>
      <c r="F45" s="8">
        <v>1</v>
      </c>
      <c r="G45" s="8" t="s">
        <v>10</v>
      </c>
      <c r="H45" s="8">
        <v>1</v>
      </c>
      <c r="J45" t="s">
        <v>695</v>
      </c>
      <c r="K45" t="s">
        <v>372</v>
      </c>
      <c r="O45">
        <v>5</v>
      </c>
      <c r="P45" t="s">
        <v>370</v>
      </c>
    </row>
    <row r="46" spans="1:16" ht="30" x14ac:dyDescent="0.25">
      <c r="A46" s="8" t="s">
        <v>80</v>
      </c>
      <c r="B46" s="9" t="s">
        <v>366</v>
      </c>
      <c r="C46" s="8"/>
      <c r="D46" s="8" t="s">
        <v>354</v>
      </c>
      <c r="E46" s="8">
        <v>122054</v>
      </c>
      <c r="F46" s="8">
        <v>1</v>
      </c>
      <c r="G46" s="8" t="s">
        <v>10</v>
      </c>
      <c r="H46" s="8">
        <v>1</v>
      </c>
      <c r="J46" t="s">
        <v>695</v>
      </c>
      <c r="K46" t="s">
        <v>373</v>
      </c>
      <c r="O46">
        <v>6</v>
      </c>
      <c r="P46" t="s">
        <v>370</v>
      </c>
    </row>
    <row r="47" spans="1:16" x14ac:dyDescent="0.25">
      <c r="A47" s="8" t="s">
        <v>346</v>
      </c>
      <c r="B47" s="9" t="s">
        <v>347</v>
      </c>
      <c r="C47" s="8"/>
      <c r="D47" s="8"/>
      <c r="E47" s="8"/>
      <c r="F47" s="8">
        <v>4</v>
      </c>
      <c r="G47" s="8" t="s">
        <v>10</v>
      </c>
      <c r="H47" s="8">
        <v>1</v>
      </c>
      <c r="J47" t="s">
        <v>90</v>
      </c>
      <c r="K47" t="s">
        <v>383</v>
      </c>
      <c r="O47">
        <v>8</v>
      </c>
      <c r="P47" t="s">
        <v>387</v>
      </c>
    </row>
    <row r="48" spans="1:16" x14ac:dyDescent="0.25">
      <c r="A48" s="8" t="s">
        <v>365</v>
      </c>
      <c r="B48" s="9" t="s">
        <v>363</v>
      </c>
      <c r="C48" s="8"/>
      <c r="D48" s="8" t="s">
        <v>354</v>
      </c>
      <c r="E48" s="8">
        <v>57523</v>
      </c>
      <c r="F48" s="8">
        <v>1</v>
      </c>
      <c r="G48" s="8" t="s">
        <v>10</v>
      </c>
      <c r="H48" s="8">
        <v>1</v>
      </c>
      <c r="J48" t="s">
        <v>90</v>
      </c>
      <c r="K48" t="s">
        <v>384</v>
      </c>
      <c r="O48">
        <v>3</v>
      </c>
      <c r="P48" t="s">
        <v>387</v>
      </c>
    </row>
    <row r="49" spans="1:16" x14ac:dyDescent="0.25">
      <c r="A49" s="8" t="s">
        <v>258</v>
      </c>
      <c r="B49" s="9" t="s">
        <v>351</v>
      </c>
      <c r="C49" s="8"/>
      <c r="D49" s="8"/>
      <c r="E49" s="8"/>
      <c r="F49" s="8">
        <v>1</v>
      </c>
      <c r="G49" s="8" t="s">
        <v>10</v>
      </c>
      <c r="H49" s="8">
        <v>1</v>
      </c>
      <c r="J49" t="s">
        <v>90</v>
      </c>
      <c r="K49" t="s">
        <v>384</v>
      </c>
      <c r="O49">
        <v>1</v>
      </c>
      <c r="P49" t="s">
        <v>388</v>
      </c>
    </row>
    <row r="50" spans="1:16" x14ac:dyDescent="0.25">
      <c r="A50" s="8" t="s">
        <v>95</v>
      </c>
      <c r="B50" s="9" t="s">
        <v>364</v>
      </c>
      <c r="C50" s="8"/>
      <c r="D50" s="8" t="s">
        <v>354</v>
      </c>
      <c r="E50" s="8" t="s">
        <v>361</v>
      </c>
      <c r="F50" s="8">
        <v>1</v>
      </c>
      <c r="G50" s="8" t="s">
        <v>10</v>
      </c>
      <c r="H50" s="8">
        <v>1</v>
      </c>
      <c r="J50" t="s">
        <v>90</v>
      </c>
      <c r="K50" t="s">
        <v>383</v>
      </c>
      <c r="O50">
        <v>2</v>
      </c>
      <c r="P50" t="s">
        <v>388</v>
      </c>
    </row>
    <row r="51" spans="1:16" x14ac:dyDescent="0.25">
      <c r="A51" s="8" t="s">
        <v>95</v>
      </c>
      <c r="B51" s="9" t="s">
        <v>363</v>
      </c>
      <c r="C51" s="8"/>
      <c r="D51" s="8" t="s">
        <v>354</v>
      </c>
      <c r="E51" s="8">
        <v>54864</v>
      </c>
      <c r="F51" s="8">
        <v>1</v>
      </c>
      <c r="G51" s="8" t="s">
        <v>10</v>
      </c>
      <c r="H51" s="8">
        <v>1</v>
      </c>
      <c r="J51" t="s">
        <v>90</v>
      </c>
      <c r="K51" t="s">
        <v>384</v>
      </c>
      <c r="O51">
        <v>1</v>
      </c>
      <c r="P51" t="s">
        <v>389</v>
      </c>
    </row>
    <row r="52" spans="1:16" x14ac:dyDescent="0.25">
      <c r="A52" s="8" t="s">
        <v>95</v>
      </c>
      <c r="B52" s="9" t="s">
        <v>363</v>
      </c>
      <c r="C52" s="8"/>
      <c r="D52" s="8" t="s">
        <v>354</v>
      </c>
      <c r="E52" s="8">
        <v>88310</v>
      </c>
      <c r="F52" s="8">
        <v>1</v>
      </c>
      <c r="G52" s="8" t="s">
        <v>10</v>
      </c>
      <c r="H52" s="8">
        <v>1</v>
      </c>
      <c r="J52" t="s">
        <v>695</v>
      </c>
      <c r="K52" t="s">
        <v>405</v>
      </c>
      <c r="O52">
        <v>9</v>
      </c>
      <c r="P52" t="s">
        <v>404</v>
      </c>
    </row>
    <row r="53" spans="1:16" x14ac:dyDescent="0.25">
      <c r="A53" s="8" t="s">
        <v>100</v>
      </c>
      <c r="B53" s="9" t="s">
        <v>414</v>
      </c>
      <c r="C53" s="8"/>
      <c r="D53" s="8"/>
      <c r="E53" s="8"/>
      <c r="F53" s="8">
        <v>1</v>
      </c>
      <c r="G53" s="8" t="s">
        <v>10</v>
      </c>
      <c r="H53" t="s">
        <v>401</v>
      </c>
      <c r="J53" t="s">
        <v>695</v>
      </c>
      <c r="K53" t="s">
        <v>406</v>
      </c>
      <c r="O53">
        <v>4</v>
      </c>
      <c r="P53" t="s">
        <v>404</v>
      </c>
    </row>
    <row r="54" spans="1:16" ht="45" x14ac:dyDescent="0.25">
      <c r="A54" s="8" t="s">
        <v>403</v>
      </c>
      <c r="B54" s="9" t="str">
        <f>bolso("Cajon de tacos 3",Table69[] )</f>
        <v xml:space="preserve">Cajon de tacos 3 Contiene:  Tacos grandes cuadrados x9,  Cuñas grandes x4,  Cuñas chicas x5, </v>
      </c>
      <c r="C54" s="8"/>
      <c r="D54" s="8"/>
      <c r="E54" s="8"/>
      <c r="F54" s="8">
        <v>1</v>
      </c>
      <c r="G54" s="8" t="s">
        <v>10</v>
      </c>
      <c r="H54" t="s">
        <v>401</v>
      </c>
      <c r="J54" t="s">
        <v>695</v>
      </c>
      <c r="K54" t="s">
        <v>407</v>
      </c>
      <c r="O54">
        <v>5</v>
      </c>
      <c r="P54" t="s">
        <v>404</v>
      </c>
    </row>
    <row r="55" spans="1:16" x14ac:dyDescent="0.25">
      <c r="A55" s="8" t="s">
        <v>346</v>
      </c>
      <c r="B55" s="9" t="s">
        <v>408</v>
      </c>
      <c r="C55" s="8"/>
      <c r="D55" s="8"/>
      <c r="E55" s="8"/>
      <c r="F55" s="8">
        <v>5</v>
      </c>
      <c r="G55" s="8" t="s">
        <v>10</v>
      </c>
      <c r="H55" t="s">
        <v>401</v>
      </c>
      <c r="J55" t="s">
        <v>192</v>
      </c>
      <c r="K55" t="s">
        <v>431</v>
      </c>
      <c r="O55">
        <v>2</v>
      </c>
      <c r="P55" t="s">
        <v>430</v>
      </c>
    </row>
    <row r="56" spans="1:16" x14ac:dyDescent="0.25">
      <c r="A56" s="8" t="s">
        <v>226</v>
      </c>
      <c r="B56" s="9" t="s">
        <v>409</v>
      </c>
      <c r="C56" s="8"/>
      <c r="D56" s="8" t="s">
        <v>410</v>
      </c>
      <c r="E56" s="8" t="s">
        <v>411</v>
      </c>
      <c r="F56" s="8">
        <v>1</v>
      </c>
      <c r="G56" s="8" t="s">
        <v>10</v>
      </c>
      <c r="H56" t="s">
        <v>401</v>
      </c>
      <c r="J56" t="s">
        <v>696</v>
      </c>
      <c r="K56" t="s">
        <v>433</v>
      </c>
      <c r="O56">
        <v>1</v>
      </c>
      <c r="P56" t="s">
        <v>432</v>
      </c>
    </row>
    <row r="57" spans="1:16" x14ac:dyDescent="0.25">
      <c r="A57" s="8" t="s">
        <v>226</v>
      </c>
      <c r="B57" s="9" t="s">
        <v>409</v>
      </c>
      <c r="C57" s="8"/>
      <c r="D57" s="8" t="s">
        <v>412</v>
      </c>
      <c r="E57" s="8" t="s">
        <v>413</v>
      </c>
      <c r="F57" s="8">
        <v>1</v>
      </c>
      <c r="G57" s="8" t="s">
        <v>10</v>
      </c>
      <c r="H57" t="s">
        <v>401</v>
      </c>
      <c r="J57" t="s">
        <v>696</v>
      </c>
      <c r="K57" t="s">
        <v>434</v>
      </c>
      <c r="O57">
        <v>1</v>
      </c>
      <c r="P57" t="s">
        <v>432</v>
      </c>
    </row>
    <row r="58" spans="1:16" x14ac:dyDescent="0.25">
      <c r="A58" s="8" t="s">
        <v>111</v>
      </c>
      <c r="B58" s="9" t="s">
        <v>402</v>
      </c>
      <c r="C58" s="8"/>
      <c r="D58" s="8"/>
      <c r="E58" s="8"/>
      <c r="F58" s="8">
        <v>4</v>
      </c>
      <c r="G58" s="8" t="s">
        <v>10</v>
      </c>
      <c r="H58" t="s">
        <v>401</v>
      </c>
      <c r="J58" t="s">
        <v>696</v>
      </c>
      <c r="K58" t="s">
        <v>436</v>
      </c>
      <c r="O58">
        <v>2</v>
      </c>
      <c r="P58" t="s">
        <v>435</v>
      </c>
    </row>
    <row r="59" spans="1:16" ht="45" x14ac:dyDescent="0.25">
      <c r="A59" s="8" t="s">
        <v>92</v>
      </c>
      <c r="B59" s="9" t="str">
        <f>bolso("Bolso de martillo demoledor",Table69[])</f>
        <v xml:space="preserve">Bolso de martillo demoledor Contiene:  Martillo demoledor 220v grande   x1,  Mecha x2, </v>
      </c>
      <c r="C59" s="8"/>
      <c r="D59" s="8"/>
      <c r="E59" s="8"/>
      <c r="F59" s="8">
        <v>1</v>
      </c>
      <c r="G59" s="8" t="s">
        <v>257</v>
      </c>
      <c r="H59" s="8">
        <v>1</v>
      </c>
      <c r="J59" t="s">
        <v>696</v>
      </c>
      <c r="K59" t="s">
        <v>439</v>
      </c>
      <c r="O59">
        <v>1</v>
      </c>
      <c r="P59" t="s">
        <v>438</v>
      </c>
    </row>
    <row r="60" spans="1:16" ht="45" x14ac:dyDescent="0.25">
      <c r="A60" s="8" t="s">
        <v>92</v>
      </c>
      <c r="B60" s="9" t="str">
        <f>bolso("Bolso de rotomartillo",Table69[])</f>
        <v xml:space="preserve">Bolso de rotomartillo Contiene:  Rotomartillo 220v   x1,  Mecha sincel x2,  Mecha x2, </v>
      </c>
      <c r="C60" s="8"/>
      <c r="D60" s="8"/>
      <c r="E60" s="8"/>
      <c r="F60" s="8">
        <v>1</v>
      </c>
      <c r="G60" s="8" t="s">
        <v>257</v>
      </c>
      <c r="H60" s="8">
        <v>1</v>
      </c>
      <c r="J60" t="s">
        <v>619</v>
      </c>
      <c r="K60" t="s">
        <v>441</v>
      </c>
      <c r="O60">
        <v>4</v>
      </c>
      <c r="P60" t="s">
        <v>440</v>
      </c>
    </row>
    <row r="61" spans="1:16" ht="75" x14ac:dyDescent="0.25">
      <c r="A61" s="8" t="s">
        <v>92</v>
      </c>
      <c r="B61" s="9" t="str">
        <f>bolso("Bolso de amoladora",Table69[])</f>
        <v xml:space="preserve">Bolso de amoladora Contiene:  Amoladora electrica a bateria  x1,  Bateria  x2,  Cargador de bateria  x2,  Herramienta para cambio de disco de amoladora x2, </v>
      </c>
      <c r="C61" s="8"/>
      <c r="D61" s="8" t="s">
        <v>266</v>
      </c>
      <c r="E61" s="8"/>
      <c r="F61" s="8">
        <v>1</v>
      </c>
      <c r="G61" s="8" t="s">
        <v>257</v>
      </c>
      <c r="H61" s="8">
        <v>1</v>
      </c>
      <c r="J61" t="s">
        <v>221</v>
      </c>
      <c r="K61" t="s">
        <v>442</v>
      </c>
      <c r="O61">
        <v>1</v>
      </c>
      <c r="P61" t="s">
        <v>29</v>
      </c>
    </row>
    <row r="62" spans="1:16" ht="30" x14ac:dyDescent="0.25">
      <c r="A62" s="8" t="s">
        <v>92</v>
      </c>
      <c r="B62" s="9" t="str">
        <f>bolso("Bolso de sierra sable",Table69[])</f>
        <v xml:space="preserve">Bolso de sierra sable Contiene:  Sierra sable  x1,  Bateria  x1, </v>
      </c>
      <c r="C62" s="8"/>
      <c r="D62" s="8" t="s">
        <v>266</v>
      </c>
      <c r="E62" s="8"/>
      <c r="F62" s="8">
        <v>1</v>
      </c>
      <c r="G62" s="8" t="s">
        <v>257</v>
      </c>
      <c r="H62" s="8">
        <v>1</v>
      </c>
      <c r="J62" t="s">
        <v>221</v>
      </c>
      <c r="K62" t="s">
        <v>200</v>
      </c>
      <c r="O62">
        <v>1</v>
      </c>
      <c r="P62" t="s">
        <v>29</v>
      </c>
    </row>
    <row r="63" spans="1:16" ht="30" x14ac:dyDescent="0.25">
      <c r="A63" s="8" t="s">
        <v>92</v>
      </c>
      <c r="B63" s="9" t="str">
        <f>bolso("Bolso de carpintero 1",Table69[])</f>
        <v xml:space="preserve">Bolso de carpintero 1 Contiene:  Martillo x1,  Pinza x1,  Alicate x1, </v>
      </c>
      <c r="C63" s="8"/>
      <c r="D63" s="8"/>
      <c r="E63" s="8"/>
      <c r="F63" s="8">
        <v>1</v>
      </c>
      <c r="G63" s="8" t="s">
        <v>257</v>
      </c>
      <c r="H63" s="8">
        <v>1</v>
      </c>
      <c r="J63" t="s">
        <v>221</v>
      </c>
      <c r="K63" t="s">
        <v>443</v>
      </c>
      <c r="O63">
        <v>2</v>
      </c>
      <c r="P63" t="s">
        <v>29</v>
      </c>
    </row>
    <row r="64" spans="1:16" ht="30" x14ac:dyDescent="0.25">
      <c r="A64" s="8" t="s">
        <v>92</v>
      </c>
      <c r="B64" s="9" t="str">
        <f>bolso("Bolso de carpintero 2",Table69[])</f>
        <v xml:space="preserve">Bolso de carpintero 2 Contiene:  Martillo x1,  Alicate x1, </v>
      </c>
      <c r="C64" s="8"/>
      <c r="D64" s="8"/>
      <c r="E64" s="8"/>
      <c r="F64" s="8">
        <v>1</v>
      </c>
      <c r="G64" s="8" t="s">
        <v>257</v>
      </c>
      <c r="H64" s="8">
        <v>1</v>
      </c>
      <c r="J64" t="s">
        <v>221</v>
      </c>
      <c r="K64" t="s">
        <v>444</v>
      </c>
      <c r="O64">
        <v>2</v>
      </c>
      <c r="P64" t="s">
        <v>29</v>
      </c>
    </row>
    <row r="65" spans="1:16"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221</v>
      </c>
      <c r="K65" t="s">
        <v>19</v>
      </c>
      <c r="O65">
        <v>1</v>
      </c>
      <c r="P65" t="s">
        <v>29</v>
      </c>
    </row>
    <row r="66" spans="1:16"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221</v>
      </c>
      <c r="K66" t="s">
        <v>445</v>
      </c>
      <c r="O66">
        <v>1</v>
      </c>
      <c r="P66" t="s">
        <v>29</v>
      </c>
    </row>
    <row r="67" spans="1:16"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221</v>
      </c>
      <c r="K67" t="s">
        <v>446</v>
      </c>
      <c r="O67">
        <v>3</v>
      </c>
      <c r="P67" t="s">
        <v>29</v>
      </c>
    </row>
    <row r="68" spans="1:16" x14ac:dyDescent="0.25">
      <c r="A68" s="8" t="s">
        <v>156</v>
      </c>
      <c r="B68" s="9" t="s">
        <v>415</v>
      </c>
      <c r="C68" s="8" t="s">
        <v>158</v>
      </c>
      <c r="D68" s="8"/>
      <c r="E68" s="8"/>
      <c r="F68" s="8">
        <v>3</v>
      </c>
      <c r="G68" s="8" t="s">
        <v>257</v>
      </c>
      <c r="H68" s="8">
        <v>1</v>
      </c>
      <c r="J68" t="s">
        <v>221</v>
      </c>
      <c r="K68" t="s">
        <v>447</v>
      </c>
      <c r="O68">
        <v>1</v>
      </c>
      <c r="P68" t="s">
        <v>29</v>
      </c>
    </row>
    <row r="69" spans="1:16" x14ac:dyDescent="0.25">
      <c r="A69" s="8" t="s">
        <v>156</v>
      </c>
      <c r="B69" s="9" t="s">
        <v>416</v>
      </c>
      <c r="C69" s="8" t="s">
        <v>158</v>
      </c>
      <c r="D69" s="8"/>
      <c r="E69" s="8"/>
      <c r="F69" s="8">
        <v>1</v>
      </c>
      <c r="G69" s="8" t="s">
        <v>257</v>
      </c>
      <c r="H69" s="8">
        <v>1</v>
      </c>
      <c r="J69" t="s">
        <v>221</v>
      </c>
      <c r="K69" t="s">
        <v>448</v>
      </c>
      <c r="O69">
        <v>1</v>
      </c>
      <c r="P69" t="s">
        <v>29</v>
      </c>
    </row>
    <row r="70" spans="1:16" x14ac:dyDescent="0.25">
      <c r="A70" s="8" t="s">
        <v>12</v>
      </c>
      <c r="B70" s="9" t="s">
        <v>265</v>
      </c>
      <c r="C70" s="8"/>
      <c r="D70" s="8" t="s">
        <v>266</v>
      </c>
      <c r="E70" s="11" t="s">
        <v>267</v>
      </c>
      <c r="F70" s="8">
        <v>1</v>
      </c>
      <c r="G70" s="8" t="s">
        <v>257</v>
      </c>
      <c r="H70" s="8">
        <v>1</v>
      </c>
      <c r="J70" t="s">
        <v>221</v>
      </c>
      <c r="K70" t="s">
        <v>449</v>
      </c>
      <c r="O70">
        <v>1</v>
      </c>
      <c r="P70" t="s">
        <v>29</v>
      </c>
    </row>
    <row r="71" spans="1:16" ht="30" x14ac:dyDescent="0.25">
      <c r="A71" t="s">
        <v>258</v>
      </c>
      <c r="B71" s="9" t="s">
        <v>259</v>
      </c>
      <c r="C71" s="8"/>
      <c r="D71" s="8"/>
      <c r="E71" s="8"/>
      <c r="F71" s="8">
        <v>3</v>
      </c>
      <c r="G71" s="8" t="s">
        <v>257</v>
      </c>
      <c r="H71" s="8">
        <v>1</v>
      </c>
      <c r="J71" t="s">
        <v>221</v>
      </c>
      <c r="K71" t="s">
        <v>450</v>
      </c>
      <c r="O71">
        <v>1</v>
      </c>
      <c r="P71" t="s">
        <v>29</v>
      </c>
    </row>
    <row r="72" spans="1:16" x14ac:dyDescent="0.25">
      <c r="A72" s="8" t="s">
        <v>87</v>
      </c>
      <c r="B72" s="9" t="s">
        <v>260</v>
      </c>
      <c r="C72" s="8"/>
      <c r="D72" s="8"/>
      <c r="E72" s="8"/>
      <c r="F72" s="8">
        <v>9</v>
      </c>
      <c r="G72" s="8" t="s">
        <v>257</v>
      </c>
      <c r="H72" s="8">
        <v>1</v>
      </c>
      <c r="J72" t="s">
        <v>221</v>
      </c>
      <c r="K72" t="s">
        <v>451</v>
      </c>
      <c r="O72">
        <v>1</v>
      </c>
      <c r="P72" t="s">
        <v>29</v>
      </c>
    </row>
    <row r="73" spans="1:16" x14ac:dyDescent="0.25">
      <c r="A73" s="8" t="s">
        <v>87</v>
      </c>
      <c r="B73" s="9" t="s">
        <v>271</v>
      </c>
      <c r="C73" s="8"/>
      <c r="D73" s="8"/>
      <c r="E73" s="8"/>
      <c r="F73" s="8">
        <v>2</v>
      </c>
      <c r="G73" s="8" t="s">
        <v>257</v>
      </c>
      <c r="H73" s="8">
        <v>1</v>
      </c>
      <c r="J73" t="s">
        <v>221</v>
      </c>
      <c r="K73" t="s">
        <v>452</v>
      </c>
      <c r="O73">
        <v>1</v>
      </c>
      <c r="P73" t="s">
        <v>29</v>
      </c>
    </row>
    <row r="74" spans="1:16" x14ac:dyDescent="0.25">
      <c r="A74" s="8" t="s">
        <v>400</v>
      </c>
      <c r="B74" s="9"/>
      <c r="C74" s="8"/>
      <c r="D74" s="8"/>
      <c r="E74" s="8"/>
      <c r="F74" s="8">
        <v>4</v>
      </c>
      <c r="G74" s="8" t="s">
        <v>7</v>
      </c>
      <c r="H74" s="8">
        <v>1</v>
      </c>
      <c r="J74" t="s">
        <v>221</v>
      </c>
      <c r="K74" t="s">
        <v>453</v>
      </c>
      <c r="O74">
        <v>1</v>
      </c>
      <c r="P74" t="s">
        <v>29</v>
      </c>
    </row>
    <row r="75" spans="1:16" x14ac:dyDescent="0.25">
      <c r="A75" s="8" t="s">
        <v>395</v>
      </c>
      <c r="B75" s="9"/>
      <c r="C75" s="8" t="s">
        <v>396</v>
      </c>
      <c r="D75" s="8"/>
      <c r="E75" s="8"/>
      <c r="F75" s="8">
        <v>1</v>
      </c>
      <c r="G75" s="8" t="s">
        <v>7</v>
      </c>
      <c r="H75" s="8">
        <v>1</v>
      </c>
      <c r="J75" t="s">
        <v>221</v>
      </c>
    </row>
    <row r="76" spans="1:16" x14ac:dyDescent="0.25">
      <c r="A76" s="8" t="s">
        <v>395</v>
      </c>
      <c r="B76" s="9"/>
      <c r="C76" s="8" t="s">
        <v>397</v>
      </c>
      <c r="D76" s="8"/>
      <c r="E76" s="8"/>
      <c r="F76" s="8">
        <v>1</v>
      </c>
      <c r="G76" s="8" t="s">
        <v>7</v>
      </c>
      <c r="H76" s="8">
        <v>1</v>
      </c>
    </row>
    <row r="77" spans="1:16" x14ac:dyDescent="0.25">
      <c r="A77" s="8" t="s">
        <v>188</v>
      </c>
      <c r="B77" s="9" t="s">
        <v>399</v>
      </c>
      <c r="C77" s="8"/>
      <c r="D77" s="8"/>
      <c r="E77" s="8"/>
      <c r="F77" s="8">
        <v>1</v>
      </c>
      <c r="G77" s="8" t="s">
        <v>7</v>
      </c>
      <c r="H77" s="8">
        <v>1</v>
      </c>
    </row>
    <row r="78" spans="1:16" x14ac:dyDescent="0.25">
      <c r="A78" s="8" t="s">
        <v>212</v>
      </c>
      <c r="B78" s="9"/>
      <c r="C78" s="8"/>
      <c r="D78" s="8"/>
      <c r="E78" s="8"/>
      <c r="F78" s="8">
        <v>1</v>
      </c>
      <c r="G78" s="8" t="s">
        <v>7</v>
      </c>
      <c r="H78" s="8">
        <v>1</v>
      </c>
    </row>
    <row r="79" spans="1:16" x14ac:dyDescent="0.25">
      <c r="A79" s="8" t="s">
        <v>258</v>
      </c>
      <c r="B79" s="9" t="s">
        <v>398</v>
      </c>
      <c r="C79" s="8"/>
      <c r="D79" s="8"/>
      <c r="E79" s="8"/>
      <c r="F79" s="8">
        <v>1</v>
      </c>
      <c r="G79" s="8" t="s">
        <v>7</v>
      </c>
      <c r="H79" s="8">
        <v>1</v>
      </c>
    </row>
    <row r="80" spans="1:16" x14ac:dyDescent="0.25">
      <c r="A80" s="8" t="s">
        <v>160</v>
      </c>
      <c r="B80" s="9" t="s">
        <v>426</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427</v>
      </c>
      <c r="B83" s="9"/>
      <c r="C83" s="8"/>
      <c r="D83" s="8"/>
      <c r="E83" s="8"/>
      <c r="F83" s="8">
        <v>1</v>
      </c>
      <c r="G83" s="8" t="s">
        <v>5</v>
      </c>
      <c r="H83" s="8">
        <v>1</v>
      </c>
    </row>
    <row r="84" spans="1:8" x14ac:dyDescent="0.25">
      <c r="A84" s="8" t="s">
        <v>244</v>
      </c>
      <c r="B84" s="9" t="s">
        <v>428</v>
      </c>
      <c r="C84" s="8"/>
      <c r="D84" s="8" t="s">
        <v>429</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454</v>
      </c>
      <c r="C91" s="8"/>
      <c r="D91" s="8"/>
      <c r="E91" s="8"/>
      <c r="F91" s="8">
        <v>1</v>
      </c>
      <c r="G91" s="8" t="s">
        <v>6</v>
      </c>
      <c r="H91" s="8">
        <v>1</v>
      </c>
    </row>
    <row r="92" spans="1:8" x14ac:dyDescent="0.25">
      <c r="A92" s="8" t="s">
        <v>156</v>
      </c>
      <c r="B92" s="9" t="s">
        <v>455</v>
      </c>
      <c r="C92" s="8"/>
      <c r="D92" s="8"/>
      <c r="E92" s="8"/>
      <c r="F92" s="8">
        <v>1</v>
      </c>
      <c r="G92" s="8" t="s">
        <v>6</v>
      </c>
      <c r="H92" s="8">
        <v>1</v>
      </c>
    </row>
    <row r="93" spans="1:8" x14ac:dyDescent="0.25">
      <c r="A93" s="8" t="s">
        <v>156</v>
      </c>
      <c r="B93" s="9" t="s">
        <v>456</v>
      </c>
      <c r="C93" s="8" t="s">
        <v>108</v>
      </c>
      <c r="D93" s="8"/>
      <c r="E93" s="8"/>
      <c r="F93" s="8">
        <v>1</v>
      </c>
      <c r="G93" s="8" t="s">
        <v>6</v>
      </c>
      <c r="H93" s="8">
        <v>1</v>
      </c>
    </row>
    <row r="94" spans="1:8" x14ac:dyDescent="0.25">
      <c r="A94" s="8" t="s">
        <v>244</v>
      </c>
      <c r="B94" s="9"/>
      <c r="C94" s="8"/>
      <c r="D94" s="8" t="s">
        <v>457</v>
      </c>
      <c r="E94" s="8"/>
      <c r="F94" s="8">
        <v>1</v>
      </c>
      <c r="G94" s="8" t="s">
        <v>6</v>
      </c>
      <c r="H94" s="8">
        <v>1</v>
      </c>
    </row>
    <row r="95" spans="1:8" x14ac:dyDescent="0.25">
      <c r="A95" s="8" t="s">
        <v>156</v>
      </c>
      <c r="B95" s="9" t="s">
        <v>458</v>
      </c>
      <c r="C95" s="8" t="s">
        <v>108</v>
      </c>
      <c r="D95" s="8"/>
      <c r="E95" s="8"/>
      <c r="F95" s="8">
        <v>1</v>
      </c>
      <c r="G95" s="8" t="s">
        <v>6</v>
      </c>
      <c r="H95" s="8">
        <v>2</v>
      </c>
    </row>
    <row r="96" spans="1:8" x14ac:dyDescent="0.25">
      <c r="A96" s="8" t="s">
        <v>156</v>
      </c>
      <c r="B96" s="9" t="s">
        <v>459</v>
      </c>
      <c r="C96" s="8"/>
      <c r="D96" s="8"/>
      <c r="E96" s="8"/>
      <c r="F96" s="8">
        <v>1</v>
      </c>
      <c r="G96" s="8" t="s">
        <v>6</v>
      </c>
      <c r="H96" s="8">
        <v>2</v>
      </c>
    </row>
    <row r="97" spans="1:8" x14ac:dyDescent="0.25">
      <c r="A97" s="8" t="s">
        <v>156</v>
      </c>
      <c r="B97" s="9" t="s">
        <v>460</v>
      </c>
      <c r="C97" s="8" t="s">
        <v>461</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462</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463</v>
      </c>
      <c r="C101" s="8"/>
      <c r="D101" s="8"/>
      <c r="E101" s="8"/>
      <c r="F101" s="8">
        <v>1</v>
      </c>
      <c r="G101" s="8" t="s">
        <v>6</v>
      </c>
      <c r="H101" s="8">
        <v>2</v>
      </c>
    </row>
    <row r="102" spans="1:8" x14ac:dyDescent="0.25">
      <c r="A102" s="8" t="s">
        <v>156</v>
      </c>
      <c r="B102" s="9" t="s">
        <v>464</v>
      </c>
      <c r="C102" s="8"/>
      <c r="D102" s="8"/>
      <c r="E102" s="8"/>
      <c r="F102" s="8">
        <v>1</v>
      </c>
      <c r="G102" s="8" t="s">
        <v>6</v>
      </c>
      <c r="H102" s="8">
        <v>2</v>
      </c>
    </row>
    <row r="103" spans="1:8" x14ac:dyDescent="0.25">
      <c r="A103" s="8" t="s">
        <v>465</v>
      </c>
      <c r="B103" s="9"/>
      <c r="C103" s="8"/>
      <c r="D103" s="8"/>
      <c r="E103" s="8"/>
      <c r="F103" s="8">
        <v>2</v>
      </c>
      <c r="G103" s="8" t="s">
        <v>6</v>
      </c>
      <c r="H103" s="8">
        <v>2</v>
      </c>
    </row>
    <row r="104" spans="1:8" x14ac:dyDescent="0.25">
      <c r="A104" s="8" t="s">
        <v>466</v>
      </c>
      <c r="B104" s="9"/>
      <c r="C104" s="8"/>
      <c r="D104" s="8"/>
      <c r="E104" s="8"/>
      <c r="F104" s="8">
        <v>2</v>
      </c>
      <c r="G104" s="8" t="s">
        <v>6</v>
      </c>
      <c r="H104" s="8">
        <v>2</v>
      </c>
    </row>
    <row r="105" spans="1:8" x14ac:dyDescent="0.25">
      <c r="A105" s="8" t="s">
        <v>467</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468</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J4 J6 J9:J30 J35:J36 J43:J55 J61: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3 P4: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I1" workbookViewId="0">
      <selection activeCell="R4" sqref="R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32</v>
      </c>
      <c r="B2" s="9"/>
      <c r="C2" t="s">
        <v>288</v>
      </c>
      <c r="D2" s="8"/>
      <c r="E2" s="8" t="s">
        <v>289</v>
      </c>
      <c r="F2" s="8">
        <v>1</v>
      </c>
      <c r="G2" s="8" t="s">
        <v>8</v>
      </c>
      <c r="H2" s="8">
        <v>1</v>
      </c>
    </row>
    <row r="3" spans="1:25" x14ac:dyDescent="0.25">
      <c r="A3" s="8" t="s">
        <v>11</v>
      </c>
      <c r="B3" s="9"/>
      <c r="C3" t="s">
        <v>290</v>
      </c>
      <c r="D3" s="8"/>
      <c r="E3" s="8"/>
      <c r="F3" s="8">
        <v>5</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173</v>
      </c>
      <c r="B4" s="9"/>
      <c r="C4" s="8" t="s">
        <v>291</v>
      </c>
      <c r="D4" s="8"/>
      <c r="E4" s="8"/>
      <c r="F4" s="8">
        <v>1</v>
      </c>
      <c r="G4" s="8" t="s">
        <v>292</v>
      </c>
      <c r="H4" s="8">
        <v>1</v>
      </c>
      <c r="T4" t="s">
        <v>8</v>
      </c>
      <c r="U4" t="s">
        <v>5</v>
      </c>
      <c r="V4" t="s">
        <v>292</v>
      </c>
      <c r="W4" t="s">
        <v>36</v>
      </c>
      <c r="X4" t="s">
        <v>7</v>
      </c>
    </row>
    <row r="5" spans="1:25" x14ac:dyDescent="0.25">
      <c r="A5" s="8" t="s">
        <v>35</v>
      </c>
      <c r="B5" s="9" t="s">
        <v>293</v>
      </c>
      <c r="C5" s="8" t="s">
        <v>294</v>
      </c>
      <c r="D5" s="8"/>
      <c r="E5" s="8"/>
      <c r="F5" s="8">
        <v>1</v>
      </c>
      <c r="G5" s="8" t="s">
        <v>36</v>
      </c>
      <c r="H5" s="8">
        <v>1</v>
      </c>
      <c r="T5">
        <v>1</v>
      </c>
      <c r="U5">
        <v>1</v>
      </c>
      <c r="V5">
        <v>1</v>
      </c>
      <c r="W5">
        <v>1</v>
      </c>
      <c r="X5">
        <v>1</v>
      </c>
    </row>
    <row r="6" spans="1:25" x14ac:dyDescent="0.25">
      <c r="A6" s="8" t="s">
        <v>40</v>
      </c>
      <c r="B6" s="9" t="s">
        <v>295</v>
      </c>
      <c r="C6" s="8" t="s">
        <v>41</v>
      </c>
      <c r="D6" s="8"/>
      <c r="E6" s="11"/>
      <c r="F6" s="8">
        <v>1</v>
      </c>
      <c r="G6" s="8" t="s">
        <v>36</v>
      </c>
      <c r="H6" s="8">
        <v>1</v>
      </c>
    </row>
    <row r="7" spans="1:25" x14ac:dyDescent="0.25">
      <c r="A7" s="8" t="s">
        <v>139</v>
      </c>
      <c r="B7" s="9"/>
      <c r="C7" s="8"/>
      <c r="D7" s="8"/>
      <c r="E7" s="8"/>
      <c r="F7" s="8">
        <v>2</v>
      </c>
      <c r="G7" s="8" t="s">
        <v>36</v>
      </c>
      <c r="H7" s="8">
        <v>1</v>
      </c>
    </row>
    <row r="8" spans="1:25" x14ac:dyDescent="0.25">
      <c r="A8" s="8" t="s">
        <v>32</v>
      </c>
      <c r="B8" s="9"/>
      <c r="C8" s="8" t="s">
        <v>52</v>
      </c>
      <c r="D8" s="8" t="s">
        <v>296</v>
      </c>
      <c r="E8" s="8"/>
      <c r="F8" s="8">
        <v>1</v>
      </c>
      <c r="G8" s="8" t="s">
        <v>5</v>
      </c>
      <c r="H8" s="8">
        <v>1</v>
      </c>
    </row>
    <row r="9" spans="1:25" x14ac:dyDescent="0.25">
      <c r="A9" s="8" t="s">
        <v>11</v>
      </c>
      <c r="B9" s="9" t="s">
        <v>297</v>
      </c>
      <c r="C9" s="8" t="s">
        <v>123</v>
      </c>
      <c r="D9" s="8"/>
      <c r="E9" s="8"/>
      <c r="F9" s="8">
        <v>2</v>
      </c>
      <c r="G9" s="8" t="s">
        <v>5</v>
      </c>
      <c r="H9" s="8">
        <v>1</v>
      </c>
    </row>
    <row r="10" spans="1:25" x14ac:dyDescent="0.25">
      <c r="A10" s="8" t="s">
        <v>32</v>
      </c>
      <c r="B10" s="9" t="s">
        <v>299</v>
      </c>
      <c r="C10" s="8" t="s">
        <v>52</v>
      </c>
      <c r="D10" s="8" t="s">
        <v>298</v>
      </c>
      <c r="E10" s="8"/>
      <c r="F10" s="8">
        <v>2</v>
      </c>
      <c r="G10" s="8" t="s">
        <v>7</v>
      </c>
      <c r="H10" s="8">
        <v>1</v>
      </c>
    </row>
    <row r="11" spans="1:25" x14ac:dyDescent="0.25">
      <c r="A11" s="8" t="s">
        <v>156</v>
      </c>
      <c r="B11" s="9" t="s">
        <v>26</v>
      </c>
      <c r="C11" s="8"/>
      <c r="D11" s="8"/>
      <c r="E11" s="8"/>
      <c r="F11" s="8">
        <v>1</v>
      </c>
      <c r="G11" s="8" t="s">
        <v>7</v>
      </c>
      <c r="H11" s="8">
        <v>1</v>
      </c>
    </row>
    <row r="12" spans="1:25" x14ac:dyDescent="0.25">
      <c r="A12" s="8" t="s">
        <v>210</v>
      </c>
      <c r="B12" s="9" t="s">
        <v>300</v>
      </c>
      <c r="C12" s="8"/>
      <c r="D12" s="8"/>
      <c r="E12" s="8"/>
      <c r="F12" s="8">
        <v>1</v>
      </c>
      <c r="G12" s="8" t="s">
        <v>7</v>
      </c>
      <c r="H12" s="8">
        <v>1</v>
      </c>
    </row>
    <row r="13" spans="1:25" x14ac:dyDescent="0.25">
      <c r="A13" s="8" t="s">
        <v>44</v>
      </c>
      <c r="B13" s="9"/>
      <c r="C13" s="8" t="s">
        <v>67</v>
      </c>
      <c r="D13" s="8"/>
      <c r="E13" s="8"/>
      <c r="F13" s="8">
        <v>1</v>
      </c>
      <c r="G13" s="8" t="s">
        <v>7</v>
      </c>
      <c r="H13" s="8">
        <v>1</v>
      </c>
    </row>
    <row r="14" spans="1:25" x14ac:dyDescent="0.25">
      <c r="A14" s="8" t="s">
        <v>43</v>
      </c>
      <c r="B14" s="9" t="s">
        <v>68</v>
      </c>
      <c r="C14" s="8" t="s">
        <v>66</v>
      </c>
      <c r="D14" s="8"/>
      <c r="E14" s="8"/>
      <c r="F14" s="8">
        <v>2</v>
      </c>
      <c r="G14" s="8" t="s">
        <v>7</v>
      </c>
      <c r="H14" s="8">
        <v>1</v>
      </c>
    </row>
    <row r="15" spans="1:25" x14ac:dyDescent="0.25">
      <c r="A15" s="8" t="s">
        <v>44</v>
      </c>
      <c r="B15" s="9" t="s">
        <v>302</v>
      </c>
      <c r="C15" s="8" t="s">
        <v>301</v>
      </c>
      <c r="D15" s="8"/>
      <c r="E15" s="8"/>
      <c r="F15" s="8">
        <v>1</v>
      </c>
      <c r="G15" s="8" t="s">
        <v>7</v>
      </c>
      <c r="H15" s="8">
        <v>1</v>
      </c>
    </row>
    <row r="16" spans="1:25"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topLeftCell="F1" workbookViewId="0">
      <selection activeCell="J3" sqref="J3:P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156</v>
      </c>
      <c r="B2" s="9" t="s">
        <v>574</v>
      </c>
      <c r="D2" s="8"/>
      <c r="E2" s="8"/>
      <c r="F2" s="8">
        <v>4</v>
      </c>
      <c r="G2" s="8" t="s">
        <v>8</v>
      </c>
      <c r="H2" s="8">
        <v>1</v>
      </c>
    </row>
    <row r="3" spans="1:25" x14ac:dyDescent="0.25">
      <c r="A3" s="8" t="s">
        <v>44</v>
      </c>
      <c r="B3" s="9"/>
      <c r="C3" s="8" t="s">
        <v>67</v>
      </c>
      <c r="D3" s="8"/>
      <c r="E3" s="8"/>
      <c r="F3" s="8">
        <v>2</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43</v>
      </c>
      <c r="B4" s="9"/>
      <c r="C4" s="8" t="s">
        <v>65</v>
      </c>
      <c r="D4" s="8"/>
      <c r="E4" s="8"/>
      <c r="F4" s="8">
        <v>1</v>
      </c>
      <c r="G4" s="8" t="s">
        <v>8</v>
      </c>
      <c r="H4" s="8">
        <v>1</v>
      </c>
      <c r="T4" t="s">
        <v>8</v>
      </c>
      <c r="U4" t="s">
        <v>5</v>
      </c>
      <c r="V4" t="s">
        <v>7</v>
      </c>
    </row>
    <row r="5" spans="1:25" x14ac:dyDescent="0.25">
      <c r="A5" s="8" t="s">
        <v>32</v>
      </c>
      <c r="B5" s="9" t="s">
        <v>666</v>
      </c>
      <c r="C5" s="8" t="s">
        <v>33</v>
      </c>
      <c r="D5" s="8"/>
      <c r="E5" s="8"/>
      <c r="F5" s="8">
        <v>3</v>
      </c>
      <c r="G5" s="8" t="s">
        <v>8</v>
      </c>
      <c r="H5" s="8">
        <v>1</v>
      </c>
      <c r="T5">
        <v>1</v>
      </c>
      <c r="U5">
        <v>1</v>
      </c>
      <c r="V5">
        <v>1</v>
      </c>
    </row>
    <row r="6" spans="1:25" x14ac:dyDescent="0.25">
      <c r="A6" s="8" t="s">
        <v>32</v>
      </c>
      <c r="B6" s="9" t="s">
        <v>299</v>
      </c>
      <c r="C6" s="8" t="s">
        <v>72</v>
      </c>
      <c r="D6" s="8" t="s">
        <v>298</v>
      </c>
      <c r="E6" s="11"/>
      <c r="F6" s="8">
        <v>1</v>
      </c>
      <c r="G6" s="8" t="s">
        <v>8</v>
      </c>
      <c r="H6" s="8">
        <v>1</v>
      </c>
    </row>
    <row r="7" spans="1:25" x14ac:dyDescent="0.25">
      <c r="A7" s="8" t="s">
        <v>32</v>
      </c>
      <c r="B7" s="9" t="s">
        <v>667</v>
      </c>
      <c r="C7" s="8" t="s">
        <v>33</v>
      </c>
      <c r="D7" s="8"/>
      <c r="E7" s="8"/>
      <c r="F7" s="8">
        <v>1</v>
      </c>
      <c r="G7" s="8" t="s">
        <v>8</v>
      </c>
      <c r="H7" s="8">
        <v>1</v>
      </c>
    </row>
    <row r="8" spans="1:25" x14ac:dyDescent="0.25">
      <c r="A8" s="8" t="s">
        <v>32</v>
      </c>
      <c r="B8" s="9" t="s">
        <v>668</v>
      </c>
      <c r="C8" s="8" t="s">
        <v>33</v>
      </c>
      <c r="D8" s="8"/>
      <c r="E8" s="8"/>
      <c r="F8" s="8">
        <v>1</v>
      </c>
      <c r="G8" s="8" t="s">
        <v>8</v>
      </c>
      <c r="H8" s="8">
        <v>1</v>
      </c>
    </row>
    <row r="9" spans="1:25" x14ac:dyDescent="0.25">
      <c r="A9" s="8" t="s">
        <v>11</v>
      </c>
      <c r="B9" s="9"/>
      <c r="C9" s="8" t="s">
        <v>123</v>
      </c>
      <c r="D9" s="8"/>
      <c r="E9" s="8"/>
      <c r="F9" s="8">
        <v>2</v>
      </c>
      <c r="G9" s="8" t="s">
        <v>5</v>
      </c>
      <c r="H9" s="8">
        <v>1</v>
      </c>
    </row>
    <row r="10" spans="1:25" x14ac:dyDescent="0.25">
      <c r="A10" s="8"/>
      <c r="B10" s="9"/>
      <c r="C10" s="8"/>
      <c r="D10" s="8"/>
      <c r="E10" s="8"/>
      <c r="F10" s="8"/>
      <c r="G10" s="8"/>
      <c r="H10" s="8"/>
    </row>
    <row r="11" spans="1:25" x14ac:dyDescent="0.25">
      <c r="A11" s="8"/>
      <c r="B11" s="9"/>
      <c r="C11" s="8"/>
      <c r="D11" s="8"/>
      <c r="E11" s="8"/>
      <c r="F11" s="8"/>
      <c r="G11" s="8"/>
      <c r="H11" s="8"/>
    </row>
    <row r="12" spans="1:25" x14ac:dyDescent="0.25">
      <c r="A12" s="8"/>
      <c r="B12" s="9"/>
      <c r="C12" s="8"/>
      <c r="D12" s="8"/>
      <c r="E12" s="8"/>
      <c r="F12" s="8"/>
      <c r="G12" s="8"/>
      <c r="H12" s="8"/>
    </row>
    <row r="13" spans="1:25" x14ac:dyDescent="0.25">
      <c r="A13" s="8"/>
      <c r="B13" s="9"/>
      <c r="C13" s="8"/>
      <c r="D13" s="8"/>
      <c r="E13" s="8"/>
      <c r="F13" s="8"/>
      <c r="G13" s="8"/>
      <c r="H13" s="8"/>
    </row>
    <row r="14" spans="1:25" x14ac:dyDescent="0.25">
      <c r="A14" s="8"/>
      <c r="B14" s="9"/>
      <c r="C14" s="8"/>
      <c r="D14" s="8"/>
      <c r="E14" s="8"/>
      <c r="F14" s="8"/>
      <c r="G14" s="8"/>
      <c r="H14" s="8"/>
    </row>
    <row r="15" spans="1:25" x14ac:dyDescent="0.25">
      <c r="A15" s="8"/>
      <c r="B15" s="9"/>
      <c r="C15" s="8"/>
      <c r="D15" s="8"/>
      <c r="E15" s="8"/>
      <c r="F15" s="8"/>
      <c r="G15" s="8"/>
      <c r="H15" s="8"/>
    </row>
    <row r="16" spans="1:25"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D1" workbookViewId="0">
      <selection activeCell="K13" sqref="K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6" t="s">
        <v>0</v>
      </c>
      <c r="B1" s="7" t="s">
        <v>1</v>
      </c>
      <c r="C1" s="6" t="s">
        <v>2</v>
      </c>
      <c r="D1" s="6" t="s">
        <v>3</v>
      </c>
      <c r="E1" s="6" t="s">
        <v>4</v>
      </c>
      <c r="F1" s="6" t="s">
        <v>240</v>
      </c>
      <c r="G1" s="6" t="s">
        <v>13</v>
      </c>
      <c r="H1" s="6" t="s">
        <v>232</v>
      </c>
    </row>
    <row r="2" spans="1:28" ht="45" x14ac:dyDescent="0.25">
      <c r="A2" t="s">
        <v>258</v>
      </c>
      <c r="B2" s="9" t="s">
        <v>305</v>
      </c>
      <c r="D2" s="8"/>
      <c r="E2" s="8"/>
      <c r="F2" s="8">
        <v>4</v>
      </c>
      <c r="G2" s="8" t="s">
        <v>8</v>
      </c>
      <c r="H2" s="8">
        <v>1</v>
      </c>
    </row>
    <row r="3" spans="1:28" x14ac:dyDescent="0.25">
      <c r="A3" s="8" t="s">
        <v>11</v>
      </c>
      <c r="B3" s="9" t="s">
        <v>306</v>
      </c>
      <c r="C3" t="s">
        <v>79</v>
      </c>
      <c r="D3" s="8"/>
      <c r="E3" s="8"/>
      <c r="F3" s="8">
        <v>1</v>
      </c>
      <c r="G3" s="8" t="s">
        <v>5</v>
      </c>
      <c r="H3" s="8">
        <v>1</v>
      </c>
      <c r="J3" t="s">
        <v>0</v>
      </c>
      <c r="K3" t="s">
        <v>16</v>
      </c>
      <c r="L3" t="s">
        <v>2</v>
      </c>
      <c r="M3" s="6" t="s">
        <v>3</v>
      </c>
      <c r="N3" s="6" t="s">
        <v>4</v>
      </c>
      <c r="O3" t="s">
        <v>18</v>
      </c>
      <c r="P3" t="s">
        <v>14</v>
      </c>
      <c r="R3" t="s">
        <v>28</v>
      </c>
      <c r="T3" s="13" t="s">
        <v>230</v>
      </c>
      <c r="U3" s="13"/>
      <c r="V3" s="13"/>
      <c r="W3" s="13"/>
      <c r="X3" s="13"/>
      <c r="Y3" s="13"/>
    </row>
    <row r="4" spans="1:28" x14ac:dyDescent="0.25">
      <c r="A4" s="8" t="s">
        <v>307</v>
      </c>
      <c r="B4" s="9" t="s">
        <v>310</v>
      </c>
      <c r="C4" s="8"/>
      <c r="D4" s="8" t="s">
        <v>311</v>
      </c>
      <c r="E4" s="8"/>
      <c r="F4" s="8">
        <v>1</v>
      </c>
      <c r="G4" s="8" t="s">
        <v>6</v>
      </c>
      <c r="H4" s="8">
        <v>1</v>
      </c>
      <c r="R4" t="s">
        <v>697</v>
      </c>
      <c r="T4" t="s">
        <v>8</v>
      </c>
      <c r="U4" t="s">
        <v>5</v>
      </c>
      <c r="V4" t="s">
        <v>6</v>
      </c>
      <c r="W4" t="s">
        <v>9</v>
      </c>
      <c r="X4" t="s">
        <v>10</v>
      </c>
      <c r="Y4" t="s">
        <v>257</v>
      </c>
      <c r="Z4" t="s">
        <v>303</v>
      </c>
      <c r="AA4" t="s">
        <v>304</v>
      </c>
      <c r="AB4" t="s">
        <v>7</v>
      </c>
    </row>
    <row r="5" spans="1:28" ht="30" x14ac:dyDescent="0.25">
      <c r="A5" s="8" t="s">
        <v>307</v>
      </c>
      <c r="B5" s="9" t="s">
        <v>308</v>
      </c>
      <c r="C5" s="8"/>
      <c r="D5" s="8" t="s">
        <v>309</v>
      </c>
      <c r="E5" s="8"/>
      <c r="F5" s="8">
        <v>1</v>
      </c>
      <c r="G5" s="8" t="s">
        <v>6</v>
      </c>
      <c r="H5" s="8">
        <v>1</v>
      </c>
      <c r="T5">
        <v>1</v>
      </c>
      <c r="U5">
        <v>1</v>
      </c>
      <c r="V5">
        <v>1</v>
      </c>
      <c r="W5">
        <v>1</v>
      </c>
      <c r="X5">
        <v>1</v>
      </c>
      <c r="Y5">
        <v>1</v>
      </c>
      <c r="Z5">
        <v>1</v>
      </c>
      <c r="AA5">
        <v>1</v>
      </c>
      <c r="AB5">
        <v>1</v>
      </c>
    </row>
    <row r="6" spans="1:28" x14ac:dyDescent="0.25">
      <c r="A6" s="8" t="s">
        <v>307</v>
      </c>
      <c r="B6" s="9" t="s">
        <v>312</v>
      </c>
      <c r="C6" s="8"/>
      <c r="D6" s="8" t="s">
        <v>313</v>
      </c>
      <c r="E6" s="11"/>
      <c r="F6" s="8">
        <v>1</v>
      </c>
      <c r="G6" s="8" t="s">
        <v>6</v>
      </c>
      <c r="H6" s="8">
        <v>1</v>
      </c>
    </row>
    <row r="7" spans="1:28" x14ac:dyDescent="0.25">
      <c r="A7" s="8" t="s">
        <v>314</v>
      </c>
      <c r="B7" s="9" t="s">
        <v>315</v>
      </c>
      <c r="C7" s="8"/>
      <c r="D7" s="8"/>
      <c r="E7" s="8"/>
      <c r="F7" s="8">
        <v>1</v>
      </c>
      <c r="G7" s="8" t="s">
        <v>6</v>
      </c>
      <c r="H7" s="8">
        <v>1</v>
      </c>
    </row>
    <row r="8" spans="1:28" x14ac:dyDescent="0.25">
      <c r="A8" s="8" t="s">
        <v>53</v>
      </c>
      <c r="B8" s="9" t="s">
        <v>238</v>
      </c>
      <c r="C8" s="8"/>
      <c r="D8" s="8"/>
      <c r="E8" s="8"/>
      <c r="F8" s="8">
        <v>4</v>
      </c>
      <c r="G8" s="8" t="s">
        <v>9</v>
      </c>
      <c r="H8" s="8">
        <v>1</v>
      </c>
    </row>
    <row r="9" spans="1:28" x14ac:dyDescent="0.25">
      <c r="A9" s="8" t="s">
        <v>11</v>
      </c>
      <c r="B9" s="9" t="s">
        <v>316</v>
      </c>
      <c r="C9" s="8" t="s">
        <v>123</v>
      </c>
      <c r="D9" s="8"/>
      <c r="E9" s="8"/>
      <c r="F9" s="8">
        <v>4</v>
      </c>
      <c r="G9" s="8" t="s">
        <v>9</v>
      </c>
      <c r="H9" s="8">
        <v>1</v>
      </c>
    </row>
    <row r="10" spans="1:28" x14ac:dyDescent="0.25">
      <c r="A10" s="8" t="s">
        <v>11</v>
      </c>
      <c r="B10" s="9" t="s">
        <v>316</v>
      </c>
      <c r="C10" s="8" t="s">
        <v>79</v>
      </c>
      <c r="D10" s="8"/>
      <c r="E10" s="8"/>
      <c r="F10" s="8">
        <v>1</v>
      </c>
      <c r="G10" s="8" t="s">
        <v>9</v>
      </c>
      <c r="H10" s="8">
        <v>1</v>
      </c>
    </row>
    <row r="11" spans="1:28" x14ac:dyDescent="0.25">
      <c r="A11" s="8" t="s">
        <v>46</v>
      </c>
      <c r="B11" s="9"/>
      <c r="C11" s="8"/>
      <c r="D11" s="8"/>
      <c r="E11" s="8"/>
      <c r="F11" s="8">
        <v>3</v>
      </c>
      <c r="G11" s="8" t="s">
        <v>10</v>
      </c>
      <c r="H11" s="8">
        <v>1</v>
      </c>
    </row>
    <row r="12" spans="1:28" x14ac:dyDescent="0.25">
      <c r="A12" s="8" t="s">
        <v>188</v>
      </c>
      <c r="B12" s="9" t="s">
        <v>317</v>
      </c>
      <c r="C12" s="8"/>
      <c r="D12" s="8"/>
      <c r="E12" s="8"/>
      <c r="F12" s="8">
        <v>2</v>
      </c>
      <c r="G12" s="8" t="s">
        <v>10</v>
      </c>
      <c r="H12" s="8">
        <v>1</v>
      </c>
    </row>
    <row r="13" spans="1:28" ht="30" x14ac:dyDescent="0.25">
      <c r="A13" s="8" t="s">
        <v>32</v>
      </c>
      <c r="B13" s="9" t="s">
        <v>318</v>
      </c>
      <c r="C13" s="8" t="s">
        <v>72</v>
      </c>
      <c r="D13" s="8"/>
      <c r="E13" s="8"/>
      <c r="F13" s="8">
        <v>1</v>
      </c>
      <c r="G13" s="8" t="s">
        <v>257</v>
      </c>
      <c r="H13" s="8">
        <v>1</v>
      </c>
    </row>
    <row r="14" spans="1:28" x14ac:dyDescent="0.25">
      <c r="A14" s="8" t="s">
        <v>11</v>
      </c>
      <c r="B14" s="9" t="s">
        <v>316</v>
      </c>
      <c r="C14" t="s">
        <v>77</v>
      </c>
      <c r="D14" s="8"/>
      <c r="E14" s="8"/>
      <c r="F14" s="8">
        <v>1</v>
      </c>
      <c r="G14" s="8" t="s">
        <v>257</v>
      </c>
      <c r="H14" s="8">
        <v>1</v>
      </c>
    </row>
    <row r="15" spans="1:28" x14ac:dyDescent="0.25">
      <c r="A15" s="8" t="s">
        <v>174</v>
      </c>
      <c r="B15" s="9"/>
      <c r="C15" s="8" t="s">
        <v>236</v>
      </c>
      <c r="D15" s="8"/>
      <c r="E15" s="8"/>
      <c r="F15" s="8">
        <v>1</v>
      </c>
      <c r="G15" s="8" t="s">
        <v>303</v>
      </c>
      <c r="H15" s="8">
        <v>1</v>
      </c>
    </row>
    <row r="16" spans="1:28" x14ac:dyDescent="0.25">
      <c r="A16" s="8" t="s">
        <v>88</v>
      </c>
      <c r="B16" s="9" t="s">
        <v>319</v>
      </c>
      <c r="C16" s="8"/>
      <c r="D16" s="8"/>
      <c r="E16" s="8"/>
      <c r="F16" s="8">
        <v>1</v>
      </c>
      <c r="G16" s="8" t="s">
        <v>303</v>
      </c>
      <c r="H16" s="8">
        <v>1</v>
      </c>
    </row>
    <row r="17" spans="1:8" ht="30" x14ac:dyDescent="0.25">
      <c r="A17" s="8" t="s">
        <v>320</v>
      </c>
      <c r="B17" s="9" t="s">
        <v>321</v>
      </c>
      <c r="C17" s="8"/>
      <c r="D17" s="8" t="s">
        <v>322</v>
      </c>
      <c r="E17" s="8"/>
      <c r="F17" s="8">
        <v>1</v>
      </c>
      <c r="G17" s="8" t="s">
        <v>303</v>
      </c>
      <c r="H17" s="8">
        <v>1</v>
      </c>
    </row>
    <row r="18" spans="1:8" x14ac:dyDescent="0.25">
      <c r="A18" s="8" t="s">
        <v>307</v>
      </c>
      <c r="B18" s="9" t="s">
        <v>312</v>
      </c>
      <c r="C18" s="8"/>
      <c r="D18" s="8" t="s">
        <v>323</v>
      </c>
      <c r="E18" s="8"/>
      <c r="F18" s="8">
        <v>1</v>
      </c>
      <c r="G18" s="8" t="s">
        <v>303</v>
      </c>
      <c r="H18" s="8">
        <v>1</v>
      </c>
    </row>
    <row r="19" spans="1:8" x14ac:dyDescent="0.25">
      <c r="A19" s="8" t="s">
        <v>160</v>
      </c>
      <c r="B19" s="9" t="s">
        <v>324</v>
      </c>
      <c r="C19" s="8"/>
      <c r="D19" s="8"/>
      <c r="E19" s="8"/>
      <c r="F19" s="8">
        <v>2</v>
      </c>
      <c r="G19" s="8" t="s">
        <v>304</v>
      </c>
      <c r="H19" s="8">
        <v>1</v>
      </c>
    </row>
    <row r="20" spans="1:8" x14ac:dyDescent="0.25">
      <c r="A20" s="8" t="s">
        <v>53</v>
      </c>
      <c r="B20" s="9" t="s">
        <v>238</v>
      </c>
      <c r="C20" s="8"/>
      <c r="D20" s="8"/>
      <c r="E20" s="8"/>
      <c r="F20" s="8">
        <v>5</v>
      </c>
      <c r="G20" s="8" t="s">
        <v>304</v>
      </c>
      <c r="H20" s="8">
        <v>1</v>
      </c>
    </row>
    <row r="21" spans="1:8" ht="30" x14ac:dyDescent="0.25">
      <c r="A21" s="8" t="s">
        <v>217</v>
      </c>
      <c r="B21" s="9" t="s">
        <v>325</v>
      </c>
      <c r="C21" s="8"/>
      <c r="D21" s="8"/>
      <c r="E21" s="8"/>
      <c r="F21" s="8">
        <v>4</v>
      </c>
      <c r="G21" s="8" t="s">
        <v>7</v>
      </c>
      <c r="H21" s="8">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abSelected="1" topLeftCell="F1" workbookViewId="0">
      <pane ySplit="1" topLeftCell="A2" activePane="bottomLeft" state="frozen"/>
      <selection pane="bottomLeft" activeCell="B26" sqref="B26"/>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6" t="s">
        <v>0</v>
      </c>
      <c r="B1" s="7" t="s">
        <v>1</v>
      </c>
      <c r="C1" s="6" t="s">
        <v>2</v>
      </c>
      <c r="D1" s="6" t="s">
        <v>3</v>
      </c>
      <c r="E1" s="6" t="s">
        <v>4</v>
      </c>
      <c r="F1" s="6" t="s">
        <v>240</v>
      </c>
      <c r="G1" s="6" t="s">
        <v>13</v>
      </c>
      <c r="H1" s="6" t="s">
        <v>232</v>
      </c>
    </row>
    <row r="2" spans="1:27" x14ac:dyDescent="0.25">
      <c r="A2" s="6" t="s">
        <v>400</v>
      </c>
      <c r="B2" s="9"/>
      <c r="C2" s="8"/>
      <c r="D2" s="8"/>
      <c r="E2" s="8"/>
      <c r="F2" s="8">
        <v>3</v>
      </c>
      <c r="G2" s="8" t="s">
        <v>235</v>
      </c>
      <c r="H2" s="8" t="s">
        <v>475</v>
      </c>
    </row>
    <row r="3" spans="1:27" x14ac:dyDescent="0.25">
      <c r="A3" s="8" t="s">
        <v>476</v>
      </c>
      <c r="B3" s="9" t="s">
        <v>477</v>
      </c>
      <c r="C3" s="8"/>
      <c r="D3" s="8"/>
      <c r="E3" s="8"/>
      <c r="F3" s="8">
        <v>1</v>
      </c>
      <c r="G3" s="8" t="s">
        <v>235</v>
      </c>
      <c r="H3" s="8" t="s">
        <v>475</v>
      </c>
      <c r="J3" t="s">
        <v>0</v>
      </c>
      <c r="K3" t="s">
        <v>1</v>
      </c>
      <c r="L3" t="s">
        <v>2</v>
      </c>
      <c r="M3" s="6" t="s">
        <v>3</v>
      </c>
      <c r="N3" s="6" t="s">
        <v>4</v>
      </c>
      <c r="O3" s="6" t="s">
        <v>240</v>
      </c>
      <c r="P3" t="s">
        <v>14</v>
      </c>
      <c r="Q3" t="s">
        <v>698</v>
      </c>
      <c r="R3" t="s">
        <v>699</v>
      </c>
      <c r="T3" t="s">
        <v>28</v>
      </c>
      <c r="V3" s="13" t="s">
        <v>230</v>
      </c>
      <c r="W3" s="13"/>
      <c r="X3" s="13"/>
      <c r="Y3" s="13"/>
      <c r="Z3" s="13"/>
      <c r="AA3" s="13"/>
    </row>
    <row r="4" spans="1:27" x14ac:dyDescent="0.25">
      <c r="A4" s="8" t="s">
        <v>92</v>
      </c>
      <c r="B4" s="9" t="str">
        <f>bolso("Bolso de RCP",Table621[])</f>
        <v xml:space="preserve">Bolso de RCP Contiene:  BVM x1, </v>
      </c>
      <c r="C4" s="8"/>
      <c r="D4" s="8"/>
      <c r="E4" s="8"/>
      <c r="F4" s="8">
        <v>1</v>
      </c>
      <c r="G4" t="s">
        <v>491</v>
      </c>
      <c r="H4" s="8" t="s">
        <v>475</v>
      </c>
      <c r="J4" t="s">
        <v>480</v>
      </c>
      <c r="K4" t="s">
        <v>482</v>
      </c>
      <c r="O4">
        <v>1</v>
      </c>
      <c r="P4" t="s">
        <v>478</v>
      </c>
      <c r="T4" t="s">
        <v>478</v>
      </c>
      <c r="V4" t="s">
        <v>491</v>
      </c>
      <c r="W4" t="s">
        <v>235</v>
      </c>
      <c r="X4" t="s">
        <v>8</v>
      </c>
      <c r="Y4" t="s">
        <v>5</v>
      </c>
    </row>
    <row r="5" spans="1:27" x14ac:dyDescent="0.25">
      <c r="A5" s="8" t="s">
        <v>92</v>
      </c>
      <c r="B5" s="9" t="str">
        <f>bolso("Bolso via aerea",Table621[])</f>
        <v xml:space="preserve">Bolso via aerea Contiene:  BVM x1,  Kit de canulas de mayo x5,  Pinza de maguill x1,  Kit de intubacion c/ larngoscopio x1, </v>
      </c>
      <c r="C5" s="8"/>
      <c r="D5" s="8"/>
      <c r="E5" s="8"/>
      <c r="F5" s="8">
        <v>1</v>
      </c>
      <c r="G5" t="s">
        <v>491</v>
      </c>
      <c r="H5" s="8" t="s">
        <v>475</v>
      </c>
      <c r="J5" t="s">
        <v>480</v>
      </c>
      <c r="K5" t="s">
        <v>482</v>
      </c>
      <c r="O5">
        <v>1</v>
      </c>
      <c r="P5" t="s">
        <v>481</v>
      </c>
      <c r="T5" t="s">
        <v>481</v>
      </c>
      <c r="V5">
        <v>1</v>
      </c>
      <c r="W5" t="s">
        <v>475</v>
      </c>
      <c r="X5">
        <v>1</v>
      </c>
      <c r="Y5">
        <v>1</v>
      </c>
    </row>
    <row r="6" spans="1:27" x14ac:dyDescent="0.25">
      <c r="A6" s="8" t="s">
        <v>92</v>
      </c>
      <c r="B6" s="9" t="str">
        <f>bolso("Bolso trauma liviano",Table621[])</f>
        <v xml:space="preserve">Bolso trauma liviano Contiene:  Mascara oxigeno x1,  Mascara rcp x1, </v>
      </c>
      <c r="C6" s="8"/>
      <c r="D6" s="8"/>
      <c r="E6" s="8"/>
      <c r="F6" s="8">
        <v>1</v>
      </c>
      <c r="G6" t="s">
        <v>491</v>
      </c>
      <c r="H6" s="8" t="s">
        <v>475</v>
      </c>
      <c r="J6" t="s">
        <v>483</v>
      </c>
      <c r="K6" t="s">
        <v>484</v>
      </c>
      <c r="O6">
        <v>5</v>
      </c>
      <c r="P6" t="s">
        <v>481</v>
      </c>
      <c r="T6" t="s">
        <v>488</v>
      </c>
      <c r="V6">
        <v>2</v>
      </c>
    </row>
    <row r="7" spans="1:27" x14ac:dyDescent="0.25">
      <c r="A7" s="8" t="s">
        <v>400</v>
      </c>
      <c r="B7" s="9"/>
      <c r="C7" s="8"/>
      <c r="D7" s="8"/>
      <c r="E7" s="8"/>
      <c r="F7" s="8">
        <v>1</v>
      </c>
      <c r="G7" t="s">
        <v>491</v>
      </c>
      <c r="H7" s="8" t="s">
        <v>475</v>
      </c>
      <c r="J7" t="s">
        <v>485</v>
      </c>
      <c r="K7" t="s">
        <v>485</v>
      </c>
      <c r="O7">
        <v>1</v>
      </c>
      <c r="P7" t="s">
        <v>481</v>
      </c>
      <c r="T7" t="s">
        <v>510</v>
      </c>
      <c r="V7">
        <v>3</v>
      </c>
    </row>
    <row r="8" spans="1:27" x14ac:dyDescent="0.25">
      <c r="A8" s="8" t="s">
        <v>480</v>
      </c>
      <c r="B8" s="9"/>
      <c r="C8" s="8"/>
      <c r="D8" s="8"/>
      <c r="E8" s="8"/>
      <c r="F8" s="8">
        <v>2</v>
      </c>
      <c r="G8" t="s">
        <v>491</v>
      </c>
      <c r="H8" s="8">
        <v>1</v>
      </c>
      <c r="J8" t="s">
        <v>486</v>
      </c>
      <c r="K8" t="s">
        <v>487</v>
      </c>
      <c r="O8">
        <v>1</v>
      </c>
      <c r="P8" t="s">
        <v>481</v>
      </c>
      <c r="T8" t="s">
        <v>512</v>
      </c>
      <c r="V8">
        <v>4</v>
      </c>
    </row>
    <row r="9" spans="1:27" x14ac:dyDescent="0.25">
      <c r="A9" s="8" t="s">
        <v>210</v>
      </c>
      <c r="B9" s="9">
        <v>2008</v>
      </c>
      <c r="C9" s="8"/>
      <c r="D9" s="8"/>
      <c r="E9" s="8"/>
      <c r="F9" s="8">
        <v>1</v>
      </c>
      <c r="G9" t="s">
        <v>491</v>
      </c>
      <c r="H9" s="8">
        <v>1</v>
      </c>
      <c r="J9" t="s">
        <v>471</v>
      </c>
      <c r="K9" t="s">
        <v>489</v>
      </c>
      <c r="O9">
        <v>1</v>
      </c>
      <c r="P9" t="s">
        <v>488</v>
      </c>
      <c r="T9" t="s">
        <v>523</v>
      </c>
      <c r="V9">
        <v>5</v>
      </c>
    </row>
    <row r="10" spans="1:27" x14ac:dyDescent="0.25">
      <c r="A10" s="8" t="s">
        <v>470</v>
      </c>
      <c r="B10" s="9" t="s">
        <v>492</v>
      </c>
      <c r="C10" s="8"/>
      <c r="D10" s="8"/>
      <c r="E10" s="8"/>
      <c r="F10" s="8">
        <v>1</v>
      </c>
      <c r="G10" t="s">
        <v>491</v>
      </c>
      <c r="H10" s="8">
        <v>1</v>
      </c>
      <c r="J10" t="s">
        <v>490</v>
      </c>
      <c r="K10" t="s">
        <v>490</v>
      </c>
      <c r="O10">
        <v>1</v>
      </c>
      <c r="P10" t="s">
        <v>488</v>
      </c>
      <c r="T10" t="s">
        <v>93</v>
      </c>
      <c r="V10">
        <v>6</v>
      </c>
    </row>
    <row r="11" spans="1:27" x14ac:dyDescent="0.25">
      <c r="A11" s="8" t="s">
        <v>471</v>
      </c>
      <c r="B11" s="9" t="s">
        <v>493</v>
      </c>
      <c r="C11" s="8"/>
      <c r="D11" s="8"/>
      <c r="E11" s="8"/>
      <c r="F11" s="8">
        <v>1</v>
      </c>
      <c r="G11" t="s">
        <v>491</v>
      </c>
      <c r="H11" s="8">
        <v>1</v>
      </c>
      <c r="J11" t="s">
        <v>483</v>
      </c>
      <c r="K11" t="s">
        <v>513</v>
      </c>
      <c r="O11">
        <v>1</v>
      </c>
      <c r="P11" t="s">
        <v>512</v>
      </c>
      <c r="V11">
        <v>7</v>
      </c>
    </row>
    <row r="12" spans="1:27" x14ac:dyDescent="0.25">
      <c r="A12" s="8" t="s">
        <v>471</v>
      </c>
      <c r="B12" s="9" t="s">
        <v>494</v>
      </c>
      <c r="C12" s="8"/>
      <c r="D12" s="8"/>
      <c r="E12" s="8"/>
      <c r="F12" s="8">
        <v>1</v>
      </c>
      <c r="G12" s="8" t="s">
        <v>491</v>
      </c>
      <c r="H12" s="8">
        <v>1</v>
      </c>
      <c r="J12" t="s">
        <v>395</v>
      </c>
      <c r="K12" t="s">
        <v>515</v>
      </c>
      <c r="O12">
        <v>3</v>
      </c>
      <c r="P12" t="s">
        <v>512</v>
      </c>
      <c r="V12" t="s">
        <v>475</v>
      </c>
    </row>
    <row r="13" spans="1:27" x14ac:dyDescent="0.25">
      <c r="A13" s="8" t="s">
        <v>495</v>
      </c>
      <c r="B13" s="9"/>
      <c r="C13" s="8"/>
      <c r="D13" s="8"/>
      <c r="E13" s="8"/>
      <c r="F13" s="8">
        <v>5</v>
      </c>
      <c r="G13" s="8" t="s">
        <v>491</v>
      </c>
      <c r="H13" s="8">
        <v>1</v>
      </c>
      <c r="J13" t="s">
        <v>479</v>
      </c>
      <c r="K13" t="s">
        <v>516</v>
      </c>
      <c r="O13">
        <v>2</v>
      </c>
      <c r="P13" t="s">
        <v>512</v>
      </c>
    </row>
    <row r="14" spans="1:27" x14ac:dyDescent="0.25">
      <c r="A14" s="8" t="s">
        <v>496</v>
      </c>
      <c r="B14" s="9"/>
      <c r="C14" s="8"/>
      <c r="D14" s="8"/>
      <c r="E14" s="8"/>
      <c r="F14" s="8">
        <v>1</v>
      </c>
      <c r="G14" s="8" t="s">
        <v>491</v>
      </c>
      <c r="H14" s="8">
        <v>2</v>
      </c>
      <c r="J14" t="s">
        <v>514</v>
      </c>
      <c r="K14" t="s">
        <v>517</v>
      </c>
      <c r="O14">
        <v>5</v>
      </c>
      <c r="P14" t="s">
        <v>512</v>
      </c>
    </row>
    <row r="15" spans="1:27" x14ac:dyDescent="0.25">
      <c r="A15" s="8" t="s">
        <v>497</v>
      </c>
      <c r="B15" s="9"/>
      <c r="C15" s="8"/>
      <c r="D15" s="8"/>
      <c r="E15" s="8"/>
      <c r="F15" s="8">
        <v>1</v>
      </c>
      <c r="G15" s="8" t="s">
        <v>491</v>
      </c>
      <c r="H15" s="8">
        <v>2</v>
      </c>
      <c r="J15" t="s">
        <v>518</v>
      </c>
      <c r="K15" t="s">
        <v>519</v>
      </c>
      <c r="O15">
        <v>1</v>
      </c>
      <c r="P15" t="s">
        <v>512</v>
      </c>
    </row>
    <row r="16" spans="1:27" x14ac:dyDescent="0.25">
      <c r="A16" s="8" t="s">
        <v>498</v>
      </c>
      <c r="B16" s="9"/>
      <c r="C16" s="8"/>
      <c r="D16" s="8"/>
      <c r="E16" s="8"/>
      <c r="F16" s="8">
        <v>1</v>
      </c>
      <c r="G16" s="8" t="s">
        <v>491</v>
      </c>
      <c r="H16" s="8">
        <v>2</v>
      </c>
      <c r="J16" t="s">
        <v>470</v>
      </c>
      <c r="K16" t="s">
        <v>520</v>
      </c>
      <c r="O16">
        <v>1</v>
      </c>
      <c r="P16" t="s">
        <v>512</v>
      </c>
    </row>
    <row r="17" spans="1:16" x14ac:dyDescent="0.25">
      <c r="A17" s="8" t="s">
        <v>499</v>
      </c>
      <c r="B17" s="9"/>
      <c r="C17" s="8"/>
      <c r="D17" s="8" t="s">
        <v>500</v>
      </c>
      <c r="E17" s="8" t="s">
        <v>501</v>
      </c>
      <c r="F17" s="8">
        <v>1</v>
      </c>
      <c r="G17" s="8" t="s">
        <v>491</v>
      </c>
      <c r="H17" s="8">
        <v>2</v>
      </c>
      <c r="J17" t="s">
        <v>147</v>
      </c>
      <c r="K17" t="s">
        <v>147</v>
      </c>
      <c r="O17">
        <v>1</v>
      </c>
      <c r="P17" t="s">
        <v>512</v>
      </c>
    </row>
    <row r="18" spans="1:16" x14ac:dyDescent="0.25">
      <c r="A18" s="8" t="s">
        <v>211</v>
      </c>
      <c r="B18" s="9" t="s">
        <v>502</v>
      </c>
      <c r="C18" s="8"/>
      <c r="D18" s="8"/>
      <c r="E18" s="8"/>
      <c r="F18" s="8">
        <v>1</v>
      </c>
      <c r="G18" s="8" t="s">
        <v>491</v>
      </c>
      <c r="H18" s="8">
        <v>2</v>
      </c>
      <c r="J18" t="s">
        <v>496</v>
      </c>
      <c r="K18" t="s">
        <v>521</v>
      </c>
      <c r="O18">
        <v>1</v>
      </c>
      <c r="P18" t="s">
        <v>512</v>
      </c>
    </row>
    <row r="19" spans="1:16" x14ac:dyDescent="0.25">
      <c r="A19" s="8" t="s">
        <v>503</v>
      </c>
      <c r="B19" s="9"/>
      <c r="C19" s="8"/>
      <c r="D19" s="8" t="s">
        <v>504</v>
      </c>
      <c r="E19" s="8" t="s">
        <v>505</v>
      </c>
      <c r="F19" s="8">
        <v>1</v>
      </c>
      <c r="G19" s="8" t="s">
        <v>491</v>
      </c>
      <c r="H19" s="8">
        <v>2</v>
      </c>
      <c r="J19" t="s">
        <v>490</v>
      </c>
      <c r="K19" t="s">
        <v>146</v>
      </c>
      <c r="O19">
        <v>1</v>
      </c>
      <c r="P19" t="s">
        <v>523</v>
      </c>
    </row>
    <row r="20" spans="1:16" x14ac:dyDescent="0.25">
      <c r="A20" s="8" t="s">
        <v>506</v>
      </c>
      <c r="B20" s="9"/>
      <c r="C20" s="8"/>
      <c r="D20" s="8"/>
      <c r="E20" s="8"/>
      <c r="F20" s="8">
        <v>1</v>
      </c>
      <c r="G20" s="8" t="s">
        <v>491</v>
      </c>
      <c r="H20" s="8">
        <v>4</v>
      </c>
      <c r="J20" t="s">
        <v>395</v>
      </c>
      <c r="K20" t="s">
        <v>515</v>
      </c>
      <c r="O20">
        <v>3</v>
      </c>
      <c r="P20" t="s">
        <v>93</v>
      </c>
    </row>
    <row r="21" spans="1:16" x14ac:dyDescent="0.25">
      <c r="A21" s="8" t="s">
        <v>507</v>
      </c>
      <c r="B21" s="9"/>
      <c r="C21" s="8"/>
      <c r="D21" s="8"/>
      <c r="E21" s="8"/>
      <c r="F21" s="8">
        <v>1</v>
      </c>
      <c r="G21" s="8" t="s">
        <v>491</v>
      </c>
      <c r="H21" s="8">
        <v>5</v>
      </c>
      <c r="J21" t="s">
        <v>395</v>
      </c>
      <c r="K21" t="s">
        <v>529</v>
      </c>
      <c r="L21" t="s">
        <v>530</v>
      </c>
      <c r="O21">
        <v>2</v>
      </c>
      <c r="P21" t="s">
        <v>93</v>
      </c>
    </row>
    <row r="22" spans="1:16" x14ac:dyDescent="0.25">
      <c r="A22" s="8" t="s">
        <v>508</v>
      </c>
      <c r="B22" s="9"/>
      <c r="C22" s="8"/>
      <c r="D22" s="8"/>
      <c r="E22" s="8"/>
      <c r="F22" s="8">
        <v>4</v>
      </c>
      <c r="G22" s="8" t="s">
        <v>491</v>
      </c>
      <c r="H22" s="8">
        <v>5</v>
      </c>
      <c r="J22" t="s">
        <v>395</v>
      </c>
      <c r="K22" t="s">
        <v>531</v>
      </c>
      <c r="L22" t="s">
        <v>532</v>
      </c>
      <c r="O22">
        <v>1</v>
      </c>
      <c r="P22" t="s">
        <v>93</v>
      </c>
    </row>
    <row r="23" spans="1:16" x14ac:dyDescent="0.25">
      <c r="A23" t="s">
        <v>509</v>
      </c>
      <c r="B23" s="9"/>
      <c r="C23" s="8"/>
      <c r="D23" s="8"/>
      <c r="E23" s="8"/>
      <c r="F23" s="8">
        <v>12</v>
      </c>
      <c r="G23" s="8" t="s">
        <v>491</v>
      </c>
      <c r="H23" s="8">
        <v>6</v>
      </c>
      <c r="J23" t="s">
        <v>395</v>
      </c>
      <c r="K23" t="s">
        <v>533</v>
      </c>
      <c r="L23" t="s">
        <v>396</v>
      </c>
      <c r="O23">
        <v>1</v>
      </c>
      <c r="P23" t="s">
        <v>93</v>
      </c>
    </row>
    <row r="24" spans="1:16" x14ac:dyDescent="0.25">
      <c r="A24" s="8" t="s">
        <v>400</v>
      </c>
      <c r="B24" s="9"/>
      <c r="C24" s="8"/>
      <c r="D24" s="8"/>
      <c r="E24" s="8"/>
      <c r="F24" s="8">
        <v>1</v>
      </c>
      <c r="G24" s="8" t="s">
        <v>491</v>
      </c>
      <c r="H24" s="8">
        <v>7</v>
      </c>
      <c r="J24" t="s">
        <v>395</v>
      </c>
      <c r="K24" t="s">
        <v>534</v>
      </c>
      <c r="L24" t="s">
        <v>397</v>
      </c>
      <c r="O24">
        <v>9</v>
      </c>
      <c r="P24" t="s">
        <v>93</v>
      </c>
    </row>
    <row r="25" spans="1:16" x14ac:dyDescent="0.25">
      <c r="A25" s="8" t="s">
        <v>92</v>
      </c>
      <c r="B25" s="9" t="s">
        <v>511</v>
      </c>
      <c r="C25" s="8"/>
      <c r="D25" s="8"/>
      <c r="E25" s="8"/>
      <c r="F25" s="8">
        <v>1</v>
      </c>
      <c r="G25" s="8" t="s">
        <v>491</v>
      </c>
      <c r="H25" s="8">
        <v>7</v>
      </c>
    </row>
    <row r="26" spans="1:16"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6" x14ac:dyDescent="0.25">
      <c r="A27" s="8" t="s">
        <v>88</v>
      </c>
      <c r="B27" s="9" t="s">
        <v>522</v>
      </c>
      <c r="C27" s="8"/>
      <c r="D27" s="8"/>
      <c r="E27" s="8"/>
      <c r="F27" s="8">
        <v>2</v>
      </c>
      <c r="G27" s="8" t="s">
        <v>8</v>
      </c>
      <c r="H27" s="8">
        <v>1</v>
      </c>
    </row>
    <row r="28" spans="1:16" x14ac:dyDescent="0.25">
      <c r="A28" s="8" t="s">
        <v>143</v>
      </c>
      <c r="B28" s="9"/>
      <c r="C28" s="8"/>
      <c r="D28" s="8"/>
      <c r="E28" s="8"/>
      <c r="F28" s="8">
        <v>1</v>
      </c>
      <c r="G28" s="8" t="s">
        <v>8</v>
      </c>
      <c r="H28" s="8">
        <v>1</v>
      </c>
    </row>
    <row r="29" spans="1:16" x14ac:dyDescent="0.25">
      <c r="A29" s="8" t="s">
        <v>92</v>
      </c>
      <c r="B29" s="9" t="str">
        <f>bolso("Bolso quemados",Table621[])</f>
        <v xml:space="preserve">Bolso quemados Contiene:  Mascara RCP x1, </v>
      </c>
      <c r="C29" s="8"/>
      <c r="D29" s="8"/>
      <c r="E29" s="8"/>
      <c r="F29" s="8">
        <v>1</v>
      </c>
      <c r="G29" s="8" t="s">
        <v>8</v>
      </c>
      <c r="H29" s="8">
        <v>1</v>
      </c>
    </row>
    <row r="30" spans="1:16"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6" x14ac:dyDescent="0.25">
      <c r="A31" s="8" t="s">
        <v>524</v>
      </c>
      <c r="B31" s="9" t="s">
        <v>525</v>
      </c>
      <c r="C31" s="8"/>
      <c r="D31" s="8"/>
      <c r="E31" s="8"/>
      <c r="F31" s="8">
        <v>1</v>
      </c>
      <c r="G31" s="8" t="s">
        <v>5</v>
      </c>
      <c r="H31" s="8">
        <v>1</v>
      </c>
    </row>
    <row r="32" spans="1:16" x14ac:dyDescent="0.25">
      <c r="A32" s="8" t="s">
        <v>524</v>
      </c>
      <c r="B32" s="9" t="s">
        <v>526</v>
      </c>
      <c r="C32" s="8"/>
      <c r="D32" s="8"/>
      <c r="E32" s="8"/>
      <c r="F32" s="8">
        <v>1</v>
      </c>
      <c r="G32" s="8" t="s">
        <v>5</v>
      </c>
      <c r="H32" s="8">
        <v>1</v>
      </c>
    </row>
    <row r="33" spans="1:8" x14ac:dyDescent="0.25">
      <c r="A33" s="8" t="s">
        <v>524</v>
      </c>
      <c r="B33" s="9" t="s">
        <v>527</v>
      </c>
      <c r="C33" s="8"/>
      <c r="D33" s="8"/>
      <c r="E33" s="8"/>
      <c r="F33" s="8">
        <v>5</v>
      </c>
      <c r="G33" s="8" t="s">
        <v>5</v>
      </c>
      <c r="H33" s="8">
        <v>1</v>
      </c>
    </row>
    <row r="34" spans="1:8" x14ac:dyDescent="0.25">
      <c r="A34" s="8" t="s">
        <v>524</v>
      </c>
      <c r="B34" s="9" t="s">
        <v>528</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J4:J8 A1:A22 J10:J1048576"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J1:J3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10"/>
  <sheetViews>
    <sheetView topLeftCell="A75" workbookViewId="0">
      <selection activeCell="A86" sqref="A86"/>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395</v>
      </c>
      <c r="U1" t="s">
        <v>212</v>
      </c>
      <c r="V1" t="s">
        <v>160</v>
      </c>
    </row>
    <row r="2" spans="1:22" x14ac:dyDescent="0.25">
      <c r="A2" t="s">
        <v>100</v>
      </c>
      <c r="F2" t="s">
        <v>119</v>
      </c>
      <c r="G2" t="s">
        <v>225</v>
      </c>
      <c r="H2" t="s">
        <v>37</v>
      </c>
      <c r="I2" t="s">
        <v>256</v>
      </c>
      <c r="J2" t="s">
        <v>66</v>
      </c>
      <c r="K2" t="s">
        <v>70</v>
      </c>
      <c r="M2" t="s">
        <v>605</v>
      </c>
      <c r="N2" t="s">
        <v>52</v>
      </c>
      <c r="P2" t="s">
        <v>107</v>
      </c>
      <c r="Q2" t="s">
        <v>127</v>
      </c>
      <c r="R2" t="s">
        <v>236</v>
      </c>
      <c r="S2" t="s">
        <v>237</v>
      </c>
      <c r="T2" t="s">
        <v>532</v>
      </c>
      <c r="U2" t="s">
        <v>461</v>
      </c>
      <c r="V2" t="s">
        <v>653</v>
      </c>
    </row>
    <row r="3" spans="1:22" x14ac:dyDescent="0.25">
      <c r="A3" t="s">
        <v>320</v>
      </c>
      <c r="F3" s="4" t="s">
        <v>50</v>
      </c>
      <c r="G3" t="s">
        <v>72</v>
      </c>
      <c r="H3" t="s">
        <v>38</v>
      </c>
      <c r="J3" t="s">
        <v>65</v>
      </c>
      <c r="K3" t="s">
        <v>69</v>
      </c>
      <c r="P3" t="s">
        <v>108</v>
      </c>
      <c r="Q3" t="s">
        <v>128</v>
      </c>
      <c r="S3" t="s">
        <v>544</v>
      </c>
      <c r="T3" t="s">
        <v>644</v>
      </c>
      <c r="U3" t="s">
        <v>108</v>
      </c>
      <c r="V3" t="s">
        <v>654</v>
      </c>
    </row>
    <row r="4" spans="1:22" x14ac:dyDescent="0.25">
      <c r="A4" t="s">
        <v>43</v>
      </c>
      <c r="F4" t="s">
        <v>79</v>
      </c>
      <c r="G4" t="s">
        <v>288</v>
      </c>
      <c r="H4" t="s">
        <v>103</v>
      </c>
      <c r="K4" t="s">
        <v>67</v>
      </c>
      <c r="P4" t="s">
        <v>106</v>
      </c>
      <c r="Q4" t="s">
        <v>129</v>
      </c>
      <c r="T4" t="s">
        <v>645</v>
      </c>
    </row>
    <row r="5" spans="1:22" x14ac:dyDescent="0.25">
      <c r="A5" t="s">
        <v>307</v>
      </c>
      <c r="F5" s="5" t="s">
        <v>30</v>
      </c>
      <c r="G5" t="s">
        <v>33</v>
      </c>
      <c r="K5" t="s">
        <v>45</v>
      </c>
      <c r="P5" t="s">
        <v>468</v>
      </c>
      <c r="Q5" t="s">
        <v>130</v>
      </c>
      <c r="T5" t="s">
        <v>646</v>
      </c>
    </row>
    <row r="6" spans="1:22" x14ac:dyDescent="0.25">
      <c r="A6" t="s">
        <v>466</v>
      </c>
      <c r="F6" t="s">
        <v>77</v>
      </c>
      <c r="G6" t="s">
        <v>52</v>
      </c>
      <c r="K6" t="s">
        <v>64</v>
      </c>
      <c r="Q6" t="s">
        <v>125</v>
      </c>
    </row>
    <row r="7" spans="1:22" x14ac:dyDescent="0.25">
      <c r="A7" t="s">
        <v>139</v>
      </c>
      <c r="F7" t="s">
        <v>58</v>
      </c>
      <c r="I7" t="s">
        <v>41</v>
      </c>
      <c r="K7" t="s">
        <v>301</v>
      </c>
      <c r="Q7" t="s">
        <v>126</v>
      </c>
    </row>
    <row r="8" spans="1:22" x14ac:dyDescent="0.25">
      <c r="A8" t="s">
        <v>109</v>
      </c>
      <c r="F8" t="s">
        <v>121</v>
      </c>
    </row>
    <row r="9" spans="1:22" x14ac:dyDescent="0.25">
      <c r="A9" t="s">
        <v>469</v>
      </c>
      <c r="F9" s="3" t="s">
        <v>31</v>
      </c>
      <c r="L9" t="s">
        <v>55</v>
      </c>
      <c r="M9" t="s">
        <v>63</v>
      </c>
      <c r="N9" t="s">
        <v>33</v>
      </c>
      <c r="O9" t="s">
        <v>52</v>
      </c>
    </row>
    <row r="10" spans="1:22" x14ac:dyDescent="0.25">
      <c r="A10" t="s">
        <v>467</v>
      </c>
      <c r="F10" t="s">
        <v>123</v>
      </c>
    </row>
    <row r="11" spans="1:22" x14ac:dyDescent="0.25">
      <c r="A11" t="s">
        <v>116</v>
      </c>
      <c r="F11" t="s">
        <v>290</v>
      </c>
    </row>
    <row r="12" spans="1:22" x14ac:dyDescent="0.25">
      <c r="A12" s="1" t="s">
        <v>92</v>
      </c>
    </row>
    <row r="13" spans="1:22" x14ac:dyDescent="0.25">
      <c r="A13" t="s">
        <v>215</v>
      </c>
    </row>
    <row r="14" spans="1:22" x14ac:dyDescent="0.25">
      <c r="A14" t="s">
        <v>374</v>
      </c>
    </row>
    <row r="15" spans="1:22" x14ac:dyDescent="0.25">
      <c r="A15" t="s">
        <v>143</v>
      </c>
    </row>
    <row r="16" spans="1:22" x14ac:dyDescent="0.25">
      <c r="A16" t="s">
        <v>400</v>
      </c>
    </row>
    <row r="17" spans="1:1" x14ac:dyDescent="0.25">
      <c r="A17" t="s">
        <v>89</v>
      </c>
    </row>
    <row r="18" spans="1:1" x14ac:dyDescent="0.25">
      <c r="A18" t="s">
        <v>253</v>
      </c>
    </row>
    <row r="19" spans="1:1" x14ac:dyDescent="0.25">
      <c r="A19" t="s">
        <v>46</v>
      </c>
    </row>
    <row r="20" spans="1:1" x14ac:dyDescent="0.25">
      <c r="A20" t="s">
        <v>362</v>
      </c>
    </row>
    <row r="21" spans="1:1" x14ac:dyDescent="0.25">
      <c r="A21" t="s">
        <v>427</v>
      </c>
    </row>
    <row r="22" spans="1:1" x14ac:dyDescent="0.25">
      <c r="A22" t="s">
        <v>395</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418</v>
      </c>
    </row>
    <row r="30" spans="1:1" x14ac:dyDescent="0.25">
      <c r="A30" t="s">
        <v>188</v>
      </c>
    </row>
    <row r="31" spans="1:1" x14ac:dyDescent="0.25">
      <c r="A31" t="s">
        <v>80</v>
      </c>
    </row>
    <row r="32" spans="1:1" x14ac:dyDescent="0.25">
      <c r="A32" t="s">
        <v>35</v>
      </c>
    </row>
    <row r="33" spans="1:1" x14ac:dyDescent="0.25">
      <c r="A33" t="s">
        <v>346</v>
      </c>
    </row>
    <row r="34" spans="1:1" x14ac:dyDescent="0.25">
      <c r="A34" t="s">
        <v>378</v>
      </c>
    </row>
    <row r="35" spans="1:1" x14ac:dyDescent="0.25">
      <c r="A35" t="s">
        <v>365</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473</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474</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471</v>
      </c>
    </row>
    <row r="56" spans="1:1" x14ac:dyDescent="0.25">
      <c r="A56" t="s">
        <v>146</v>
      </c>
    </row>
    <row r="57" spans="1:1" x14ac:dyDescent="0.25">
      <c r="A57" t="s">
        <v>314</v>
      </c>
    </row>
    <row r="58" spans="1:1" x14ac:dyDescent="0.25">
      <c r="A58" t="s">
        <v>140</v>
      </c>
    </row>
    <row r="59" spans="1:1" x14ac:dyDescent="0.25">
      <c r="A59" t="s">
        <v>151</v>
      </c>
    </row>
    <row r="60" spans="1:1" x14ac:dyDescent="0.25">
      <c r="A60" t="s">
        <v>144</v>
      </c>
    </row>
    <row r="61" spans="1:1" x14ac:dyDescent="0.25">
      <c r="A61" t="s">
        <v>380</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391</v>
      </c>
    </row>
    <row r="68" spans="1:1" x14ac:dyDescent="0.25">
      <c r="A68" t="s">
        <v>386</v>
      </c>
    </row>
    <row r="69" spans="1:1" x14ac:dyDescent="0.25">
      <c r="A69" t="s">
        <v>217</v>
      </c>
    </row>
    <row r="70" spans="1:1" x14ac:dyDescent="0.25">
      <c r="A70" t="s">
        <v>95</v>
      </c>
    </row>
    <row r="71" spans="1:1" x14ac:dyDescent="0.25">
      <c r="A71" t="s">
        <v>44</v>
      </c>
    </row>
    <row r="72" spans="1:1" x14ac:dyDescent="0.25">
      <c r="A72" t="s">
        <v>193</v>
      </c>
    </row>
    <row r="73" spans="1:1" x14ac:dyDescent="0.25">
      <c r="A73" t="s">
        <v>476</v>
      </c>
    </row>
    <row r="74" spans="1:1" x14ac:dyDescent="0.25">
      <c r="A74" t="s">
        <v>470</v>
      </c>
    </row>
    <row r="75" spans="1:1" x14ac:dyDescent="0.25">
      <c r="A75" t="s">
        <v>88</v>
      </c>
    </row>
    <row r="76" spans="1:1" x14ac:dyDescent="0.25">
      <c r="A76" t="s">
        <v>472</v>
      </c>
    </row>
    <row r="77" spans="1:1" x14ac:dyDescent="0.25">
      <c r="A77" t="s">
        <v>87</v>
      </c>
    </row>
    <row r="78" spans="1:1" x14ac:dyDescent="0.25">
      <c r="A78" t="s">
        <v>394</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480</v>
      </c>
    </row>
    <row r="85" spans="1:1" x14ac:dyDescent="0.25">
      <c r="A85" t="s">
        <v>483</v>
      </c>
    </row>
    <row r="86" spans="1:1" x14ac:dyDescent="0.25">
      <c r="A86" t="s">
        <v>485</v>
      </c>
    </row>
    <row r="87" spans="1:1" x14ac:dyDescent="0.25">
      <c r="A87" t="s">
        <v>486</v>
      </c>
    </row>
    <row r="88" spans="1:1" x14ac:dyDescent="0.25">
      <c r="A88" t="s">
        <v>495</v>
      </c>
    </row>
    <row r="89" spans="1:1" x14ac:dyDescent="0.25">
      <c r="A89" t="s">
        <v>496</v>
      </c>
    </row>
    <row r="90" spans="1:1" x14ac:dyDescent="0.25">
      <c r="A90" t="s">
        <v>497</v>
      </c>
    </row>
    <row r="91" spans="1:1" x14ac:dyDescent="0.25">
      <c r="A91" t="s">
        <v>498</v>
      </c>
    </row>
    <row r="92" spans="1:1" x14ac:dyDescent="0.25">
      <c r="A92" t="s">
        <v>499</v>
      </c>
    </row>
    <row r="93" spans="1:1" x14ac:dyDescent="0.25">
      <c r="A93" t="s">
        <v>503</v>
      </c>
    </row>
    <row r="94" spans="1:1" x14ac:dyDescent="0.25">
      <c r="A94" t="s">
        <v>506</v>
      </c>
    </row>
    <row r="95" spans="1:1" x14ac:dyDescent="0.25">
      <c r="A95" t="s">
        <v>507</v>
      </c>
    </row>
    <row r="96" spans="1:1" x14ac:dyDescent="0.25">
      <c r="A96" t="s">
        <v>508</v>
      </c>
    </row>
    <row r="97" spans="1:1" x14ac:dyDescent="0.25">
      <c r="A97" t="s">
        <v>509</v>
      </c>
    </row>
    <row r="98" spans="1:1" x14ac:dyDescent="0.25">
      <c r="A98" t="s">
        <v>514</v>
      </c>
    </row>
    <row r="99" spans="1:1" x14ac:dyDescent="0.25">
      <c r="A99" t="s">
        <v>518</v>
      </c>
    </row>
    <row r="100" spans="1:1" x14ac:dyDescent="0.25">
      <c r="A100" t="s">
        <v>560</v>
      </c>
    </row>
    <row r="101" spans="1:1" x14ac:dyDescent="0.25">
      <c r="A101" t="s">
        <v>619</v>
      </c>
    </row>
    <row r="102" spans="1:1" x14ac:dyDescent="0.25">
      <c r="A102" t="s">
        <v>626</v>
      </c>
    </row>
    <row r="103" spans="1:1" x14ac:dyDescent="0.25">
      <c r="A103" t="s">
        <v>632</v>
      </c>
    </row>
    <row r="104" spans="1:1" x14ac:dyDescent="0.25">
      <c r="A104" t="s">
        <v>673</v>
      </c>
    </row>
    <row r="105" spans="1:1" x14ac:dyDescent="0.25">
      <c r="A105" t="s">
        <v>680</v>
      </c>
    </row>
    <row r="106" spans="1:1" x14ac:dyDescent="0.25">
      <c r="A106" t="s">
        <v>681</v>
      </c>
    </row>
    <row r="107" spans="1:1" x14ac:dyDescent="0.25">
      <c r="A107" t="s">
        <v>688</v>
      </c>
    </row>
    <row r="108" spans="1:1" x14ac:dyDescent="0.25">
      <c r="A108" t="s">
        <v>689</v>
      </c>
    </row>
    <row r="109" spans="1:1" x14ac:dyDescent="0.25">
      <c r="A109" t="s">
        <v>690</v>
      </c>
    </row>
    <row r="110" spans="1:1" x14ac:dyDescent="0.25">
      <c r="A110" t="s">
        <v>696</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47</vt:i4>
      </vt:variant>
    </vt:vector>
  </HeadingPairs>
  <TitlesOfParts>
    <vt:vector size="56"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2019-02-28T00:09:03Z</dcterms:modified>
</cp:coreProperties>
</file>