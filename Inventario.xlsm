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08DC09E5-D533-4AD0-89F9-5104DB8E34FE}" xr6:coauthVersionLast="40" xr6:coauthVersionMax="40" xr10:uidLastSave="{00000000-0000-0000-0000-000000000000}"/>
  <bookViews>
    <workbookView xWindow="-120" yWindow="-120" windowWidth="20730" windowHeight="11160" firstSheet="1" activeTab="4"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90" i="4"/>
  <c r="B87" i="4"/>
  <c r="B40" i="4"/>
  <c r="B67" i="4"/>
  <c r="B12" i="4"/>
  <c r="B61" i="4"/>
  <c r="B63" i="4"/>
  <c r="B89" i="4"/>
  <c r="B85" i="4"/>
  <c r="B35" i="4"/>
  <c r="B64" i="4"/>
  <c r="B10" i="4"/>
  <c r="B37" i="4"/>
  <c r="B69" i="1"/>
  <c r="B30" i="7"/>
  <c r="B6" i="7"/>
  <c r="B26" i="7"/>
  <c r="B88" i="4"/>
  <c r="B54" i="4"/>
  <c r="B65" i="4"/>
  <c r="B60" i="4"/>
  <c r="B38" i="4"/>
  <c r="B66" i="4"/>
  <c r="B105" i="1"/>
  <c r="B27" i="1"/>
  <c r="B86" i="4"/>
  <c r="B11" i="4"/>
  <c r="B39" i="4"/>
  <c r="B59" i="4"/>
  <c r="B34" i="4"/>
  <c r="B62" i="4"/>
  <c r="B29" i="7"/>
  <c r="B4" i="7"/>
  <c r="B5" i="7"/>
  <c r="B77" i="8"/>
  <c r="B32" i="8"/>
  <c r="B76" i="8"/>
  <c r="B78" i="8"/>
  <c r="B31" i="8"/>
  <c r="B30" i="8"/>
</calcChain>
</file>

<file path=xl/sharedStrings.xml><?xml version="1.0" encoding="utf-8"?>
<sst xmlns="http://schemas.openxmlformats.org/spreadsheetml/2006/main" count="2217" uniqueCount="678">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</sst>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32" totalsRowShown="0">
  <autoFilter ref="J3:N32"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8" totalsRowShown="0">
  <autoFilter ref="P3:P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N46" totalsRowShown="0">
  <autoFilter ref="J3:N46" xr:uid="{F64C4D09-9588-45B3-A069-41EC67E79E9D}"/>
  <tableColumns count="5">
    <tableColumn id="1" xr3:uid="{E29A2BD3-9958-4292-B6D3-70720983B09F}" name="Material"/>
    <tableColumn id="2" xr3:uid="{A86B4CDB-1ED6-4EAC-BFF8-5B77FA04F67F}" name="Cantidad"/>
    <tableColumn id="3" xr3:uid="{E132B31A-E29A-479E-BA42-A16EC3D24FF8}" name="Bolso"/>
    <tableColumn id="4" xr3:uid="{4D54AC53-8600-4FD8-93B3-26701C4F0C10}" name="Categoria"/>
    <tableColumn id="5" xr3:uid="{0E934890-7DF2-4649-98DA-39F4FE067C9D}" name="Medida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P3:P13" totalsRowShown="0">
  <autoFilter ref="P3:P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R4:Z8" totalsRowShown="0">
  <autoFilter ref="R4:Z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9" dataDxfId="8">
  <autoFilter ref="A1:H9" xr:uid="{457D8B93-05A8-45D1-A609-71A6A311AD05}"/>
  <sortState ref="A2:H135">
    <sortCondition ref="G2:G135"/>
    <sortCondition ref="H2:H135"/>
    <sortCondition ref="A2:A135"/>
  </sortState>
  <tableColumns count="8">
    <tableColumn id="1" xr3:uid="{55BD14F0-E66D-452C-AFF3-87BBA173A115}" name="Categoria" dataDxfId="7"/>
    <tableColumn id="2" xr3:uid="{60F3859F-A565-4FB3-981A-BD333DBD68CB}" name="Descripcion" dataDxfId="6"/>
    <tableColumn id="3" xr3:uid="{506B4F8D-96F8-480A-ABAA-ED38D4D1E27F}" name="Medidas" dataDxfId="5"/>
    <tableColumn id="4" xr3:uid="{43411A3F-3399-4BC0-849F-F795ACF9FFE9}" name="marca" dataDxfId="4"/>
    <tableColumn id="5" xr3:uid="{1ED9114D-170A-43B6-B49C-6D57225B4023}" name="N/ de serie" dataDxfId="3"/>
    <tableColumn id="7" xr3:uid="{0E3B0CE1-7CEE-4F0F-9B55-4D0171D39B85}" name="cant" dataDxfId="2"/>
    <tableColumn id="6" xr3:uid="{ABC8F4C2-BB8E-4F4D-A226-E6E794842ED3}" name="Cajonera" dataDxfId="1"/>
    <tableColumn id="8" xr3:uid="{3BA68BFC-1ECF-4773-9364-E4875D861C00}" name="Compartimiento" dataDxfId="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L6" totalsRowShown="0">
  <autoFilter ref="J3:L6" xr:uid="{8E2224EB-0F4D-4F91-80DD-A4DCE2C4C521}"/>
  <tableColumns count="3">
    <tableColumn id="1" xr3:uid="{045CE641-8CEB-4FC7-99A5-AEC7E208C01C}" name="Material"/>
    <tableColumn id="2" xr3:uid="{08508A29-B266-49C8-AF14-6DF530FE6FF4}"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N3:N4" insertRow="1" totalsRowShown="0">
  <autoFilter ref="N3:N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P4:R5" totalsRowShown="0">
  <autoFilter ref="P4:R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31" dataDxfId="30">
  <autoFilter ref="A1:H21" xr:uid="{9BEA3E99-12FC-4092-94CA-0CD530761350}"/>
  <sortState ref="A2:H135">
    <sortCondition ref="G2:G135"/>
    <sortCondition ref="H2:H135"/>
    <sortCondition ref="A2:A135"/>
  </sortState>
  <tableColumns count="8">
    <tableColumn id="1" xr3:uid="{59F451BF-799E-467F-87E6-D1A92B2F2F19}" name="Categoria" dataDxfId="29"/>
    <tableColumn id="2" xr3:uid="{7B78AF34-49C2-4BC7-88BB-EB59466AF70E}" name="Descripcion" dataDxfId="28"/>
    <tableColumn id="3" xr3:uid="{91AE2D4D-14E6-4D02-A2AE-5C64C2399D48}" name="Medidas" dataDxfId="27"/>
    <tableColumn id="4" xr3:uid="{5862D588-22B6-471B-9202-79CB070BA9F1}" name="marca" dataDxfId="26"/>
    <tableColumn id="5" xr3:uid="{2E34E0CF-7BE5-4082-9DDE-726BF5669D7D}" name="N/ de serie" dataDxfId="25"/>
    <tableColumn id="7" xr3:uid="{2E9D9731-27A3-4A80-B0FD-D982940A817F}" name="cant" dataDxfId="24"/>
    <tableColumn id="6" xr3:uid="{29E6860E-7FCC-42E5-BD7A-DD1148407EF7}" name="Cajonera" dataDxfId="23"/>
    <tableColumn id="8" xr3:uid="{176739AE-F62A-4931-BD7F-D9296054E437}" name="Compartimiento" dataDxfId="2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21" dataDxfId="20">
  <autoFilter ref="A1:H34" xr:uid="{00000000-0009-0000-0100-000001000000}"/>
  <sortState ref="A2:H135">
    <sortCondition ref="G2:G135"/>
    <sortCondition ref="H2:H135"/>
    <sortCondition ref="A2:A135"/>
  </sortState>
  <tableColumns count="8">
    <tableColumn id="1" xr3:uid="{F908C9F5-DD8B-443A-A527-DCABD33B8237}" name="Categoria" dataDxfId="19"/>
    <tableColumn id="2" xr3:uid="{8036B6F2-C43F-461F-A164-185E9010DABA}" name="Descripcion" dataDxfId="18"/>
    <tableColumn id="3" xr3:uid="{4B73C355-844D-4708-8DD2-3BAA3380C699}" name="Medidas" dataDxfId="17"/>
    <tableColumn id="4" xr3:uid="{0D85BE5C-3096-482C-BC13-95741D8C8766}" name="marca" dataDxfId="16"/>
    <tableColumn id="5" xr3:uid="{86876B37-5F66-4B8C-9658-6F4D3F570100}" name="N/ de serie" dataDxfId="15"/>
    <tableColumn id="7" xr3:uid="{DDA2BF92-6F99-4EE6-8D4C-490484E63590}" name="cant" dataDxfId="14"/>
    <tableColumn id="6" xr3:uid="{65BD277E-AD38-49FE-8584-2B2393B38D9E}" name="Cajonera" dataDxfId="13"/>
    <tableColumn id="8" xr3:uid="{1DEC6FAA-BE51-4355-AD37-F311FED3A618}" name="Compartimiento" dataDxfId="1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3" totalsRowShown="0" headerRowDxfId="11" tableBorderDxfId="10">
  <autoFilter ref="A1:A103"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4.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9"/>
  <sheetViews>
    <sheetView topLeftCell="H1" workbookViewId="0">
      <pane ySplit="1" topLeftCell="A2" activePane="bottomLeft" state="frozen"/>
      <selection pane="bottomLeft" activeCell="N3" sqref="N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240</v>
      </c>
      <c r="G1" s="6" t="s">
        <v>13</v>
      </c>
      <c r="H1" s="6" t="s">
        <v>232</v>
      </c>
    </row>
    <row r="2" spans="1:24" x14ac:dyDescent="0.25">
      <c r="A2" s="6" t="s">
        <v>97</v>
      </c>
      <c r="B2" s="9" t="s">
        <v>85</v>
      </c>
      <c r="C2" s="8"/>
      <c r="D2" s="8" t="s">
        <v>96</v>
      </c>
      <c r="E2" s="8">
        <v>315000341</v>
      </c>
      <c r="F2" s="8">
        <v>1</v>
      </c>
      <c r="G2" s="8" t="s">
        <v>8</v>
      </c>
      <c r="H2" s="8">
        <v>1</v>
      </c>
    </row>
    <row r="3" spans="1:24" x14ac:dyDescent="0.25">
      <c r="A3" s="8" t="s">
        <v>241</v>
      </c>
      <c r="B3" s="9" t="s">
        <v>85</v>
      </c>
      <c r="C3" s="8"/>
      <c r="D3" s="8"/>
      <c r="E3" s="8"/>
      <c r="F3" s="8">
        <v>1</v>
      </c>
      <c r="G3" s="8" t="s">
        <v>8</v>
      </c>
      <c r="H3" s="8">
        <v>1</v>
      </c>
      <c r="J3" t="s">
        <v>16</v>
      </c>
      <c r="K3" t="s">
        <v>18</v>
      </c>
      <c r="L3" t="s">
        <v>14</v>
      </c>
      <c r="M3" t="s">
        <v>0</v>
      </c>
      <c r="N3" t="s">
        <v>2</v>
      </c>
      <c r="P3" t="s">
        <v>28</v>
      </c>
      <c r="R3" s="13" t="s">
        <v>230</v>
      </c>
      <c r="S3" s="13"/>
      <c r="T3" s="13"/>
      <c r="U3" s="13"/>
      <c r="V3" s="13"/>
      <c r="W3" s="13"/>
    </row>
    <row r="4" spans="1:24" x14ac:dyDescent="0.25">
      <c r="A4" s="8" t="s">
        <v>95</v>
      </c>
      <c r="B4" s="9" t="s">
        <v>85</v>
      </c>
      <c r="C4" s="8"/>
      <c r="D4" s="8" t="s">
        <v>96</v>
      </c>
      <c r="E4" s="8">
        <v>28999</v>
      </c>
      <c r="F4" s="8">
        <v>1</v>
      </c>
      <c r="G4" s="8" t="s">
        <v>8</v>
      </c>
      <c r="H4" s="8">
        <v>1</v>
      </c>
      <c r="J4" t="s">
        <v>17</v>
      </c>
      <c r="K4">
        <v>2</v>
      </c>
      <c r="L4" t="s">
        <v>15</v>
      </c>
      <c r="M4" t="s">
        <v>156</v>
      </c>
      <c r="P4" t="s">
        <v>15</v>
      </c>
      <c r="R4" t="s">
        <v>8</v>
      </c>
      <c r="S4" t="s">
        <v>5</v>
      </c>
      <c r="T4" t="s">
        <v>6</v>
      </c>
      <c r="U4" t="s">
        <v>9</v>
      </c>
      <c r="V4" t="s">
        <v>10</v>
      </c>
      <c r="W4" t="s">
        <v>7</v>
      </c>
      <c r="X4" t="s">
        <v>36</v>
      </c>
    </row>
    <row r="5" spans="1:24" x14ac:dyDescent="0.25">
      <c r="A5" s="8" t="s">
        <v>100</v>
      </c>
      <c r="B5" s="9" t="s">
        <v>101</v>
      </c>
      <c r="C5" s="8"/>
      <c r="D5" s="8" t="s">
        <v>96</v>
      </c>
      <c r="E5" s="8">
        <v>150181011</v>
      </c>
      <c r="F5" s="8">
        <v>2</v>
      </c>
      <c r="G5" s="8" t="s">
        <v>8</v>
      </c>
      <c r="H5" s="8">
        <v>2</v>
      </c>
      <c r="J5" t="s">
        <v>19</v>
      </c>
      <c r="K5">
        <v>2</v>
      </c>
      <c r="L5" t="s">
        <v>15</v>
      </c>
      <c r="M5" t="s">
        <v>156</v>
      </c>
      <c r="P5" t="s">
        <v>29</v>
      </c>
      <c r="R5">
        <v>1</v>
      </c>
      <c r="S5">
        <v>1</v>
      </c>
      <c r="T5">
        <v>1</v>
      </c>
      <c r="U5">
        <v>1</v>
      </c>
      <c r="V5">
        <v>1</v>
      </c>
      <c r="W5" t="s">
        <v>231</v>
      </c>
      <c r="X5" t="s">
        <v>36</v>
      </c>
    </row>
    <row r="6" spans="1:24" x14ac:dyDescent="0.25">
      <c r="A6" s="8" t="s">
        <v>100</v>
      </c>
      <c r="B6" s="9" t="s">
        <v>102</v>
      </c>
      <c r="C6" s="8" t="s">
        <v>103</v>
      </c>
      <c r="D6" s="8"/>
      <c r="E6" s="8"/>
      <c r="F6" s="8">
        <v>1</v>
      </c>
      <c r="G6" s="8" t="s">
        <v>8</v>
      </c>
      <c r="H6" s="8">
        <v>2</v>
      </c>
      <c r="J6" t="s">
        <v>20</v>
      </c>
      <c r="K6">
        <v>1</v>
      </c>
      <c r="L6" t="s">
        <v>15</v>
      </c>
      <c r="M6" t="s">
        <v>156</v>
      </c>
      <c r="P6" t="s">
        <v>545</v>
      </c>
      <c r="R6">
        <v>2</v>
      </c>
      <c r="V6">
        <v>2</v>
      </c>
      <c r="W6" t="s">
        <v>233</v>
      </c>
    </row>
    <row r="7" spans="1:24" x14ac:dyDescent="0.25">
      <c r="A7" s="8" t="s">
        <v>100</v>
      </c>
      <c r="B7" s="9" t="s">
        <v>102</v>
      </c>
      <c r="C7" s="8" t="s">
        <v>104</v>
      </c>
      <c r="D7" s="8"/>
      <c r="E7" s="8"/>
      <c r="F7" s="8">
        <v>1</v>
      </c>
      <c r="G7" s="8" t="s">
        <v>8</v>
      </c>
      <c r="H7" s="8">
        <v>2</v>
      </c>
      <c r="J7" t="s">
        <v>21</v>
      </c>
      <c r="K7">
        <v>1</v>
      </c>
      <c r="L7" t="s">
        <v>15</v>
      </c>
      <c r="M7" t="s">
        <v>156</v>
      </c>
      <c r="P7" t="s">
        <v>29</v>
      </c>
      <c r="R7">
        <v>3</v>
      </c>
      <c r="V7">
        <v>3</v>
      </c>
      <c r="W7" t="s">
        <v>234</v>
      </c>
    </row>
    <row r="8" spans="1:24" x14ac:dyDescent="0.25">
      <c r="A8" s="8" t="s">
        <v>100</v>
      </c>
      <c r="B8" s="9" t="s">
        <v>113</v>
      </c>
      <c r="C8" s="8"/>
      <c r="D8" s="8" t="s">
        <v>96</v>
      </c>
      <c r="E8" s="8"/>
      <c r="F8" s="8">
        <v>2</v>
      </c>
      <c r="G8" s="8" t="s">
        <v>8</v>
      </c>
      <c r="H8" s="8">
        <v>2</v>
      </c>
      <c r="J8" t="s">
        <v>22</v>
      </c>
      <c r="K8">
        <v>1</v>
      </c>
      <c r="L8" t="s">
        <v>15</v>
      </c>
      <c r="M8" t="s">
        <v>156</v>
      </c>
      <c r="P8" t="s">
        <v>546</v>
      </c>
      <c r="R8">
        <v>4</v>
      </c>
    </row>
    <row r="9" spans="1:24" x14ac:dyDescent="0.25">
      <c r="A9" s="8" t="s">
        <v>109</v>
      </c>
      <c r="B9" s="9" t="s">
        <v>110</v>
      </c>
      <c r="C9" s="8" t="s">
        <v>127</v>
      </c>
      <c r="D9" s="8"/>
      <c r="E9" s="8"/>
      <c r="F9" s="8">
        <v>2</v>
      </c>
      <c r="G9" s="8" t="s">
        <v>8</v>
      </c>
      <c r="H9" s="8">
        <v>2</v>
      </c>
      <c r="J9" t="s">
        <v>24</v>
      </c>
      <c r="K9">
        <v>1</v>
      </c>
      <c r="L9" t="s">
        <v>15</v>
      </c>
      <c r="M9" t="s">
        <v>156</v>
      </c>
    </row>
    <row r="10" spans="1:24" x14ac:dyDescent="0.25">
      <c r="A10" s="8" t="s">
        <v>109</v>
      </c>
      <c r="B10" s="9" t="s">
        <v>114</v>
      </c>
      <c r="C10" s="8"/>
      <c r="D10" s="8"/>
      <c r="E10" s="8"/>
      <c r="F10" s="8">
        <v>1</v>
      </c>
      <c r="G10" s="8" t="s">
        <v>8</v>
      </c>
      <c r="H10" s="8">
        <v>2</v>
      </c>
      <c r="J10" t="s">
        <v>25</v>
      </c>
      <c r="K10">
        <v>1</v>
      </c>
      <c r="L10" t="s">
        <v>15</v>
      </c>
      <c r="M10" t="s">
        <v>156</v>
      </c>
    </row>
    <row r="11" spans="1:24" x14ac:dyDescent="0.25">
      <c r="A11" s="8" t="s">
        <v>242</v>
      </c>
      <c r="B11" s="9"/>
      <c r="C11" s="8"/>
      <c r="D11" s="8" t="s">
        <v>96</v>
      </c>
      <c r="E11" s="8"/>
      <c r="F11" s="8">
        <v>1</v>
      </c>
      <c r="G11" s="8" t="s">
        <v>8</v>
      </c>
      <c r="H11" s="8">
        <v>2</v>
      </c>
      <c r="J11" t="s">
        <v>26</v>
      </c>
      <c r="K11">
        <v>4</v>
      </c>
      <c r="L11" t="s">
        <v>15</v>
      </c>
      <c r="M11" t="s">
        <v>156</v>
      </c>
    </row>
    <row r="12" spans="1:24" x14ac:dyDescent="0.25">
      <c r="A12" s="8" t="s">
        <v>105</v>
      </c>
      <c r="B12" s="9"/>
      <c r="C12" s="8" t="s">
        <v>107</v>
      </c>
      <c r="D12" s="8"/>
      <c r="E12" s="8"/>
      <c r="F12" s="8">
        <v>5</v>
      </c>
      <c r="G12" s="8" t="s">
        <v>8</v>
      </c>
      <c r="H12" s="8">
        <v>2</v>
      </c>
      <c r="J12" t="s">
        <v>23</v>
      </c>
      <c r="K12">
        <v>1</v>
      </c>
      <c r="L12" t="s">
        <v>15</v>
      </c>
      <c r="M12" t="s">
        <v>156</v>
      </c>
    </row>
    <row r="13" spans="1:24" x14ac:dyDescent="0.25">
      <c r="A13" s="8" t="s">
        <v>111</v>
      </c>
      <c r="B13" s="9" t="s">
        <v>112</v>
      </c>
      <c r="C13" s="8"/>
      <c r="D13" s="8"/>
      <c r="E13" s="8"/>
      <c r="F13" s="8">
        <v>1</v>
      </c>
      <c r="G13" s="8" t="s">
        <v>8</v>
      </c>
      <c r="H13" s="8">
        <v>2</v>
      </c>
      <c r="J13" t="s">
        <v>148</v>
      </c>
      <c r="K13">
        <v>10</v>
      </c>
      <c r="L13" t="s">
        <v>546</v>
      </c>
      <c r="M13" t="s">
        <v>481</v>
      </c>
    </row>
    <row r="14" spans="1:24" x14ac:dyDescent="0.25">
      <c r="A14" s="8" t="s">
        <v>243</v>
      </c>
      <c r="B14" s="9" t="s">
        <v>98</v>
      </c>
      <c r="C14" s="8"/>
      <c r="D14" s="8" t="s">
        <v>99</v>
      </c>
      <c r="E14" s="8"/>
      <c r="F14" s="8">
        <v>1</v>
      </c>
      <c r="G14" s="8" t="s">
        <v>8</v>
      </c>
      <c r="H14" s="8">
        <v>2</v>
      </c>
      <c r="J14" t="s">
        <v>149</v>
      </c>
      <c r="K14">
        <v>4</v>
      </c>
      <c r="L14" t="s">
        <v>546</v>
      </c>
      <c r="M14" t="s">
        <v>481</v>
      </c>
    </row>
    <row r="15" spans="1:24" x14ac:dyDescent="0.25">
      <c r="A15" s="8" t="s">
        <v>244</v>
      </c>
      <c r="B15" s="9" t="s">
        <v>98</v>
      </c>
      <c r="C15" s="8"/>
      <c r="D15" s="8"/>
      <c r="E15" s="8"/>
      <c r="F15" s="8">
        <v>1</v>
      </c>
      <c r="G15" s="8" t="s">
        <v>8</v>
      </c>
      <c r="H15" s="8">
        <v>2</v>
      </c>
      <c r="J15" t="s">
        <v>150</v>
      </c>
      <c r="K15">
        <v>3</v>
      </c>
      <c r="L15" t="s">
        <v>546</v>
      </c>
      <c r="M15" t="s">
        <v>481</v>
      </c>
    </row>
    <row r="16" spans="1:24" x14ac:dyDescent="0.25">
      <c r="A16" s="8" t="s">
        <v>116</v>
      </c>
      <c r="B16" s="9"/>
      <c r="C16" s="8" t="s">
        <v>117</v>
      </c>
      <c r="D16" s="8"/>
      <c r="E16" s="8"/>
      <c r="F16" s="8">
        <v>1</v>
      </c>
      <c r="G16" s="8" t="s">
        <v>8</v>
      </c>
      <c r="H16" s="8">
        <v>3</v>
      </c>
      <c r="J16" t="s">
        <v>196</v>
      </c>
      <c r="K16">
        <v>1</v>
      </c>
      <c r="L16" t="s">
        <v>29</v>
      </c>
      <c r="M16" t="s">
        <v>140</v>
      </c>
    </row>
    <row r="17" spans="1:13" x14ac:dyDescent="0.25">
      <c r="A17" s="8" t="s">
        <v>116</v>
      </c>
      <c r="B17" s="9"/>
      <c r="C17" s="8" t="s">
        <v>38</v>
      </c>
      <c r="D17" s="8"/>
      <c r="E17" s="8"/>
      <c r="F17" s="8">
        <v>1</v>
      </c>
      <c r="G17" s="8" t="s">
        <v>8</v>
      </c>
      <c r="H17" s="8">
        <v>3</v>
      </c>
      <c r="J17" t="s">
        <v>141</v>
      </c>
      <c r="K17">
        <v>0</v>
      </c>
      <c r="L17" t="s">
        <v>29</v>
      </c>
      <c r="M17" t="s">
        <v>140</v>
      </c>
    </row>
    <row r="18" spans="1:13" x14ac:dyDescent="0.25">
      <c r="A18" s="8" t="s">
        <v>89</v>
      </c>
      <c r="B18" s="9"/>
      <c r="C18" s="8"/>
      <c r="D18" s="8"/>
      <c r="E18" s="8"/>
      <c r="F18" s="8">
        <v>3</v>
      </c>
      <c r="G18" s="8" t="s">
        <v>8</v>
      </c>
      <c r="H18" s="8">
        <v>3</v>
      </c>
      <c r="J18" t="s">
        <v>197</v>
      </c>
      <c r="K18">
        <v>0</v>
      </c>
      <c r="L18" t="s">
        <v>29</v>
      </c>
      <c r="M18" t="s">
        <v>156</v>
      </c>
    </row>
    <row r="19" spans="1:13" x14ac:dyDescent="0.25">
      <c r="A19" s="8" t="s">
        <v>86</v>
      </c>
      <c r="B19" s="9"/>
      <c r="C19" s="8" t="s">
        <v>52</v>
      </c>
      <c r="D19" s="8"/>
      <c r="E19" s="8"/>
      <c r="F19" s="8">
        <v>1</v>
      </c>
      <c r="G19" s="8" t="s">
        <v>8</v>
      </c>
      <c r="H19" s="8">
        <v>3</v>
      </c>
      <c r="J19" t="s">
        <v>198</v>
      </c>
      <c r="K19">
        <v>2</v>
      </c>
      <c r="L19" t="s">
        <v>29</v>
      </c>
      <c r="M19" t="s">
        <v>156</v>
      </c>
    </row>
    <row r="20" spans="1:13" x14ac:dyDescent="0.25">
      <c r="A20" s="8" t="s">
        <v>88</v>
      </c>
      <c r="B20" s="9" t="s">
        <v>544</v>
      </c>
      <c r="C20" s="8"/>
      <c r="D20" s="8"/>
      <c r="E20" s="8"/>
      <c r="F20" s="8">
        <v>4</v>
      </c>
      <c r="G20" s="8" t="s">
        <v>8</v>
      </c>
      <c r="H20" s="8">
        <v>3</v>
      </c>
      <c r="J20" t="s">
        <v>199</v>
      </c>
      <c r="K20">
        <v>0</v>
      </c>
      <c r="L20" t="s">
        <v>29</v>
      </c>
      <c r="M20" t="s">
        <v>156</v>
      </c>
    </row>
    <row r="21" spans="1:13" x14ac:dyDescent="0.25">
      <c r="A21" s="8" t="s">
        <v>88</v>
      </c>
      <c r="B21" s="9" t="s">
        <v>115</v>
      </c>
      <c r="C21" s="8"/>
      <c r="D21" s="8"/>
      <c r="E21" s="8"/>
      <c r="F21" s="8">
        <v>1</v>
      </c>
      <c r="G21" s="8" t="s">
        <v>8</v>
      </c>
      <c r="H21" s="8">
        <v>3</v>
      </c>
      <c r="J21" t="s">
        <v>200</v>
      </c>
      <c r="K21">
        <v>1</v>
      </c>
      <c r="L21" t="s">
        <v>29</v>
      </c>
      <c r="M21" t="s">
        <v>156</v>
      </c>
    </row>
    <row r="22" spans="1:13" x14ac:dyDescent="0.25">
      <c r="A22" s="8" t="s">
        <v>90</v>
      </c>
      <c r="B22" s="9" t="s">
        <v>91</v>
      </c>
      <c r="C22" s="8"/>
      <c r="D22" s="8"/>
      <c r="E22" s="8"/>
      <c r="F22" s="8">
        <v>1</v>
      </c>
      <c r="G22" s="8" t="s">
        <v>8</v>
      </c>
      <c r="H22" s="8">
        <v>3</v>
      </c>
      <c r="J22" t="s">
        <v>201</v>
      </c>
      <c r="K22">
        <v>1</v>
      </c>
      <c r="L22" t="s">
        <v>29</v>
      </c>
      <c r="M22" t="s">
        <v>156</v>
      </c>
    </row>
    <row r="23" spans="1:13" x14ac:dyDescent="0.25">
      <c r="A23" s="8" t="s">
        <v>83</v>
      </c>
      <c r="B23" s="9" t="s">
        <v>245</v>
      </c>
      <c r="C23" s="8"/>
      <c r="D23" s="8"/>
      <c r="E23" s="8"/>
      <c r="F23" s="8">
        <v>1</v>
      </c>
      <c r="G23" s="8" t="s">
        <v>8</v>
      </c>
      <c r="H23" s="8">
        <v>4</v>
      </c>
      <c r="J23" t="s">
        <v>26</v>
      </c>
      <c r="K23">
        <v>0</v>
      </c>
      <c r="L23" t="s">
        <v>29</v>
      </c>
      <c r="M23" t="s">
        <v>156</v>
      </c>
    </row>
    <row r="24" spans="1:13" x14ac:dyDescent="0.25">
      <c r="A24" s="8" t="s">
        <v>80</v>
      </c>
      <c r="B24" s="9" t="s">
        <v>81</v>
      </c>
      <c r="C24" s="8"/>
      <c r="D24" s="8" t="s">
        <v>82</v>
      </c>
      <c r="E24" s="8">
        <v>25</v>
      </c>
      <c r="F24" s="8">
        <v>1</v>
      </c>
      <c r="G24" s="8" t="s">
        <v>8</v>
      </c>
      <c r="H24" s="8">
        <v>4</v>
      </c>
      <c r="J24" t="s">
        <v>202</v>
      </c>
      <c r="K24">
        <v>4</v>
      </c>
      <c r="L24" t="s">
        <v>29</v>
      </c>
      <c r="M24" t="s">
        <v>156</v>
      </c>
    </row>
    <row r="25" spans="1:13" ht="30" x14ac:dyDescent="0.25">
      <c r="A25" s="8" t="s">
        <v>80</v>
      </c>
      <c r="B25" s="9" t="s">
        <v>84</v>
      </c>
      <c r="C25" s="8"/>
      <c r="D25" s="8"/>
      <c r="E25" s="8"/>
      <c r="F25" s="8">
        <v>1</v>
      </c>
      <c r="G25" s="8" t="s">
        <v>8</v>
      </c>
      <c r="H25" s="8">
        <v>4</v>
      </c>
      <c r="J25" t="s">
        <v>203</v>
      </c>
      <c r="K25">
        <v>1</v>
      </c>
      <c r="L25" t="s">
        <v>29</v>
      </c>
      <c r="M25" t="s">
        <v>156</v>
      </c>
    </row>
    <row r="26" spans="1:13" x14ac:dyDescent="0.25">
      <c r="A26" s="8" t="s">
        <v>241</v>
      </c>
      <c r="B26" s="9" t="s">
        <v>94</v>
      </c>
      <c r="C26" s="8"/>
      <c r="D26" s="8"/>
      <c r="E26" s="8"/>
      <c r="F26" s="8">
        <v>1</v>
      </c>
      <c r="G26" s="8" t="s">
        <v>8</v>
      </c>
      <c r="H26" s="8">
        <v>4</v>
      </c>
      <c r="J26" t="s">
        <v>204</v>
      </c>
      <c r="K26">
        <v>1</v>
      </c>
      <c r="L26" t="s">
        <v>29</v>
      </c>
      <c r="M26" t="s">
        <v>156</v>
      </c>
    </row>
    <row r="27" spans="1:13"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J27" t="s">
        <v>205</v>
      </c>
      <c r="K27">
        <v>1</v>
      </c>
      <c r="L27" t="s">
        <v>29</v>
      </c>
      <c r="M27" t="s">
        <v>156</v>
      </c>
    </row>
    <row r="28" spans="1:13" x14ac:dyDescent="0.25">
      <c r="A28" s="8" t="s">
        <v>32</v>
      </c>
      <c r="B28" s="9" t="s">
        <v>71</v>
      </c>
      <c r="C28" s="8" t="s">
        <v>33</v>
      </c>
      <c r="D28" s="8" t="s">
        <v>27</v>
      </c>
      <c r="E28" s="8">
        <v>2130600061</v>
      </c>
      <c r="F28" s="8">
        <v>2</v>
      </c>
      <c r="G28" s="8" t="s">
        <v>5</v>
      </c>
      <c r="H28" s="8">
        <v>1</v>
      </c>
      <c r="J28" t="s">
        <v>206</v>
      </c>
      <c r="K28">
        <v>1</v>
      </c>
      <c r="L28" t="s">
        <v>29</v>
      </c>
      <c r="M28" t="s">
        <v>156</v>
      </c>
    </row>
    <row r="29" spans="1:13" x14ac:dyDescent="0.25">
      <c r="A29" s="8" t="s">
        <v>32</v>
      </c>
      <c r="B29" s="9" t="s">
        <v>74</v>
      </c>
      <c r="C29" s="8" t="s">
        <v>33</v>
      </c>
      <c r="D29" s="8" t="s">
        <v>27</v>
      </c>
      <c r="E29" s="8" t="s">
        <v>27</v>
      </c>
      <c r="F29" s="8">
        <v>1</v>
      </c>
      <c r="G29" s="8" t="s">
        <v>5</v>
      </c>
      <c r="H29" s="8">
        <v>1</v>
      </c>
      <c r="J29" t="s">
        <v>207</v>
      </c>
      <c r="K29">
        <v>2</v>
      </c>
      <c r="L29" t="s">
        <v>29</v>
      </c>
      <c r="M29" t="s">
        <v>156</v>
      </c>
    </row>
    <row r="30" spans="1:13" x14ac:dyDescent="0.25">
      <c r="A30" s="8" t="s">
        <v>32</v>
      </c>
      <c r="B30" s="9" t="s">
        <v>71</v>
      </c>
      <c r="C30" s="8" t="s">
        <v>72</v>
      </c>
      <c r="D30" s="8" t="s">
        <v>27</v>
      </c>
      <c r="E30" s="8" t="s">
        <v>78</v>
      </c>
      <c r="F30" s="8">
        <v>1</v>
      </c>
      <c r="G30" s="8" t="s">
        <v>5</v>
      </c>
      <c r="H30" s="8">
        <v>1</v>
      </c>
      <c r="J30" t="s">
        <v>208</v>
      </c>
      <c r="K30">
        <v>1</v>
      </c>
      <c r="L30" t="s">
        <v>29</v>
      </c>
      <c r="M30" t="s">
        <v>156</v>
      </c>
    </row>
    <row r="31" spans="1:13" x14ac:dyDescent="0.25">
      <c r="A31" s="8" t="s">
        <v>73</v>
      </c>
      <c r="B31" s="9" t="s">
        <v>71</v>
      </c>
      <c r="C31" s="8" t="s">
        <v>72</v>
      </c>
      <c r="D31" s="8" t="s">
        <v>27</v>
      </c>
      <c r="E31" s="8" t="s">
        <v>27</v>
      </c>
      <c r="F31" s="8">
        <v>1</v>
      </c>
      <c r="G31" s="8" t="s">
        <v>5</v>
      </c>
      <c r="H31" s="8">
        <v>1</v>
      </c>
      <c r="J31" t="s">
        <v>209</v>
      </c>
      <c r="K31">
        <v>1</v>
      </c>
      <c r="L31" t="s">
        <v>29</v>
      </c>
      <c r="M31" t="s">
        <v>156</v>
      </c>
    </row>
    <row r="32" spans="1:13" x14ac:dyDescent="0.25">
      <c r="A32" s="8" t="s">
        <v>11</v>
      </c>
      <c r="B32" s="9" t="s">
        <v>75</v>
      </c>
      <c r="C32" s="8" t="s">
        <v>30</v>
      </c>
      <c r="D32" s="8" t="s">
        <v>27</v>
      </c>
      <c r="E32" s="8" t="s">
        <v>27</v>
      </c>
      <c r="F32" s="8">
        <v>3</v>
      </c>
      <c r="G32" s="8" t="s">
        <v>5</v>
      </c>
      <c r="H32" s="8">
        <v>1</v>
      </c>
      <c r="J32" t="s">
        <v>547</v>
      </c>
      <c r="L32" t="s">
        <v>545</v>
      </c>
      <c r="M32" t="s">
        <v>481</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c r="C126" s="9" t="s">
        <v>554</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6">
    <dataValidation type="list" allowBlank="1" showInputMessage="1" showErrorMessage="1" sqref="A90 A117:A118 A120:A123 A140:A1048576 A1:A88 A94:A95 M4:M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N1:N3 N47:N1048576 H132:H1048576 H1:H126" xr:uid="{F2DC22E0-CF8D-439B-BECD-43669397755E}">
      <formula1>INDEX(Compartimientos,0,MATCH(OFFSET(INDIRECT(ADDRESS(ROW(), COLUMN())),0,-1),Cajoneras,0))</formula1>
    </dataValidation>
    <dataValidation type="list" allowBlank="1" showInputMessage="1" showErrorMessage="1" sqref="P14 N4:N32" xr:uid="{44DDC578-AA09-4DE5-B930-E67B6BA36566}">
      <formula1>INDEX(Medidas,0,MATCH(OFFSET(INDIRECT(ADDRESS(ROW(), COLUMN())),0,-1),categoriasDeMedidas,0))</formula1>
    </dataValidation>
    <dataValidation type="list" allowBlank="1" showInputMessage="1" showErrorMessage="1" sqref="L4:L13 L16:L31" xr:uid="{B42A14F1-F620-4535-8278-9BE3E2D91DD1}">
      <formula1>Bolsos</formula1>
    </dataValidation>
    <dataValidation type="list" allowBlank="1" showInputMessage="1" showErrorMessage="1" sqref="G132:G1048576 G1:G126" xr:uid="{BE90CED2-C975-4E7D-82E9-3A42B0777B45}">
      <formula1>Cajoneras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M1:M3 M47:M1048576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Z139"/>
  <sheetViews>
    <sheetView topLeftCell="A33" workbookViewId="0">
      <selection activeCell="J44" sqref="J44"/>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6" width="21.5703125" bestFit="1" customWidth="1"/>
    <col min="17" max="17" width="26" customWidth="1"/>
    <col min="19" max="23" width="12.42578125" customWidth="1"/>
    <col min="24" max="24" width="9.85546875" customWidth="1"/>
  </cols>
  <sheetData>
    <row r="1" spans="1:26" x14ac:dyDescent="0.25">
      <c r="A1" s="6" t="s">
        <v>0</v>
      </c>
      <c r="B1" s="7" t="s">
        <v>1</v>
      </c>
      <c r="C1" s="6" t="s">
        <v>2</v>
      </c>
      <c r="D1" s="6" t="s">
        <v>3</v>
      </c>
      <c r="E1" s="6" t="s">
        <v>4</v>
      </c>
      <c r="F1" s="6" t="s">
        <v>240</v>
      </c>
      <c r="G1" s="6" t="s">
        <v>13</v>
      </c>
      <c r="H1" s="6" t="s">
        <v>232</v>
      </c>
    </row>
    <row r="2" spans="1:26" x14ac:dyDescent="0.25">
      <c r="A2" s="6" t="s">
        <v>88</v>
      </c>
      <c r="B2" s="9" t="s">
        <v>555</v>
      </c>
      <c r="C2" s="8"/>
      <c r="D2" s="8"/>
      <c r="E2" s="8"/>
      <c r="F2" s="8">
        <v>1</v>
      </c>
      <c r="G2" s="8" t="s">
        <v>309</v>
      </c>
      <c r="H2" s="8">
        <v>1</v>
      </c>
    </row>
    <row r="3" spans="1:26" x14ac:dyDescent="0.25">
      <c r="A3" s="8" t="s">
        <v>88</v>
      </c>
      <c r="B3" s="9" t="s">
        <v>556</v>
      </c>
      <c r="C3" s="8"/>
      <c r="D3" s="8"/>
      <c r="E3" s="8"/>
      <c r="F3" s="8">
        <v>3</v>
      </c>
      <c r="G3" s="8" t="s">
        <v>309</v>
      </c>
      <c r="H3" s="8">
        <v>1</v>
      </c>
      <c r="J3" t="s">
        <v>16</v>
      </c>
      <c r="K3" t="s">
        <v>18</v>
      </c>
      <c r="L3" t="s">
        <v>14</v>
      </c>
      <c r="M3" t="s">
        <v>0</v>
      </c>
      <c r="N3" t="s">
        <v>2</v>
      </c>
      <c r="P3" t="s">
        <v>28</v>
      </c>
      <c r="R3" s="13" t="s">
        <v>230</v>
      </c>
      <c r="S3" s="13"/>
      <c r="T3" s="13"/>
      <c r="U3" s="13"/>
      <c r="V3" s="13"/>
      <c r="W3" s="13"/>
    </row>
    <row r="4" spans="1:26" x14ac:dyDescent="0.25">
      <c r="A4" s="8" t="s">
        <v>242</v>
      </c>
      <c r="B4" s="9"/>
      <c r="C4" s="8"/>
      <c r="D4" s="8" t="s">
        <v>360</v>
      </c>
      <c r="E4" s="8"/>
      <c r="F4" s="8">
        <v>1</v>
      </c>
      <c r="G4" s="8" t="s">
        <v>309</v>
      </c>
      <c r="H4" s="8">
        <v>1</v>
      </c>
      <c r="J4" t="s">
        <v>581</v>
      </c>
      <c r="K4">
        <v>3</v>
      </c>
      <c r="L4" t="s">
        <v>15</v>
      </c>
      <c r="M4" t="s">
        <v>156</v>
      </c>
      <c r="P4" t="s">
        <v>15</v>
      </c>
      <c r="R4" t="s">
        <v>8</v>
      </c>
      <c r="S4" t="s">
        <v>5</v>
      </c>
      <c r="T4" t="s">
        <v>6</v>
      </c>
      <c r="U4" t="s">
        <v>9</v>
      </c>
      <c r="V4" t="s">
        <v>10</v>
      </c>
      <c r="W4" t="s">
        <v>257</v>
      </c>
      <c r="X4" t="s">
        <v>309</v>
      </c>
      <c r="Y4" t="s">
        <v>7</v>
      </c>
      <c r="Z4" t="s">
        <v>36</v>
      </c>
    </row>
    <row r="5" spans="1:26" x14ac:dyDescent="0.25">
      <c r="A5" s="8" t="s">
        <v>100</v>
      </c>
      <c r="B5" s="9" t="s">
        <v>557</v>
      </c>
      <c r="C5" s="8"/>
      <c r="D5" s="8"/>
      <c r="E5" s="8"/>
      <c r="F5" s="8">
        <v>1</v>
      </c>
      <c r="G5" s="8" t="s">
        <v>309</v>
      </c>
      <c r="H5" s="8">
        <v>1</v>
      </c>
      <c r="J5" t="s">
        <v>582</v>
      </c>
      <c r="K5">
        <v>1</v>
      </c>
      <c r="L5" t="s">
        <v>15</v>
      </c>
      <c r="M5" t="s">
        <v>156</v>
      </c>
      <c r="P5" t="s">
        <v>587</v>
      </c>
      <c r="R5">
        <v>1</v>
      </c>
      <c r="S5">
        <v>1</v>
      </c>
      <c r="T5">
        <v>1</v>
      </c>
      <c r="U5">
        <v>1</v>
      </c>
      <c r="V5">
        <v>1</v>
      </c>
      <c r="W5">
        <v>1</v>
      </c>
      <c r="X5">
        <v>1</v>
      </c>
      <c r="Y5" t="s">
        <v>231</v>
      </c>
      <c r="Z5" t="s">
        <v>36</v>
      </c>
    </row>
    <row r="6" spans="1:26" x14ac:dyDescent="0.25">
      <c r="A6" s="8" t="s">
        <v>83</v>
      </c>
      <c r="B6" s="9"/>
      <c r="C6" s="8"/>
      <c r="D6" s="8" t="s">
        <v>558</v>
      </c>
      <c r="E6" s="8">
        <v>1813</v>
      </c>
      <c r="F6" s="8">
        <v>1</v>
      </c>
      <c r="G6" s="8" t="s">
        <v>309</v>
      </c>
      <c r="H6" s="8">
        <v>1</v>
      </c>
      <c r="J6" t="s">
        <v>453</v>
      </c>
      <c r="K6">
        <v>3</v>
      </c>
      <c r="L6" t="s">
        <v>15</v>
      </c>
      <c r="M6" t="s">
        <v>156</v>
      </c>
      <c r="P6" t="s">
        <v>590</v>
      </c>
      <c r="R6">
        <v>2</v>
      </c>
      <c r="V6">
        <v>2</v>
      </c>
      <c r="Y6" t="s">
        <v>233</v>
      </c>
    </row>
    <row r="7" spans="1:26" x14ac:dyDescent="0.25">
      <c r="A7" s="8" t="s">
        <v>559</v>
      </c>
      <c r="B7" s="9" t="s">
        <v>112</v>
      </c>
      <c r="C7" s="8"/>
      <c r="D7" s="8"/>
      <c r="E7" s="8"/>
      <c r="F7" s="8">
        <v>1</v>
      </c>
      <c r="G7" s="8" t="s">
        <v>309</v>
      </c>
      <c r="H7" s="8">
        <v>1</v>
      </c>
      <c r="J7" t="s">
        <v>452</v>
      </c>
      <c r="K7">
        <v>3</v>
      </c>
      <c r="L7" t="s">
        <v>15</v>
      </c>
      <c r="M7" t="s">
        <v>156</v>
      </c>
      <c r="P7" t="s">
        <v>395</v>
      </c>
      <c r="R7">
        <v>3</v>
      </c>
      <c r="V7">
        <v>3</v>
      </c>
      <c r="Y7" t="s">
        <v>234</v>
      </c>
    </row>
    <row r="8" spans="1:26" x14ac:dyDescent="0.25">
      <c r="A8" s="8" t="s">
        <v>371</v>
      </c>
      <c r="B8" s="9"/>
      <c r="C8" s="8"/>
      <c r="D8" s="8" t="s">
        <v>558</v>
      </c>
      <c r="E8" s="8">
        <v>851</v>
      </c>
      <c r="F8" s="8">
        <v>1</v>
      </c>
      <c r="G8" s="8" t="s">
        <v>309</v>
      </c>
      <c r="H8" s="8">
        <v>1</v>
      </c>
      <c r="J8" t="s">
        <v>583</v>
      </c>
      <c r="K8">
        <v>1</v>
      </c>
      <c r="L8" t="s">
        <v>15</v>
      </c>
      <c r="M8" t="s">
        <v>156</v>
      </c>
      <c r="P8" t="s">
        <v>632</v>
      </c>
      <c r="R8">
        <v>4</v>
      </c>
    </row>
    <row r="9" spans="1:26" x14ac:dyDescent="0.25">
      <c r="A9" s="8" t="s">
        <v>368</v>
      </c>
      <c r="B9" s="9"/>
      <c r="C9" s="8"/>
      <c r="D9" s="8" t="s">
        <v>558</v>
      </c>
      <c r="E9" s="8">
        <v>722</v>
      </c>
      <c r="F9" s="8">
        <v>1</v>
      </c>
      <c r="G9" s="8" t="s">
        <v>309</v>
      </c>
      <c r="H9" s="8">
        <v>1</v>
      </c>
      <c r="J9" t="s">
        <v>584</v>
      </c>
      <c r="K9">
        <v>1</v>
      </c>
      <c r="L9" t="s">
        <v>15</v>
      </c>
      <c r="M9" t="s">
        <v>156</v>
      </c>
      <c r="P9" t="s">
        <v>636</v>
      </c>
    </row>
    <row r="10" spans="1:26" x14ac:dyDescent="0.25">
      <c r="A10" s="8" t="s">
        <v>80</v>
      </c>
      <c r="B10" s="9"/>
      <c r="C10" s="8"/>
      <c r="D10" s="8" t="s">
        <v>558</v>
      </c>
      <c r="E10" s="8">
        <v>1626</v>
      </c>
      <c r="F10" s="8">
        <v>1</v>
      </c>
      <c r="G10" s="8" t="s">
        <v>309</v>
      </c>
      <c r="H10" s="8">
        <v>1</v>
      </c>
      <c r="J10" t="s">
        <v>23</v>
      </c>
      <c r="K10">
        <v>1</v>
      </c>
      <c r="L10" t="s">
        <v>15</v>
      </c>
      <c r="M10" t="s">
        <v>156</v>
      </c>
      <c r="P10" t="s">
        <v>396</v>
      </c>
    </row>
    <row r="11" spans="1:26" x14ac:dyDescent="0.25">
      <c r="A11" s="8" t="s">
        <v>95</v>
      </c>
      <c r="B11" s="9"/>
      <c r="C11" s="8"/>
      <c r="D11" s="8" t="s">
        <v>558</v>
      </c>
      <c r="E11" s="8">
        <v>1110</v>
      </c>
      <c r="F11" s="8">
        <v>1</v>
      </c>
      <c r="G11" s="8" t="s">
        <v>309</v>
      </c>
      <c r="H11" s="8">
        <v>1</v>
      </c>
      <c r="J11" t="s">
        <v>585</v>
      </c>
      <c r="K11">
        <v>2</v>
      </c>
      <c r="L11" t="s">
        <v>15</v>
      </c>
      <c r="M11" t="s">
        <v>156</v>
      </c>
      <c r="P11" t="s">
        <v>376</v>
      </c>
    </row>
    <row r="12" spans="1:26" x14ac:dyDescent="0.25">
      <c r="A12" s="8" t="s">
        <v>352</v>
      </c>
      <c r="B12" s="9" t="s">
        <v>560</v>
      </c>
      <c r="C12" s="8"/>
      <c r="D12" s="8" t="s">
        <v>561</v>
      </c>
      <c r="E12" s="8"/>
      <c r="F12" s="8">
        <v>1</v>
      </c>
      <c r="G12" s="8" t="s">
        <v>309</v>
      </c>
      <c r="H12" s="8">
        <v>1</v>
      </c>
      <c r="J12" t="s">
        <v>586</v>
      </c>
      <c r="K12">
        <v>1</v>
      </c>
      <c r="L12" t="s">
        <v>15</v>
      </c>
      <c r="M12" t="s">
        <v>156</v>
      </c>
      <c r="P12" t="s">
        <v>639</v>
      </c>
    </row>
    <row r="13" spans="1:26" x14ac:dyDescent="0.25">
      <c r="A13" s="8" t="s">
        <v>481</v>
      </c>
      <c r="B13" s="9" t="s">
        <v>562</v>
      </c>
      <c r="C13" s="8"/>
      <c r="D13" s="8"/>
      <c r="E13" s="8"/>
      <c r="F13" s="8">
        <v>2</v>
      </c>
      <c r="G13" s="8" t="s">
        <v>309</v>
      </c>
      <c r="H13" s="8">
        <v>1</v>
      </c>
      <c r="J13" t="s">
        <v>588</v>
      </c>
      <c r="K13">
        <v>3</v>
      </c>
      <c r="L13" t="s">
        <v>587</v>
      </c>
      <c r="M13" t="s">
        <v>90</v>
      </c>
      <c r="P13" t="s">
        <v>29</v>
      </c>
    </row>
    <row r="14" spans="1:26" x14ac:dyDescent="0.25">
      <c r="A14" s="8" t="s">
        <v>87</v>
      </c>
      <c r="B14" s="9"/>
      <c r="C14" s="8"/>
      <c r="D14" s="8"/>
      <c r="E14" s="8"/>
      <c r="F14" s="8">
        <v>4</v>
      </c>
      <c r="G14" s="8" t="s">
        <v>309</v>
      </c>
      <c r="H14" s="8">
        <v>1</v>
      </c>
      <c r="J14" t="s">
        <v>589</v>
      </c>
      <c r="K14">
        <v>1</v>
      </c>
      <c r="L14" t="s">
        <v>587</v>
      </c>
      <c r="M14" t="s">
        <v>482</v>
      </c>
    </row>
    <row r="15" spans="1:26" x14ac:dyDescent="0.25">
      <c r="A15" s="8" t="s">
        <v>12</v>
      </c>
      <c r="B15" s="9" t="s">
        <v>563</v>
      </c>
      <c r="C15" s="8" t="s">
        <v>470</v>
      </c>
      <c r="D15" s="8" t="s">
        <v>564</v>
      </c>
      <c r="E15" s="8"/>
      <c r="F15" s="8">
        <v>1</v>
      </c>
      <c r="G15" s="8" t="s">
        <v>257</v>
      </c>
      <c r="H15" s="8">
        <v>1</v>
      </c>
      <c r="J15" t="s">
        <v>404</v>
      </c>
      <c r="K15">
        <v>2</v>
      </c>
      <c r="L15" t="s">
        <v>590</v>
      </c>
      <c r="M15" t="s">
        <v>404</v>
      </c>
      <c r="N15" t="s">
        <v>406</v>
      </c>
    </row>
    <row r="16" spans="1:26" x14ac:dyDescent="0.25">
      <c r="A16" s="8" t="s">
        <v>12</v>
      </c>
      <c r="B16" s="9" t="s">
        <v>565</v>
      </c>
      <c r="C16" s="8"/>
      <c r="D16" s="8" t="s">
        <v>182</v>
      </c>
      <c r="E16" s="8" t="s">
        <v>566</v>
      </c>
      <c r="F16" s="8">
        <v>1</v>
      </c>
      <c r="G16" s="8" t="s">
        <v>257</v>
      </c>
      <c r="H16" s="8">
        <v>1</v>
      </c>
      <c r="J16" t="s">
        <v>404</v>
      </c>
      <c r="K16">
        <v>1</v>
      </c>
      <c r="L16" t="s">
        <v>590</v>
      </c>
      <c r="M16" t="s">
        <v>404</v>
      </c>
      <c r="N16" t="s">
        <v>591</v>
      </c>
    </row>
    <row r="17" spans="1:14" x14ac:dyDescent="0.25">
      <c r="A17" s="8" t="s">
        <v>12</v>
      </c>
      <c r="B17" s="9" t="s">
        <v>567</v>
      </c>
      <c r="C17" s="8"/>
      <c r="D17" s="8" t="s">
        <v>181</v>
      </c>
      <c r="E17" s="8" t="s">
        <v>568</v>
      </c>
      <c r="F17" s="8">
        <v>1</v>
      </c>
      <c r="G17" s="8" t="s">
        <v>257</v>
      </c>
      <c r="H17" s="8">
        <v>1</v>
      </c>
      <c r="J17" t="s">
        <v>478</v>
      </c>
      <c r="K17">
        <v>1</v>
      </c>
      <c r="L17" t="s">
        <v>590</v>
      </c>
      <c r="M17" t="s">
        <v>478</v>
      </c>
    </row>
    <row r="18" spans="1:14" x14ac:dyDescent="0.25">
      <c r="A18" s="8" t="s">
        <v>151</v>
      </c>
      <c r="B18" s="9"/>
      <c r="C18" s="8"/>
      <c r="D18" s="8"/>
      <c r="E18" s="8"/>
      <c r="F18" s="8"/>
      <c r="G18" s="8"/>
      <c r="H18" s="8"/>
      <c r="J18" t="s">
        <v>592</v>
      </c>
      <c r="K18">
        <v>1</v>
      </c>
      <c r="L18" t="s">
        <v>590</v>
      </c>
      <c r="M18" t="s">
        <v>478</v>
      </c>
    </row>
    <row r="19" spans="1:14" x14ac:dyDescent="0.25">
      <c r="A19" s="8" t="s">
        <v>569</v>
      </c>
      <c r="B19" s="9" t="s">
        <v>570</v>
      </c>
      <c r="C19" s="8"/>
      <c r="D19" s="8" t="s">
        <v>571</v>
      </c>
      <c r="E19" s="8"/>
      <c r="F19" s="8">
        <v>1</v>
      </c>
      <c r="G19" s="8" t="s">
        <v>10</v>
      </c>
      <c r="H19" s="8">
        <v>1</v>
      </c>
      <c r="J19" t="s">
        <v>593</v>
      </c>
      <c r="K19">
        <v>1</v>
      </c>
      <c r="L19" t="s">
        <v>590</v>
      </c>
      <c r="M19" t="s">
        <v>479</v>
      </c>
    </row>
    <row r="20" spans="1:14" x14ac:dyDescent="0.25">
      <c r="A20" s="8" t="s">
        <v>151</v>
      </c>
      <c r="B20" s="9" t="s">
        <v>572</v>
      </c>
      <c r="C20" s="8"/>
      <c r="D20" s="8"/>
      <c r="E20" s="8"/>
      <c r="F20" s="8">
        <v>2</v>
      </c>
      <c r="G20" s="8" t="s">
        <v>10</v>
      </c>
      <c r="H20" s="8">
        <v>1</v>
      </c>
      <c r="J20" t="s">
        <v>629</v>
      </c>
      <c r="K20">
        <v>1</v>
      </c>
      <c r="L20" t="s">
        <v>395</v>
      </c>
      <c r="M20" t="s">
        <v>628</v>
      </c>
    </row>
    <row r="21" spans="1:14" x14ac:dyDescent="0.25">
      <c r="A21" s="8" t="s">
        <v>11</v>
      </c>
      <c r="B21" s="9" t="s">
        <v>573</v>
      </c>
      <c r="C21" s="8" t="s">
        <v>123</v>
      </c>
      <c r="D21" s="8"/>
      <c r="E21" s="8"/>
      <c r="F21" s="8">
        <v>3</v>
      </c>
      <c r="G21" s="8" t="s">
        <v>10</v>
      </c>
      <c r="H21" s="8">
        <v>1</v>
      </c>
      <c r="J21" t="s">
        <v>631</v>
      </c>
      <c r="K21">
        <v>2</v>
      </c>
      <c r="L21" t="s">
        <v>395</v>
      </c>
      <c r="M21" t="s">
        <v>90</v>
      </c>
    </row>
    <row r="22" spans="1:14" x14ac:dyDescent="0.25">
      <c r="A22" s="8" t="s">
        <v>32</v>
      </c>
      <c r="B22" s="9" t="s">
        <v>574</v>
      </c>
      <c r="C22" s="8" t="s">
        <v>52</v>
      </c>
      <c r="D22" s="8" t="s">
        <v>575</v>
      </c>
      <c r="E22" s="8"/>
      <c r="F22" s="8">
        <v>1</v>
      </c>
      <c r="G22" s="8" t="s">
        <v>10</v>
      </c>
      <c r="H22" s="8">
        <v>1</v>
      </c>
      <c r="J22" t="s">
        <v>630</v>
      </c>
      <c r="L22" t="s">
        <v>395</v>
      </c>
      <c r="M22" t="s">
        <v>628</v>
      </c>
    </row>
    <row r="23" spans="1:14" x14ac:dyDescent="0.25">
      <c r="A23" s="8" t="s">
        <v>11</v>
      </c>
      <c r="B23" s="9"/>
      <c r="C23" s="8" t="s">
        <v>121</v>
      </c>
      <c r="D23" s="8"/>
      <c r="E23" s="8"/>
      <c r="F23" s="8">
        <v>5</v>
      </c>
      <c r="G23" s="8" t="s">
        <v>10</v>
      </c>
      <c r="H23" s="8">
        <v>1</v>
      </c>
      <c r="J23" t="s">
        <v>633</v>
      </c>
      <c r="K23">
        <v>1</v>
      </c>
      <c r="L23" t="s">
        <v>632</v>
      </c>
      <c r="M23" t="s">
        <v>635</v>
      </c>
    </row>
    <row r="24" spans="1:14" ht="30" x14ac:dyDescent="0.25">
      <c r="A24" s="8" t="s">
        <v>32</v>
      </c>
      <c r="B24" s="9" t="s">
        <v>576</v>
      </c>
      <c r="C24" s="8" t="s">
        <v>52</v>
      </c>
      <c r="D24" s="8" t="s">
        <v>577</v>
      </c>
      <c r="E24" s="8"/>
      <c r="F24" s="8">
        <v>1</v>
      </c>
      <c r="G24" s="8" t="s">
        <v>10</v>
      </c>
      <c r="H24" s="8">
        <v>1</v>
      </c>
      <c r="J24" t="s">
        <v>634</v>
      </c>
      <c r="K24">
        <v>6</v>
      </c>
      <c r="L24" t="s">
        <v>632</v>
      </c>
      <c r="M24" t="s">
        <v>409</v>
      </c>
    </row>
    <row r="25" spans="1:14" x14ac:dyDescent="0.25">
      <c r="A25" s="8" t="s">
        <v>175</v>
      </c>
      <c r="B25" s="9"/>
      <c r="C25" s="8" t="s">
        <v>237</v>
      </c>
      <c r="D25" s="8" t="s">
        <v>304</v>
      </c>
      <c r="E25" s="8"/>
      <c r="F25" s="8">
        <v>1</v>
      </c>
      <c r="G25" s="8" t="s">
        <v>10</v>
      </c>
      <c r="H25" s="8">
        <v>1</v>
      </c>
      <c r="J25" t="s">
        <v>637</v>
      </c>
      <c r="K25">
        <v>5</v>
      </c>
      <c r="L25" t="s">
        <v>636</v>
      </c>
      <c r="M25" t="s">
        <v>89</v>
      </c>
    </row>
    <row r="26" spans="1:14" x14ac:dyDescent="0.25">
      <c r="A26" s="8" t="s">
        <v>156</v>
      </c>
      <c r="B26" s="9" t="s">
        <v>578</v>
      </c>
      <c r="C26" s="8"/>
      <c r="D26" s="8"/>
      <c r="E26" s="8"/>
      <c r="F26" s="8">
        <v>1</v>
      </c>
      <c r="G26" s="8" t="s">
        <v>5</v>
      </c>
      <c r="H26" s="8">
        <v>1</v>
      </c>
      <c r="J26" t="s">
        <v>391</v>
      </c>
      <c r="K26">
        <v>6</v>
      </c>
      <c r="L26" t="s">
        <v>396</v>
      </c>
      <c r="M26" t="s">
        <v>90</v>
      </c>
    </row>
    <row r="27" spans="1:14" x14ac:dyDescent="0.25">
      <c r="A27" s="8" t="s">
        <v>156</v>
      </c>
      <c r="B27" s="9" t="s">
        <v>579</v>
      </c>
      <c r="C27" s="8"/>
      <c r="D27" s="8"/>
      <c r="E27" s="8"/>
      <c r="F27" s="8">
        <v>1</v>
      </c>
      <c r="G27" s="8" t="s">
        <v>5</v>
      </c>
      <c r="H27" s="8">
        <v>1</v>
      </c>
      <c r="J27" t="s">
        <v>638</v>
      </c>
      <c r="K27">
        <v>20</v>
      </c>
      <c r="L27" t="s">
        <v>376</v>
      </c>
      <c r="M27" t="s">
        <v>481</v>
      </c>
    </row>
    <row r="28" spans="1:14" x14ac:dyDescent="0.25">
      <c r="A28" s="8" t="s">
        <v>156</v>
      </c>
      <c r="B28" s="9" t="s">
        <v>580</v>
      </c>
      <c r="C28" s="8"/>
      <c r="D28" s="8"/>
      <c r="E28" s="8"/>
      <c r="F28" s="8">
        <v>1</v>
      </c>
      <c r="G28" s="8" t="s">
        <v>5</v>
      </c>
      <c r="H28" s="8">
        <v>1</v>
      </c>
      <c r="J28" t="s">
        <v>640</v>
      </c>
      <c r="L28" t="s">
        <v>639</v>
      </c>
      <c r="M28" t="s">
        <v>641</v>
      </c>
      <c r="N28" t="s">
        <v>642</v>
      </c>
    </row>
    <row r="29" spans="1:14" x14ac:dyDescent="0.25">
      <c r="A29" s="8" t="s">
        <v>154</v>
      </c>
      <c r="B29" s="9" t="s">
        <v>155</v>
      </c>
      <c r="C29" s="8"/>
      <c r="D29" s="8"/>
      <c r="E29" s="8"/>
      <c r="F29" s="8">
        <v>1</v>
      </c>
      <c r="G29" s="8" t="s">
        <v>5</v>
      </c>
      <c r="H29" s="8">
        <v>1</v>
      </c>
      <c r="J29" t="s">
        <v>640</v>
      </c>
      <c r="K29" t="s">
        <v>643</v>
      </c>
      <c r="L29" t="s">
        <v>639</v>
      </c>
      <c r="M29" t="s">
        <v>641</v>
      </c>
      <c r="N29" t="s">
        <v>645</v>
      </c>
    </row>
    <row r="30" spans="1:14" ht="75" x14ac:dyDescent="0.25">
      <c r="A30" s="8" t="s">
        <v>92</v>
      </c>
      <c r="B30" s="9" t="str">
        <f>bolso("Caja de herramientas 1",Table625[])</f>
        <v xml:space="preserve">Caja de herramientas 1 Contiene:  martillo x3,  llave francesa x1,  Destornillador phillips x3,  Destornillador plano x3,  llave union x1,  pico de loro x1,  pinza x1,  alicate x2,  llave 1/2 y 9/16 x1, </v>
      </c>
      <c r="C30" s="8"/>
      <c r="D30" s="8"/>
      <c r="E30" s="8"/>
      <c r="F30" s="8">
        <v>1</v>
      </c>
      <c r="G30" s="8" t="s">
        <v>5</v>
      </c>
      <c r="H30" s="8">
        <v>1</v>
      </c>
      <c r="J30" t="s">
        <v>640</v>
      </c>
      <c r="K30" t="s">
        <v>644</v>
      </c>
      <c r="L30" t="s">
        <v>639</v>
      </c>
      <c r="M30" t="s">
        <v>641</v>
      </c>
      <c r="N30" t="s">
        <v>646</v>
      </c>
    </row>
    <row r="31" spans="1:14" ht="60" x14ac:dyDescent="0.25">
      <c r="A31" s="8" t="s">
        <v>92</v>
      </c>
      <c r="B31" s="9" t="str">
        <f>bolso("Bolso de trauma 1",Table625[])</f>
        <v xml:space="preserve">Bolso de trauma 1 Contiene:  Collar cervical x2,  Collar cervical x1,  bolsa valvula mascara x1,  valvula-mascara  x1,  Disp. Succion manual x1, </v>
      </c>
      <c r="C31" s="8"/>
      <c r="D31" s="8"/>
      <c r="E31" s="8"/>
      <c r="F31" s="8">
        <v>1</v>
      </c>
      <c r="G31" s="8" t="s">
        <v>5</v>
      </c>
      <c r="H31" s="8">
        <v>1</v>
      </c>
      <c r="J31" t="s">
        <v>648</v>
      </c>
      <c r="L31" t="s">
        <v>639</v>
      </c>
      <c r="M31" t="s">
        <v>641</v>
      </c>
      <c r="N31" t="s">
        <v>647</v>
      </c>
    </row>
    <row r="32" spans="1:14" ht="30" x14ac:dyDescent="0.25">
      <c r="A32" s="8" t="s">
        <v>92</v>
      </c>
      <c r="B32" s="9" t="str">
        <f>bolso("Bolso de cadaveres",Table625[])</f>
        <v xml:space="preserve">Bolso de cadaveres Contiene:  Traje de aprox. Clase C x3,  Guantes p cadaver x1, </v>
      </c>
      <c r="C32" s="8"/>
      <c r="D32" s="8"/>
      <c r="E32" s="8"/>
      <c r="F32" s="8">
        <v>1</v>
      </c>
      <c r="G32" s="8" t="s">
        <v>5</v>
      </c>
      <c r="H32" s="8">
        <v>1</v>
      </c>
      <c r="J32" t="s">
        <v>648</v>
      </c>
      <c r="L32" t="s">
        <v>639</v>
      </c>
      <c r="M32" t="s">
        <v>641</v>
      </c>
      <c r="N32" t="s">
        <v>649</v>
      </c>
    </row>
    <row r="33" spans="1:14" x14ac:dyDescent="0.25">
      <c r="A33" s="8" t="s">
        <v>156</v>
      </c>
      <c r="B33" s="9" t="s">
        <v>594</v>
      </c>
      <c r="C33" s="8"/>
      <c r="D33" s="8"/>
      <c r="E33" s="8"/>
      <c r="F33" s="8">
        <v>1</v>
      </c>
      <c r="G33" s="8" t="s">
        <v>5</v>
      </c>
      <c r="H33" s="8">
        <v>1</v>
      </c>
      <c r="J33" t="s">
        <v>641</v>
      </c>
      <c r="K33" t="s">
        <v>651</v>
      </c>
      <c r="L33" t="s">
        <v>639</v>
      </c>
      <c r="M33" t="s">
        <v>641</v>
      </c>
      <c r="N33" t="s">
        <v>650</v>
      </c>
    </row>
    <row r="34" spans="1:14" x14ac:dyDescent="0.25">
      <c r="A34" s="8" t="s">
        <v>595</v>
      </c>
      <c r="B34" s="9" t="s">
        <v>596</v>
      </c>
      <c r="C34" s="8" t="s">
        <v>52</v>
      </c>
      <c r="D34" s="8"/>
      <c r="E34" s="8">
        <v>27348635</v>
      </c>
      <c r="F34" s="8"/>
      <c r="G34" s="8" t="s">
        <v>9</v>
      </c>
      <c r="H34" s="8">
        <v>1</v>
      </c>
      <c r="J34" t="s">
        <v>664</v>
      </c>
      <c r="K34">
        <v>1</v>
      </c>
      <c r="L34" t="s">
        <v>29</v>
      </c>
      <c r="M34" t="s">
        <v>665</v>
      </c>
    </row>
    <row r="35" spans="1:14" x14ac:dyDescent="0.25">
      <c r="A35" s="8" t="s">
        <v>59</v>
      </c>
      <c r="B35" s="9" t="s">
        <v>598</v>
      </c>
      <c r="C35" s="8" t="s">
        <v>52</v>
      </c>
      <c r="D35" s="8" t="s">
        <v>597</v>
      </c>
      <c r="E35" s="8"/>
      <c r="F35" s="8"/>
      <c r="G35" s="8" t="s">
        <v>9</v>
      </c>
      <c r="H35" s="8">
        <v>1</v>
      </c>
      <c r="J35" t="s">
        <v>205</v>
      </c>
      <c r="K35">
        <v>1</v>
      </c>
      <c r="L35" t="s">
        <v>29</v>
      </c>
      <c r="M35" t="s">
        <v>156</v>
      </c>
    </row>
    <row r="36" spans="1:14" x14ac:dyDescent="0.25">
      <c r="A36" s="8" t="s">
        <v>53</v>
      </c>
      <c r="B36" s="9"/>
      <c r="C36" s="8"/>
      <c r="D36" s="8"/>
      <c r="E36" s="8"/>
      <c r="F36" s="8">
        <v>7</v>
      </c>
      <c r="G36" s="8" t="s">
        <v>9</v>
      </c>
      <c r="H36" s="8">
        <v>1</v>
      </c>
      <c r="J36" t="s">
        <v>666</v>
      </c>
      <c r="K36">
        <v>2</v>
      </c>
      <c r="L36" t="s">
        <v>29</v>
      </c>
      <c r="M36" t="s">
        <v>156</v>
      </c>
    </row>
    <row r="37" spans="1:14" x14ac:dyDescent="0.25">
      <c r="A37" s="8" t="s">
        <v>599</v>
      </c>
      <c r="B37" s="9"/>
      <c r="C37" s="8" t="s">
        <v>52</v>
      </c>
      <c r="D37" s="8"/>
      <c r="E37" s="8"/>
      <c r="F37" s="8">
        <v>1</v>
      </c>
      <c r="G37" s="8" t="s">
        <v>9</v>
      </c>
      <c r="H37" s="8">
        <v>1</v>
      </c>
      <c r="J37" t="s">
        <v>667</v>
      </c>
      <c r="K37">
        <v>1</v>
      </c>
      <c r="L37" t="s">
        <v>29</v>
      </c>
      <c r="M37" t="s">
        <v>156</v>
      </c>
    </row>
    <row r="38" spans="1:14" x14ac:dyDescent="0.25">
      <c r="A38" s="8" t="s">
        <v>44</v>
      </c>
      <c r="B38" s="9" t="s">
        <v>600</v>
      </c>
      <c r="C38" s="8" t="s">
        <v>45</v>
      </c>
      <c r="D38" s="8"/>
      <c r="E38" s="8"/>
      <c r="F38" s="8">
        <v>1</v>
      </c>
      <c r="G38" s="8" t="s">
        <v>9</v>
      </c>
      <c r="H38" s="8">
        <v>1</v>
      </c>
      <c r="J38" t="s">
        <v>668</v>
      </c>
      <c r="K38">
        <v>1</v>
      </c>
      <c r="L38" t="s">
        <v>29</v>
      </c>
      <c r="M38" t="s">
        <v>156</v>
      </c>
    </row>
    <row r="39" spans="1:14" x14ac:dyDescent="0.25">
      <c r="A39" s="8" t="s">
        <v>11</v>
      </c>
      <c r="B39" s="9"/>
      <c r="C39" s="8" t="s">
        <v>123</v>
      </c>
      <c r="D39" s="8"/>
      <c r="E39" s="8"/>
      <c r="F39" s="8">
        <v>2</v>
      </c>
      <c r="G39" s="8" t="s">
        <v>9</v>
      </c>
      <c r="H39" s="8">
        <v>1</v>
      </c>
      <c r="J39" t="s">
        <v>669</v>
      </c>
      <c r="K39">
        <v>1</v>
      </c>
      <c r="L39" t="s">
        <v>29</v>
      </c>
      <c r="M39" t="s">
        <v>156</v>
      </c>
    </row>
    <row r="40" spans="1:14" x14ac:dyDescent="0.25">
      <c r="A40" s="8" t="s">
        <v>601</v>
      </c>
      <c r="B40" s="9" t="s">
        <v>602</v>
      </c>
      <c r="C40" s="8"/>
      <c r="D40" s="8"/>
      <c r="E40" s="8"/>
      <c r="F40" s="8">
        <v>1</v>
      </c>
      <c r="G40" s="8" t="s">
        <v>9</v>
      </c>
      <c r="H40" s="8">
        <v>1</v>
      </c>
      <c r="J40" t="s">
        <v>671</v>
      </c>
      <c r="K40">
        <v>3</v>
      </c>
      <c r="L40" t="s">
        <v>29</v>
      </c>
      <c r="M40" t="s">
        <v>670</v>
      </c>
    </row>
    <row r="41" spans="1:14" x14ac:dyDescent="0.25">
      <c r="A41" s="8" t="s">
        <v>595</v>
      </c>
      <c r="B41" s="9" t="s">
        <v>603</v>
      </c>
      <c r="C41" s="8"/>
      <c r="D41" s="8" t="s">
        <v>604</v>
      </c>
      <c r="E41" s="8"/>
      <c r="F41" s="8">
        <v>1</v>
      </c>
      <c r="G41" s="8" t="s">
        <v>9</v>
      </c>
      <c r="H41" s="8">
        <v>1</v>
      </c>
      <c r="J41" t="s">
        <v>17</v>
      </c>
      <c r="K41">
        <v>1</v>
      </c>
      <c r="L41" t="s">
        <v>29</v>
      </c>
      <c r="M41" t="s">
        <v>156</v>
      </c>
    </row>
    <row r="42" spans="1:14" x14ac:dyDescent="0.25">
      <c r="A42" s="8" t="s">
        <v>173</v>
      </c>
      <c r="B42" s="9"/>
      <c r="C42" s="8" t="s">
        <v>66</v>
      </c>
      <c r="D42" s="8"/>
      <c r="E42" s="8"/>
      <c r="F42" s="8">
        <v>1</v>
      </c>
      <c r="G42" s="8" t="s">
        <v>9</v>
      </c>
      <c r="H42" s="8">
        <v>1</v>
      </c>
      <c r="J42" t="s">
        <v>672</v>
      </c>
      <c r="K42">
        <v>1</v>
      </c>
      <c r="L42" t="s">
        <v>29</v>
      </c>
      <c r="M42" t="s">
        <v>156</v>
      </c>
    </row>
    <row r="43" spans="1:14" x14ac:dyDescent="0.25">
      <c r="A43" s="8" t="s">
        <v>156</v>
      </c>
      <c r="B43" s="9" t="s">
        <v>26</v>
      </c>
      <c r="C43" s="8"/>
      <c r="D43" s="8"/>
      <c r="E43" s="8"/>
      <c r="F43" s="8">
        <v>4</v>
      </c>
      <c r="G43" s="8" t="s">
        <v>9</v>
      </c>
      <c r="H43" s="8">
        <v>1</v>
      </c>
      <c r="J43" t="s">
        <v>673</v>
      </c>
      <c r="K43">
        <v>3</v>
      </c>
      <c r="L43" t="s">
        <v>29</v>
      </c>
      <c r="M43" t="s">
        <v>156</v>
      </c>
    </row>
    <row r="44" spans="1:14" x14ac:dyDescent="0.25">
      <c r="A44" s="8" t="s">
        <v>174</v>
      </c>
      <c r="B44" s="9"/>
      <c r="C44" s="8" t="s">
        <v>236</v>
      </c>
      <c r="D44" s="8"/>
      <c r="E44" s="8"/>
      <c r="F44" s="8"/>
      <c r="G44" s="8" t="s">
        <v>9</v>
      </c>
      <c r="H44" s="8">
        <v>1</v>
      </c>
      <c r="J44" t="s">
        <v>585</v>
      </c>
      <c r="K44">
        <v>2</v>
      </c>
      <c r="L44" t="s">
        <v>29</v>
      </c>
      <c r="M44" t="s">
        <v>156</v>
      </c>
    </row>
    <row r="45" spans="1:14" x14ac:dyDescent="0.25">
      <c r="A45" s="8" t="s">
        <v>44</v>
      </c>
      <c r="B45" s="9" t="s">
        <v>605</v>
      </c>
      <c r="C45" s="8" t="s">
        <v>45</v>
      </c>
      <c r="D45" s="8"/>
      <c r="E45" s="8"/>
      <c r="F45" s="8">
        <v>1</v>
      </c>
      <c r="G45" s="8" t="s">
        <v>9</v>
      </c>
      <c r="H45" s="8">
        <v>1</v>
      </c>
      <c r="J45" t="s">
        <v>23</v>
      </c>
      <c r="K45">
        <v>1</v>
      </c>
      <c r="L45" t="s">
        <v>29</v>
      </c>
      <c r="M45" t="s">
        <v>156</v>
      </c>
    </row>
    <row r="46" spans="1:14" ht="30" x14ac:dyDescent="0.25">
      <c r="A46" s="8" t="s">
        <v>73</v>
      </c>
      <c r="B46" s="9" t="s">
        <v>576</v>
      </c>
      <c r="C46" s="8"/>
      <c r="D46" s="8"/>
      <c r="E46" s="8"/>
      <c r="F46" s="8">
        <v>2</v>
      </c>
      <c r="G46" s="8" t="s">
        <v>6</v>
      </c>
      <c r="H46" s="8">
        <v>1</v>
      </c>
      <c r="J46" t="s">
        <v>674</v>
      </c>
      <c r="K46">
        <v>1</v>
      </c>
      <c r="L46" t="s">
        <v>29</v>
      </c>
      <c r="M46" t="s">
        <v>156</v>
      </c>
    </row>
    <row r="47" spans="1:14" x14ac:dyDescent="0.25">
      <c r="A47" s="8" t="s">
        <v>243</v>
      </c>
      <c r="B47" s="9"/>
      <c r="C47" s="8"/>
      <c r="D47" s="8" t="s">
        <v>606</v>
      </c>
      <c r="E47" s="8" t="s">
        <v>607</v>
      </c>
      <c r="F47" s="8">
        <v>1</v>
      </c>
      <c r="G47" s="8" t="s">
        <v>6</v>
      </c>
      <c r="H47" s="8">
        <v>1</v>
      </c>
    </row>
    <row r="48" spans="1:14" x14ac:dyDescent="0.25">
      <c r="A48" s="8" t="s">
        <v>608</v>
      </c>
      <c r="B48" s="9"/>
      <c r="C48" s="8"/>
      <c r="D48" s="8" t="s">
        <v>182</v>
      </c>
      <c r="E48" s="8" t="s">
        <v>609</v>
      </c>
      <c r="F48" s="8">
        <v>1</v>
      </c>
      <c r="G48" s="8" t="s">
        <v>6</v>
      </c>
      <c r="H48" s="8">
        <v>1</v>
      </c>
    </row>
    <row r="49" spans="1:9" x14ac:dyDescent="0.25">
      <c r="A49" s="8" t="s">
        <v>59</v>
      </c>
      <c r="B49" s="9" t="s">
        <v>610</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574</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612</v>
      </c>
      <c r="C56" s="8" t="s">
        <v>103</v>
      </c>
      <c r="D56" s="8"/>
      <c r="E56" s="8"/>
      <c r="F56" s="8">
        <v>1</v>
      </c>
      <c r="G56" s="8" t="s">
        <v>36</v>
      </c>
      <c r="H56" s="8" t="s">
        <v>36</v>
      </c>
    </row>
    <row r="57" spans="1:9" x14ac:dyDescent="0.25">
      <c r="A57" s="8" t="s">
        <v>35</v>
      </c>
      <c r="B57" s="9" t="s">
        <v>611</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613</v>
      </c>
      <c r="C59" s="8" t="s">
        <v>614</v>
      </c>
      <c r="D59" s="8"/>
      <c r="E59" s="8"/>
      <c r="F59" s="8">
        <v>1</v>
      </c>
      <c r="G59" s="8" t="s">
        <v>36</v>
      </c>
      <c r="H59" s="8" t="s">
        <v>36</v>
      </c>
    </row>
    <row r="60" spans="1:9" x14ac:dyDescent="0.25">
      <c r="A60" s="8" t="s">
        <v>156</v>
      </c>
      <c r="B60" s="9" t="s">
        <v>615</v>
      </c>
      <c r="C60" s="8" t="s">
        <v>554</v>
      </c>
      <c r="D60" s="8"/>
      <c r="E60" s="8"/>
      <c r="F60" s="8">
        <v>1</v>
      </c>
      <c r="G60" s="8" t="s">
        <v>36</v>
      </c>
      <c r="H60" s="8" t="s">
        <v>36</v>
      </c>
      <c r="I60" s="8"/>
    </row>
    <row r="61" spans="1:9" x14ac:dyDescent="0.25">
      <c r="A61" s="8" t="s">
        <v>156</v>
      </c>
      <c r="B61" s="9" t="s">
        <v>616</v>
      </c>
      <c r="C61" s="8"/>
      <c r="D61" s="8"/>
      <c r="E61" s="8"/>
      <c r="F61" s="8">
        <v>1</v>
      </c>
      <c r="G61" s="8" t="s">
        <v>8</v>
      </c>
      <c r="H61" s="8">
        <v>1</v>
      </c>
    </row>
    <row r="62" spans="1:9" x14ac:dyDescent="0.25">
      <c r="A62" s="8" t="s">
        <v>156</v>
      </c>
      <c r="B62" s="9" t="s">
        <v>617</v>
      </c>
      <c r="C62" s="8"/>
      <c r="D62" s="8"/>
      <c r="E62" s="8"/>
      <c r="F62" s="8">
        <v>1</v>
      </c>
      <c r="G62" s="8" t="s">
        <v>8</v>
      </c>
      <c r="H62" s="8">
        <v>1</v>
      </c>
    </row>
    <row r="63" spans="1:9" x14ac:dyDescent="0.25">
      <c r="A63" s="8" t="s">
        <v>156</v>
      </c>
      <c r="B63" s="9" t="s">
        <v>618</v>
      </c>
      <c r="C63" s="8"/>
      <c r="D63" s="8"/>
      <c r="E63" s="8"/>
      <c r="F63" s="8">
        <v>1</v>
      </c>
      <c r="G63" s="8" t="s">
        <v>8</v>
      </c>
      <c r="H63" s="8">
        <v>1</v>
      </c>
    </row>
    <row r="64" spans="1:9" x14ac:dyDescent="0.25">
      <c r="A64" s="8" t="s">
        <v>156</v>
      </c>
      <c r="B64" s="9" t="s">
        <v>619</v>
      </c>
      <c r="C64" s="8"/>
      <c r="D64" s="8"/>
      <c r="E64" s="8"/>
      <c r="F64" s="8">
        <v>2</v>
      </c>
      <c r="G64" s="8" t="s">
        <v>8</v>
      </c>
      <c r="H64" s="8">
        <v>1</v>
      </c>
    </row>
    <row r="65" spans="1:8" x14ac:dyDescent="0.25">
      <c r="A65" s="8" t="s">
        <v>156</v>
      </c>
      <c r="B65" s="9" t="s">
        <v>424</v>
      </c>
      <c r="C65" s="8"/>
      <c r="D65" s="8"/>
      <c r="E65" s="8"/>
      <c r="F65" s="8">
        <v>1</v>
      </c>
      <c r="G65" s="8" t="s">
        <v>8</v>
      </c>
      <c r="H65" s="8">
        <v>1</v>
      </c>
    </row>
    <row r="66" spans="1:8" x14ac:dyDescent="0.25">
      <c r="A66" s="8" t="s">
        <v>156</v>
      </c>
      <c r="B66" s="9" t="s">
        <v>620</v>
      </c>
      <c r="C66" s="8"/>
      <c r="D66" s="8"/>
      <c r="E66" s="8"/>
      <c r="F66" s="8">
        <v>1</v>
      </c>
      <c r="G66" s="8" t="s">
        <v>8</v>
      </c>
      <c r="H66" s="8">
        <v>1</v>
      </c>
    </row>
    <row r="67" spans="1:8" x14ac:dyDescent="0.25">
      <c r="A67" s="8" t="s">
        <v>156</v>
      </c>
      <c r="B67" s="9" t="s">
        <v>621</v>
      </c>
      <c r="C67" s="8"/>
      <c r="D67" s="8"/>
      <c r="E67" s="8"/>
      <c r="F67" s="8">
        <v>2</v>
      </c>
      <c r="G67" s="8" t="s">
        <v>8</v>
      </c>
      <c r="H67" s="8">
        <v>1</v>
      </c>
    </row>
    <row r="68" spans="1:8" x14ac:dyDescent="0.25">
      <c r="A68" s="8" t="s">
        <v>156</v>
      </c>
      <c r="B68" s="9" t="s">
        <v>622</v>
      </c>
      <c r="C68" s="8"/>
      <c r="D68" s="8"/>
      <c r="E68" s="8"/>
      <c r="F68" s="8">
        <v>3</v>
      </c>
      <c r="G68" s="8" t="s">
        <v>8</v>
      </c>
      <c r="H68" s="8">
        <v>1</v>
      </c>
    </row>
    <row r="69" spans="1:8" x14ac:dyDescent="0.25">
      <c r="A69" s="8" t="s">
        <v>623</v>
      </c>
      <c r="B69" s="9"/>
      <c r="C69" s="8"/>
      <c r="D69" s="8"/>
      <c r="E69" s="8"/>
      <c r="F69" s="8">
        <v>1</v>
      </c>
      <c r="G69" s="8" t="s">
        <v>8</v>
      </c>
      <c r="H69" s="8">
        <v>1</v>
      </c>
    </row>
    <row r="70" spans="1:8" x14ac:dyDescent="0.25">
      <c r="A70" s="8" t="s">
        <v>156</v>
      </c>
      <c r="B70" s="9" t="s">
        <v>624</v>
      </c>
      <c r="C70" s="8"/>
      <c r="D70" s="8"/>
      <c r="E70" s="8"/>
      <c r="F70" s="8">
        <v>4</v>
      </c>
      <c r="G70" s="8" t="s">
        <v>8</v>
      </c>
      <c r="H70" s="8">
        <v>1</v>
      </c>
    </row>
    <row r="71" spans="1:8" x14ac:dyDescent="0.25">
      <c r="A71" s="8" t="s">
        <v>156</v>
      </c>
      <c r="B71" s="9" t="s">
        <v>625</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626</v>
      </c>
      <c r="C73" s="8"/>
      <c r="D73" s="8"/>
      <c r="E73" s="8"/>
      <c r="F73" s="8">
        <v>1</v>
      </c>
      <c r="G73" s="8" t="s">
        <v>8</v>
      </c>
      <c r="H73" s="8">
        <v>1</v>
      </c>
    </row>
    <row r="74" spans="1:8" x14ac:dyDescent="0.25">
      <c r="A74" s="8" t="s">
        <v>156</v>
      </c>
      <c r="B74" s="12" t="s">
        <v>627</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0"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652</v>
      </c>
      <c r="C81" s="8"/>
      <c r="D81" s="8"/>
      <c r="E81" s="8"/>
      <c r="F81" s="8">
        <v>1</v>
      </c>
      <c r="G81" s="8" t="s">
        <v>7</v>
      </c>
      <c r="H81" s="8" t="s">
        <v>231</v>
      </c>
    </row>
    <row r="82" spans="1:8" x14ac:dyDescent="0.25">
      <c r="A82" s="8" t="s">
        <v>518</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404</v>
      </c>
      <c r="B84" s="9"/>
      <c r="C84" s="8" t="s">
        <v>653</v>
      </c>
      <c r="D84" s="8"/>
      <c r="E84" s="8"/>
      <c r="F84" s="8">
        <v>5</v>
      </c>
      <c r="G84" s="8" t="s">
        <v>7</v>
      </c>
      <c r="H84" s="8" t="s">
        <v>231</v>
      </c>
    </row>
    <row r="85" spans="1:8" x14ac:dyDescent="0.25">
      <c r="A85" s="8" t="s">
        <v>404</v>
      </c>
      <c r="B85" s="9"/>
      <c r="C85" s="8" t="s">
        <v>406</v>
      </c>
      <c r="D85" s="8"/>
      <c r="E85" s="8"/>
      <c r="F85" s="8">
        <v>1</v>
      </c>
      <c r="G85" s="8" t="s">
        <v>7</v>
      </c>
      <c r="H85" s="8" t="s">
        <v>231</v>
      </c>
    </row>
    <row r="86" spans="1:8" x14ac:dyDescent="0.25">
      <c r="A86" s="8" t="s">
        <v>404</v>
      </c>
      <c r="B86" s="9"/>
      <c r="C86" s="8" t="s">
        <v>541</v>
      </c>
      <c r="D86" s="8"/>
      <c r="E86" s="8"/>
      <c r="F86" s="8">
        <v>1</v>
      </c>
      <c r="G86" s="8" t="s">
        <v>7</v>
      </c>
      <c r="H86" s="8" t="s">
        <v>231</v>
      </c>
    </row>
    <row r="87" spans="1:8" x14ac:dyDescent="0.25">
      <c r="A87" s="8" t="s">
        <v>656</v>
      </c>
      <c r="B87" s="9"/>
      <c r="C87" s="8"/>
      <c r="D87" s="8"/>
      <c r="E87" s="8"/>
      <c r="F87" s="8">
        <v>2</v>
      </c>
      <c r="G87" s="8" t="s">
        <v>7</v>
      </c>
      <c r="H87" s="8" t="s">
        <v>231</v>
      </c>
    </row>
    <row r="88" spans="1:8" x14ac:dyDescent="0.25">
      <c r="A88" s="8" t="s">
        <v>478</v>
      </c>
      <c r="B88" s="9" t="s">
        <v>503</v>
      </c>
      <c r="C88" s="8"/>
      <c r="D88" s="8"/>
      <c r="E88" s="8"/>
      <c r="F88" s="8">
        <v>1</v>
      </c>
      <c r="G88" s="8" t="s">
        <v>7</v>
      </c>
      <c r="H88" s="8" t="s">
        <v>231</v>
      </c>
    </row>
    <row r="89" spans="1:8" x14ac:dyDescent="0.25">
      <c r="A89" s="8" t="s">
        <v>258</v>
      </c>
      <c r="B89" s="9" t="s">
        <v>657</v>
      </c>
      <c r="C89" s="8"/>
      <c r="D89" s="8"/>
      <c r="E89" s="8"/>
      <c r="F89" s="8">
        <v>1</v>
      </c>
      <c r="G89" s="8" t="s">
        <v>7</v>
      </c>
      <c r="H89" s="8" t="s">
        <v>231</v>
      </c>
    </row>
    <row r="90" spans="1:8" x14ac:dyDescent="0.25">
      <c r="A90" s="8" t="s">
        <v>212</v>
      </c>
      <c r="B90" s="9"/>
      <c r="C90" s="8" t="s">
        <v>470</v>
      </c>
      <c r="D90" s="8"/>
      <c r="E90" s="8">
        <v>173865</v>
      </c>
      <c r="F90" s="8">
        <v>1</v>
      </c>
      <c r="G90" s="8" t="s">
        <v>7</v>
      </c>
      <c r="H90" s="8" t="s">
        <v>231</v>
      </c>
    </row>
    <row r="91" spans="1:8" x14ac:dyDescent="0.25">
      <c r="A91" t="s">
        <v>193</v>
      </c>
      <c r="B91" s="9" t="s">
        <v>658</v>
      </c>
      <c r="C91" s="8"/>
      <c r="D91" s="8" t="s">
        <v>659</v>
      </c>
      <c r="E91" s="8">
        <v>27309</v>
      </c>
      <c r="F91" s="8">
        <v>1</v>
      </c>
      <c r="G91" s="8" t="s">
        <v>7</v>
      </c>
      <c r="H91" s="8" t="s">
        <v>231</v>
      </c>
    </row>
    <row r="92" spans="1:8" x14ac:dyDescent="0.25">
      <c r="A92" s="8" t="s">
        <v>217</v>
      </c>
      <c r="B92" s="9"/>
      <c r="C92" s="8"/>
      <c r="D92" s="8"/>
      <c r="E92" s="8" t="s">
        <v>660</v>
      </c>
      <c r="F92" s="8">
        <v>1</v>
      </c>
      <c r="G92" s="8" t="s">
        <v>7</v>
      </c>
      <c r="H92" s="8" t="s">
        <v>231</v>
      </c>
    </row>
    <row r="93" spans="1:8" x14ac:dyDescent="0.25">
      <c r="A93" s="8" t="s">
        <v>217</v>
      </c>
      <c r="B93" s="9"/>
      <c r="C93" s="8"/>
      <c r="D93" s="8"/>
      <c r="E93" s="8" t="s">
        <v>661</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602</v>
      </c>
      <c r="C96" s="8" t="s">
        <v>662</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7">
    <dataValidation type="list" allowBlank="1" showInputMessage="1" showErrorMessage="1" sqref="P14 N4:N46" xr:uid="{9570069C-680E-43F0-A274-6FF141815118}">
      <formula1>INDEX(Medidas,0,MATCH(OFFSET(INDIRECT(ADDRESS(ROW(), COLUMN())),0,-1),categoriasDeMedidas,0))</formula1>
    </dataValidation>
    <dataValidation type="list" allowBlank="1" showInputMessage="1" showErrorMessage="1" sqref="N1:N3 N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$R$4:$Z$4</formula1>
    </dataValidation>
    <dataValidation type="list" allowBlank="1" showInputMessage="1" showErrorMessage="1" sqref="H2" xr:uid="{7C3379AB-4336-4C6D-8FF5-E18FC9833EAF}">
      <formula1>INDEX($R$5:$Z$8,0,MATCH(OFFSET(INDIRECT(ADDRESS(ROW(), COLUMN())),0,-1),$R$4:$Z$4,0))</formula1>
    </dataValidation>
    <dataValidation type="list" allowBlank="1" showInputMessage="1" showErrorMessage="1" sqref="L1:L25 L47:L1048576" xr:uid="{9B51F6F7-D609-46BB-8F82-8FFECADB6CB1}">
      <formula1>$P:$P</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M1:M22 M24:M27 M34:M1048576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F1" workbookViewId="0">
      <selection activeCell="I7" sqref="I7"/>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3" t="s">
        <v>230</v>
      </c>
      <c r="Q3" s="13"/>
      <c r="R3" s="13"/>
      <c r="S3" s="13"/>
      <c r="T3" s="13"/>
      <c r="U3" s="13"/>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workbookViewId="0">
      <selection activeCell="B19" sqref="A1:XFD104857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3" t="s">
        <v>230</v>
      </c>
      <c r="Q3" s="13"/>
      <c r="R3" s="13"/>
      <c r="S3" s="13"/>
      <c r="T3" s="13"/>
      <c r="U3" s="13"/>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dimension ref="A1:U136"/>
  <sheetViews>
    <sheetView tabSelected="1" workbookViewId="0">
      <selection activeCell="H9" sqref="H9"/>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156</v>
      </c>
      <c r="B2" s="9" t="s">
        <v>583</v>
      </c>
      <c r="D2" s="8"/>
      <c r="E2" s="8"/>
      <c r="F2" s="8">
        <v>4</v>
      </c>
      <c r="G2" s="8" t="s">
        <v>8</v>
      </c>
      <c r="H2" s="8">
        <v>1</v>
      </c>
    </row>
    <row r="3" spans="1:21" x14ac:dyDescent="0.25">
      <c r="A3" s="8" t="s">
        <v>44</v>
      </c>
      <c r="B3" s="9"/>
      <c r="C3" s="8" t="s">
        <v>67</v>
      </c>
      <c r="D3" s="8"/>
      <c r="E3" s="8"/>
      <c r="F3" s="8">
        <v>2</v>
      </c>
      <c r="G3" s="8" t="s">
        <v>8</v>
      </c>
      <c r="H3" s="8">
        <v>1</v>
      </c>
      <c r="J3" t="s">
        <v>16</v>
      </c>
      <c r="K3" t="s">
        <v>18</v>
      </c>
      <c r="L3" t="s">
        <v>14</v>
      </c>
      <c r="N3" t="s">
        <v>28</v>
      </c>
      <c r="P3" s="13" t="s">
        <v>230</v>
      </c>
      <c r="Q3" s="13"/>
      <c r="R3" s="13"/>
      <c r="S3" s="13"/>
      <c r="T3" s="13"/>
      <c r="U3" s="13"/>
    </row>
    <row r="4" spans="1:21" x14ac:dyDescent="0.25">
      <c r="A4" s="8" t="s">
        <v>43</v>
      </c>
      <c r="B4" s="9"/>
      <c r="C4" s="8" t="s">
        <v>65</v>
      </c>
      <c r="D4" s="8"/>
      <c r="E4" s="8"/>
      <c r="F4" s="8">
        <v>1</v>
      </c>
      <c r="G4" s="8" t="s">
        <v>8</v>
      </c>
      <c r="H4" s="8">
        <v>1</v>
      </c>
      <c r="P4" t="s">
        <v>8</v>
      </c>
      <c r="Q4" t="s">
        <v>5</v>
      </c>
      <c r="R4" t="s">
        <v>7</v>
      </c>
    </row>
    <row r="5" spans="1:21" x14ac:dyDescent="0.25">
      <c r="A5" s="8" t="s">
        <v>32</v>
      </c>
      <c r="B5" s="9" t="s">
        <v>675</v>
      </c>
      <c r="C5" s="8" t="s">
        <v>33</v>
      </c>
      <c r="D5" s="8"/>
      <c r="E5" s="8"/>
      <c r="F5" s="8">
        <v>3</v>
      </c>
      <c r="G5" s="8" t="s">
        <v>8</v>
      </c>
      <c r="H5" s="8">
        <v>1</v>
      </c>
      <c r="P5">
        <v>1</v>
      </c>
      <c r="Q5">
        <v>1</v>
      </c>
      <c r="R5">
        <v>1</v>
      </c>
    </row>
    <row r="6" spans="1:21" x14ac:dyDescent="0.25">
      <c r="A6" s="8" t="s">
        <v>32</v>
      </c>
      <c r="B6" s="9" t="s">
        <v>305</v>
      </c>
      <c r="C6" s="8" t="s">
        <v>72</v>
      </c>
      <c r="D6" s="8" t="s">
        <v>304</v>
      </c>
      <c r="E6" s="11"/>
      <c r="F6" s="8">
        <v>1</v>
      </c>
      <c r="G6" s="8" t="s">
        <v>8</v>
      </c>
      <c r="H6" s="8">
        <v>1</v>
      </c>
    </row>
    <row r="7" spans="1:21" x14ac:dyDescent="0.25">
      <c r="A7" s="8" t="s">
        <v>32</v>
      </c>
      <c r="B7" s="9" t="s">
        <v>676</v>
      </c>
      <c r="C7" s="8" t="s">
        <v>33</v>
      </c>
      <c r="D7" s="8"/>
      <c r="E7" s="8"/>
      <c r="F7" s="8">
        <v>1</v>
      </c>
      <c r="G7" s="8" t="s">
        <v>8</v>
      </c>
      <c r="H7" s="8">
        <v>1</v>
      </c>
    </row>
    <row r="8" spans="1:21" x14ac:dyDescent="0.25">
      <c r="A8" s="8" t="s">
        <v>32</v>
      </c>
      <c r="B8" s="9" t="s">
        <v>677</v>
      </c>
      <c r="C8" s="8" t="s">
        <v>33</v>
      </c>
      <c r="D8" s="8"/>
      <c r="E8" s="8"/>
      <c r="F8" s="8">
        <v>1</v>
      </c>
      <c r="G8" s="8" t="s">
        <v>8</v>
      </c>
      <c r="H8" s="8">
        <v>1</v>
      </c>
    </row>
    <row r="9" spans="1:21" x14ac:dyDescent="0.25">
      <c r="A9" s="8" t="s">
        <v>11</v>
      </c>
      <c r="B9" s="9"/>
      <c r="C9" s="8" t="s">
        <v>123</v>
      </c>
      <c r="D9" s="8"/>
      <c r="E9" s="8"/>
      <c r="F9" s="8">
        <v>2</v>
      </c>
      <c r="G9" s="8" t="s">
        <v>5</v>
      </c>
      <c r="H9" s="8">
        <v>1</v>
      </c>
    </row>
    <row r="10" spans="1:21" x14ac:dyDescent="0.25">
      <c r="A10" s="8"/>
      <c r="B10" s="9"/>
      <c r="C10" s="8"/>
      <c r="D10" s="8"/>
      <c r="E10" s="8"/>
      <c r="F10" s="8"/>
      <c r="G10" s="8"/>
      <c r="H10" s="8"/>
    </row>
    <row r="11" spans="1:21" x14ac:dyDescent="0.25">
      <c r="A11" s="8"/>
      <c r="B11" s="9"/>
      <c r="C11" s="8"/>
      <c r="D11" s="8"/>
      <c r="E11" s="8"/>
      <c r="F11" s="8"/>
      <c r="G11" s="8"/>
      <c r="H11" s="8"/>
    </row>
    <row r="12" spans="1:21" x14ac:dyDescent="0.25">
      <c r="A12" s="8"/>
      <c r="B12" s="9"/>
      <c r="C12" s="8"/>
      <c r="D12" s="8"/>
      <c r="E12" s="8"/>
      <c r="F12" s="8"/>
      <c r="G12" s="8"/>
      <c r="H12" s="8"/>
    </row>
    <row r="13" spans="1:21" x14ac:dyDescent="0.25">
      <c r="A13" s="8"/>
      <c r="B13" s="9"/>
      <c r="C13" s="8"/>
      <c r="D13" s="8"/>
      <c r="E13" s="8"/>
      <c r="F13" s="8"/>
      <c r="G13" s="8"/>
      <c r="H13" s="8"/>
    </row>
    <row r="14" spans="1:21" x14ac:dyDescent="0.25">
      <c r="A14" s="8"/>
      <c r="B14" s="9"/>
      <c r="C14" s="8"/>
      <c r="D14" s="8"/>
      <c r="E14" s="8"/>
      <c r="F14" s="8"/>
      <c r="G14" s="8"/>
      <c r="H14" s="8"/>
    </row>
    <row r="15" spans="1:21" x14ac:dyDescent="0.25">
      <c r="A15" s="8"/>
      <c r="B15" s="9"/>
      <c r="C15" s="8"/>
      <c r="D15" s="8"/>
      <c r="E15" s="8"/>
      <c r="F15" s="8"/>
      <c r="G15" s="8"/>
      <c r="H15" s="8"/>
    </row>
    <row r="16" spans="1:21"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xr:uid="{E8B83F6A-4326-4249-A4D1-4FA783FF736A}">
      <formula1>Medidas</formula1>
    </dataValidation>
    <dataValidation type="list" allowBlank="1" showInputMessage="1" showErrorMessage="1" sqref="A1:A1048576"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L1:L8 L13:L14 L18:L19 L31:L1048576" xr:uid="{34BE72A1-520D-4329-B994-04A7CCABA813}">
      <formula1>BolsosM40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G4" sqref="G4"/>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3" t="s">
        <v>230</v>
      </c>
      <c r="Q3" s="13"/>
      <c r="R3" s="13"/>
      <c r="S3" s="13"/>
      <c r="T3" s="13"/>
      <c r="U3" s="13"/>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opLeftCell="G1" workbookViewId="0">
      <pane ySplit="1" topLeftCell="A2"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3" t="s">
        <v>230</v>
      </c>
      <c r="S3" s="13"/>
      <c r="T3" s="13"/>
      <c r="U3" s="13"/>
      <c r="V3" s="13"/>
      <c r="W3" s="13"/>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ht="30" x14ac:dyDescent="0.25">
      <c r="A29" s="8" t="s">
        <v>92</v>
      </c>
      <c r="B29" s="9" t="str">
        <f>bolso("Bolso quemados",Table621[])</f>
        <v xml:space="preserve">Bolso quemados Contiene:  Mascara RCP x1, </v>
      </c>
      <c r="C29" s="8"/>
      <c r="D29" s="8"/>
      <c r="E29" s="8"/>
      <c r="F29" s="8">
        <v>1</v>
      </c>
      <c r="G29" s="8" t="s">
        <v>8</v>
      </c>
      <c r="H29" s="8">
        <v>1</v>
      </c>
    </row>
    <row r="30" spans="1:14"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3"/>
  <sheetViews>
    <sheetView workbookViewId="0">
      <selection activeCell="I18" sqref="I1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404</v>
      </c>
      <c r="U1" t="s">
        <v>212</v>
      </c>
      <c r="V1" t="s">
        <v>160</v>
      </c>
    </row>
    <row r="2" spans="1:22" x14ac:dyDescent="0.25">
      <c r="A2" t="s">
        <v>100</v>
      </c>
      <c r="F2" t="s">
        <v>119</v>
      </c>
      <c r="G2" t="s">
        <v>225</v>
      </c>
      <c r="H2" t="s">
        <v>37</v>
      </c>
      <c r="I2" t="s">
        <v>256</v>
      </c>
      <c r="J2" t="s">
        <v>66</v>
      </c>
      <c r="K2" t="s">
        <v>70</v>
      </c>
      <c r="M2" t="s">
        <v>614</v>
      </c>
      <c r="N2" t="s">
        <v>52</v>
      </c>
      <c r="P2" t="s">
        <v>107</v>
      </c>
      <c r="Q2" t="s">
        <v>127</v>
      </c>
      <c r="R2" t="s">
        <v>236</v>
      </c>
      <c r="S2" t="s">
        <v>237</v>
      </c>
      <c r="T2" t="s">
        <v>541</v>
      </c>
      <c r="U2" t="s">
        <v>470</v>
      </c>
      <c r="V2" t="s">
        <v>662</v>
      </c>
    </row>
    <row r="3" spans="1:22" x14ac:dyDescent="0.25">
      <c r="A3" t="s">
        <v>326</v>
      </c>
      <c r="F3" s="4" t="s">
        <v>50</v>
      </c>
      <c r="G3" t="s">
        <v>72</v>
      </c>
      <c r="H3" t="s">
        <v>38</v>
      </c>
      <c r="J3" t="s">
        <v>65</v>
      </c>
      <c r="K3" t="s">
        <v>69</v>
      </c>
      <c r="P3" t="s">
        <v>108</v>
      </c>
      <c r="Q3" t="s">
        <v>128</v>
      </c>
      <c r="S3" t="s">
        <v>553</v>
      </c>
      <c r="T3" t="s">
        <v>653</v>
      </c>
      <c r="U3" t="s">
        <v>108</v>
      </c>
      <c r="V3" t="s">
        <v>663</v>
      </c>
    </row>
    <row r="4" spans="1:22" x14ac:dyDescent="0.25">
      <c r="A4" t="s">
        <v>43</v>
      </c>
      <c r="F4" t="s">
        <v>79</v>
      </c>
      <c r="G4" t="s">
        <v>294</v>
      </c>
      <c r="H4" t="s">
        <v>103</v>
      </c>
      <c r="K4" t="s">
        <v>67</v>
      </c>
      <c r="P4" t="s">
        <v>106</v>
      </c>
      <c r="Q4" t="s">
        <v>129</v>
      </c>
      <c r="T4" t="s">
        <v>654</v>
      </c>
    </row>
    <row r="5" spans="1:22" x14ac:dyDescent="0.25">
      <c r="A5" t="s">
        <v>313</v>
      </c>
      <c r="F5" s="5" t="s">
        <v>30</v>
      </c>
      <c r="G5" t="s">
        <v>33</v>
      </c>
      <c r="K5" t="s">
        <v>45</v>
      </c>
      <c r="P5" t="s">
        <v>477</v>
      </c>
      <c r="Q5" t="s">
        <v>130</v>
      </c>
      <c r="T5" t="s">
        <v>655</v>
      </c>
    </row>
    <row r="6" spans="1:22" x14ac:dyDescent="0.25">
      <c r="A6" t="s">
        <v>475</v>
      </c>
      <c r="F6" t="s">
        <v>77</v>
      </c>
      <c r="G6" t="s">
        <v>52</v>
      </c>
      <c r="K6" t="s">
        <v>64</v>
      </c>
      <c r="Q6" t="s">
        <v>125</v>
      </c>
    </row>
    <row r="7" spans="1:22" x14ac:dyDescent="0.25">
      <c r="A7" t="s">
        <v>139</v>
      </c>
      <c r="F7" t="s">
        <v>58</v>
      </c>
      <c r="I7" t="s">
        <v>41</v>
      </c>
      <c r="K7" t="s">
        <v>307</v>
      </c>
      <c r="Q7" t="s">
        <v>126</v>
      </c>
    </row>
    <row r="8" spans="1:22" x14ac:dyDescent="0.25">
      <c r="A8" t="s">
        <v>109</v>
      </c>
      <c r="F8" t="s">
        <v>121</v>
      </c>
    </row>
    <row r="9" spans="1:22" x14ac:dyDescent="0.25">
      <c r="A9" t="s">
        <v>478</v>
      </c>
      <c r="F9" s="3" t="s">
        <v>31</v>
      </c>
      <c r="L9" t="s">
        <v>55</v>
      </c>
      <c r="M9" t="s">
        <v>63</v>
      </c>
      <c r="N9" t="s">
        <v>33</v>
      </c>
      <c r="O9" t="s">
        <v>52</v>
      </c>
    </row>
    <row r="10" spans="1:22" x14ac:dyDescent="0.25">
      <c r="A10" t="s">
        <v>476</v>
      </c>
      <c r="F10" t="s">
        <v>123</v>
      </c>
    </row>
    <row r="11" spans="1:22" x14ac:dyDescent="0.25">
      <c r="A11" t="s">
        <v>116</v>
      </c>
      <c r="F11" t="s">
        <v>296</v>
      </c>
    </row>
    <row r="12" spans="1:22" x14ac:dyDescent="0.25">
      <c r="A12" s="1" t="s">
        <v>92</v>
      </c>
    </row>
    <row r="13" spans="1:22" x14ac:dyDescent="0.25">
      <c r="A13" t="s">
        <v>215</v>
      </c>
    </row>
    <row r="14" spans="1:22" x14ac:dyDescent="0.25">
      <c r="A14" t="s">
        <v>382</v>
      </c>
    </row>
    <row r="15" spans="1:22" x14ac:dyDescent="0.25">
      <c r="A15" t="s">
        <v>143</v>
      </c>
    </row>
    <row r="16" spans="1:22"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row r="100" spans="1:1" x14ac:dyDescent="0.25">
      <c r="A100" t="s">
        <v>569</v>
      </c>
    </row>
    <row r="101" spans="1:1" x14ac:dyDescent="0.25">
      <c r="A101" t="s">
        <v>628</v>
      </c>
    </row>
    <row r="102" spans="1:1" x14ac:dyDescent="0.25">
      <c r="A102" t="s">
        <v>635</v>
      </c>
    </row>
    <row r="103" spans="1:1" x14ac:dyDescent="0.25">
      <c r="A103" t="s">
        <v>641</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2019-02-27T22:37:46Z</dcterms:modified>
</cp:coreProperties>
</file>