
<file path=[Content_Types].xml><?xml version="1.0" encoding="utf-8"?>
<Types xmlns="http://schemas.openxmlformats.org/package/2006/content-types">
  <Override PartName="/xl/worksheets/sheet15.xml" ContentType="application/vnd.openxmlformats-officedocument.spreadsheetml.worksheet+xml"/>
  <Override PartName="/xl/tables/table4.xml" ContentType="application/vnd.openxmlformats-officedocument.spreadsheetml.table+xml"/>
  <Override PartName="/xl/tables/table16.xml" ContentType="application/vnd.openxmlformats-officedocument.spreadsheetml.table+xml"/>
  <Override PartName="/xl/tables/table25.xml" ContentType="application/vnd.openxmlformats-officedocument.spreadsheetml.table+xml"/>
  <Override PartName="/xl/tables/table34.xml" ContentType="application/vnd.openxmlformats-officedocument.spreadsheetml.table+xml"/>
  <Override PartName="/xl/tables/table43.xml" ContentType="application/vnd.openxmlformats-officedocument.spreadsheetml.table+xml"/>
  <Override PartName="/xl/tables/table54.xml" ContentType="application/vnd.openxmlformats-officedocument.spreadsheetml.table+xml"/>
  <Override PartName="/xl/worksheets/sheet9.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tables/table2.xml" ContentType="application/vnd.openxmlformats-officedocument.spreadsheetml.table+xml"/>
  <Override PartName="/xl/tables/table14.xml" ContentType="application/vnd.openxmlformats-officedocument.spreadsheetml.table+xml"/>
  <Override PartName="/xl/tables/table23.xml" ContentType="application/vnd.openxmlformats-officedocument.spreadsheetml.table+xml"/>
  <Override PartName="/xl/tables/table32.xml" ContentType="application/vnd.openxmlformats-officedocument.spreadsheetml.table+xml"/>
  <Override PartName="/xl/tables/table41.xml" ContentType="application/vnd.openxmlformats-officedocument.spreadsheetml.table+xml"/>
  <Override PartName="/xl/tables/table52.xml" ContentType="application/vnd.openxmlformats-officedocument.spreadsheetml.table+xml"/>
  <Override PartName="/xl/worksheets/sheet7.xml" ContentType="application/vnd.openxmlformats-officedocument.spreadsheetml.worksheet+xml"/>
  <Override PartName="/xl/worksheets/sheet11.xml" ContentType="application/vnd.openxmlformats-officedocument.spreadsheetml.worksheet+xml"/>
  <Override PartName="/xl/tables/table12.xml" ContentType="application/vnd.openxmlformats-officedocument.spreadsheetml.table+xml"/>
  <Override PartName="/xl/tables/table21.xml" ContentType="application/vnd.openxmlformats-officedocument.spreadsheetml.table+xml"/>
  <Override PartName="/xl/tables/table30.xml" ContentType="application/vnd.openxmlformats-officedocument.spreadsheetml.table+xml"/>
  <Override PartName="/xl/tables/table50.xml" ContentType="application/vnd.openxmlformats-officedocument.spreadsheetml.table+xml"/>
  <Override PartName="/xl/vbaProject.bin" ContentType="application/vnd.ms-office.vbaProject"/>
  <Default Extension="rels" ContentType="application/vnd.openxmlformats-package.relationships+xml"/>
  <Default Extension="xml" ContentType="application/xml"/>
  <Override PartName="/xl/worksheets/sheet5.xml" ContentType="application/vnd.openxmlformats-officedocument.spreadsheetml.worksheet+xml"/>
  <Override PartName="/xl/tables/table10.xml" ContentType="application/vnd.openxmlformats-officedocument.spreadsheetml.table+xml"/>
  <Override PartName="/xl/worksheets/sheet3.xml" ContentType="application/vnd.openxmlformats-officedocument.spreadsheetml.worksheet+xml"/>
  <Override PartName="/xl/worksheets/sheet1.xml" ContentType="application/vnd.openxmlformats-officedocument.spreadsheetml.worksheet+xml"/>
  <Override PartName="/xl/tables/table9.xml" ContentType="application/vnd.openxmlformats-officedocument.spreadsheetml.table+xml"/>
  <Override PartName="/xl/sharedStrings.xml" ContentType="application/vnd.openxmlformats-officedocument.spreadsheetml.sharedStrings+xml"/>
  <Override PartName="/xl/tables/table7.xml" ContentType="application/vnd.openxmlformats-officedocument.spreadsheetml.table+xml"/>
  <Override PartName="/xl/tables/table19.xml" ContentType="application/vnd.openxmlformats-officedocument.spreadsheetml.table+xml"/>
  <Override PartName="/xl/tables/table39.xml" ContentType="application/vnd.openxmlformats-officedocument.spreadsheetml.table+xml"/>
  <Override PartName="/xl/tables/table48.xml" ContentType="application/vnd.openxmlformats-officedocument.spreadsheetml.table+xml"/>
  <Override PartName="/xl/tables/table57.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docProps/core.xml" ContentType="application/vnd.openxmlformats-package.core-properties+xml"/>
  <Override PartName="/xl/worksheets/sheet16.xml" ContentType="application/vnd.openxmlformats-officedocument.spreadsheetml.worksheet+xml"/>
  <Default Extension="bin" ContentType="application/vnd.openxmlformats-officedocument.spreadsheetml.printerSettings"/>
  <Override PartName="/xl/tables/table3.xml" ContentType="application/vnd.openxmlformats-officedocument.spreadsheetml.table+xml"/>
  <Override PartName="/xl/tables/table15.xml" ContentType="application/vnd.openxmlformats-officedocument.spreadsheetml.table+xml"/>
  <Override PartName="/xl/tables/table24.xml" ContentType="application/vnd.openxmlformats-officedocument.spreadsheetml.table+xml"/>
  <Override PartName="/xl/tables/table35.xml" ContentType="application/vnd.openxmlformats-officedocument.spreadsheetml.table+xml"/>
  <Override PartName="/xl/tables/table44.xml" ContentType="application/vnd.openxmlformats-officedocument.spreadsheetml.table+xml"/>
  <Override PartName="/xl/tables/table53.xml" ContentType="application/vnd.openxmlformats-officedocument.spreadsheetml.table+xml"/>
  <Override PartName="/xl/worksheets/sheet14.xml" ContentType="application/vnd.openxmlformats-officedocument.spreadsheetml.worksheet+xml"/>
  <Override PartName="/xl/tables/table1.xml" ContentType="application/vnd.openxmlformats-officedocument.spreadsheetml.table+xml"/>
  <Override PartName="/xl/tables/table13.xml" ContentType="application/vnd.openxmlformats-officedocument.spreadsheetml.table+xml"/>
  <Override PartName="/xl/tables/table22.xml" ContentType="application/vnd.openxmlformats-officedocument.spreadsheetml.table+xml"/>
  <Override PartName="/xl/tables/table33.xml" ContentType="application/vnd.openxmlformats-officedocument.spreadsheetml.table+xml"/>
  <Override PartName="/xl/tables/table42.xml" ContentType="application/vnd.openxmlformats-officedocument.spreadsheetml.table+xml"/>
  <Override PartName="/xl/tables/table51.xml" ContentType="application/vnd.openxmlformats-officedocument.spreadsheetml.table+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tables/table11.xml" ContentType="application/vnd.openxmlformats-officedocument.spreadsheetml.table+xml"/>
  <Override PartName="/xl/tables/table20.xml" ContentType="application/vnd.openxmlformats-officedocument.spreadsheetml.table+xml"/>
  <Override PartName="/xl/tables/table31.xml" ContentType="application/vnd.openxmlformats-officedocument.spreadsheetml.table+xml"/>
  <Override PartName="/xl/tables/table40.xml" ContentType="application/vnd.openxmlformats-officedocument.spreadsheetml.table+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tables/table49.xml" ContentType="application/vnd.openxmlformats-officedocument.spreadsheetml.table+xml"/>
  <Override PartName="/xl/calcChain.xml" ContentType="application/vnd.openxmlformats-officedocument.spreadsheetml.calcChain+xml"/>
  <Override PartName="/xl/tables/table8.xml" ContentType="application/vnd.openxmlformats-officedocument.spreadsheetml.table+xml"/>
  <Override PartName="/xl/tables/table29.xml" ContentType="application/vnd.openxmlformats-officedocument.spreadsheetml.table+xml"/>
  <Override PartName="/xl/tables/table38.xml" ContentType="application/vnd.openxmlformats-officedocument.spreadsheetml.table+xml"/>
  <Override PartName="/xl/tables/table47.xml" ContentType="application/vnd.openxmlformats-officedocument.spreadsheetml.table+xml"/>
  <Override PartName="/xl/tables/table58.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6" rupBuild="4505" codeName="{37E998C4-C9E5-D4B9-71C8-EB1FF731991C}"/>
  <workbookPr filterPrivacy="1" codeName="ThisWorkbook"/>
  <bookViews>
    <workbookView xWindow="0" yWindow="0" windowWidth="20490" windowHeight="10920" tabRatio="741" activeTab="1"/>
  </bookViews>
  <sheets>
    <sheet name="Movil 51" sheetId="1" r:id="rId1"/>
    <sheet name="Movil 56" sheetId="8" r:id="rId2"/>
    <sheet name="Movil 41" sheetId="4" r:id="rId3"/>
    <sheet name="Movil 39" sheetId="5" r:id="rId4"/>
    <sheet name="Movil 40" sheetId="9" r:id="rId5"/>
    <sheet name="Movil 52" sheetId="6" r:id="rId6"/>
    <sheet name="Movil 42" sheetId="7" r:id="rId7"/>
    <sheet name="Inventario general" sheetId="2" r:id="rId8"/>
    <sheet name="Movil 54" sheetId="10" r:id="rId9"/>
    <sheet name="Movil 46" sheetId="11" r:id="rId10"/>
    <sheet name="Destacamento 1º Acopio" sheetId="12" r:id="rId11"/>
    <sheet name="Movil 43" sheetId="13" r:id="rId12"/>
    <sheet name="Movil 49" sheetId="14" r:id="rId13"/>
    <sheet name="Movil 37" sheetId="16" r:id="rId14"/>
    <sheet name="Movil 55" sheetId="17" r:id="rId15"/>
    <sheet name="Configuracion" sheetId="3" r:id="rId16"/>
  </sheets>
  <functionGroups/>
  <definedNames>
    <definedName name="_xlnm.Print_Area" localSheetId="6">Table120[#All]</definedName>
    <definedName name="_xlnm.Print_Area" localSheetId="0">Table1[#All]</definedName>
    <definedName name="Bolsos" localSheetId="3">Table2[Bolsos]</definedName>
    <definedName name="Bolsos" localSheetId="6">Table222[Bolsos]</definedName>
    <definedName name="Bolsos">Table2[Bolsos]</definedName>
    <definedName name="BolsosM39">Table21014[Bolsos]</definedName>
    <definedName name="BolsosM40">Table21014[[#All],[Bolsos]]</definedName>
    <definedName name="BolsosM41" localSheetId="3">Table21014[[#All],[Bolsos]]</definedName>
    <definedName name="BolsosM41" localSheetId="6">Table210[[#All],[Bolsos]]</definedName>
    <definedName name="BolsosM41">Table210[[#All],[Bolsos]]</definedName>
    <definedName name="BolsosM52" localSheetId="6">Table21014[[#All],[Bolsos]]</definedName>
    <definedName name="BolsosM52">Table21014[[#All],[Bolsos]]</definedName>
    <definedName name="BolsosMovil54">Table222[Bolsos]</definedName>
    <definedName name="ca" localSheetId="3">#REF!</definedName>
    <definedName name="ca" localSheetId="6">#REF!</definedName>
    <definedName name="ca">#REF!</definedName>
    <definedName name="Cajoneras" localSheetId="3">Table5[#Headers]</definedName>
    <definedName name="Cajoneras" localSheetId="6">Table523[#Headers]</definedName>
    <definedName name="Cajoneras">Table5[#Headers]</definedName>
    <definedName name="CajonerasM39" localSheetId="3">Table51115[#Headers]</definedName>
    <definedName name="CajonerasM39" localSheetId="6">Table51115[#Headers]</definedName>
    <definedName name="CajonerasM39">Table51115[#Headers]</definedName>
    <definedName name="CajonerasM41" localSheetId="6">Table511[#Headers]</definedName>
    <definedName name="CajonerasM41">Table511[#Headers]</definedName>
    <definedName name="CajonerasM52" localSheetId="6">Table5111519[#Headers]</definedName>
    <definedName name="CajonerasM52">Table5111519[#Headers]</definedName>
    <definedName name="CajonerasMovil54">Table523[#Headers]</definedName>
    <definedName name="categorias" localSheetId="3">Table4[[#All],[Categorias disponibles]]</definedName>
    <definedName name="categorias" localSheetId="6">Table4[[#All],[Categorias disponibles]]</definedName>
    <definedName name="categorias">Table4[[#All],[Categorias disponibles]]</definedName>
    <definedName name="categoriasDeMedidas" localSheetId="6">Table3[#Headers]</definedName>
    <definedName name="categoriasDeMedidas">Table3[#Headers]</definedName>
    <definedName name="Compartimentosmovil54">Table523[]</definedName>
    <definedName name="Compartimientos" localSheetId="3">Table5[]</definedName>
    <definedName name="Compartimientos" localSheetId="6">Table523[]</definedName>
    <definedName name="Compartimientos">Table5[]</definedName>
    <definedName name="CompartimientosM39" localSheetId="6">Table51115[]</definedName>
    <definedName name="CompartimientosM39">Table51115[]</definedName>
    <definedName name="CompartimientosM41" localSheetId="3">Table51115[]</definedName>
    <definedName name="CompartimientosM41" localSheetId="6">Table511[]</definedName>
    <definedName name="CompartimientosM41">Table511[]</definedName>
    <definedName name="CompartimientosM52" localSheetId="6">Table5111519[]</definedName>
    <definedName name="CompartimientosM52">Table5111519[]</definedName>
    <definedName name="Medidas">Table3[#All]</definedName>
    <definedName name="medidasDeCategorias" localSheetId="6">Table3[#Headers]</definedName>
    <definedName name="medidasDeCategorias">Table3[#Headers]</definedName>
    <definedName name="_xlnm.Print_Titles" localSheetId="6">'Movil 42'!$1:$1</definedName>
    <definedName name="_xlnm.Print_Titles" localSheetId="0">'Movil 51'!$1:$1</definedName>
    <definedName name="validacion" localSheetId="3">Table3[#All]</definedName>
    <definedName name="validacion" localSheetId="6">Table3[#All]</definedName>
    <definedName name="validacion">Table3[#All]</definedName>
  </definedNames>
  <calcPr calcId="124519"/>
  <extLst xmlns:x15="http://schemas.microsoft.com/office/spreadsheetml/2010/11/main">
    <ext uri="{140A7094-0E35-4892-8432-C4D2E57EDEB5}">
      <x15:workbookPr chartTrackingRefBase="1"/>
    </ext>
  </extLst>
</workbook>
</file>

<file path=xl/calcChain.xml><?xml version="1.0" encoding="utf-8"?>
<calcChain xmlns="http://schemas.openxmlformats.org/spreadsheetml/2006/main">
  <c r="B108" i="8"/>
  <c r="B107"/>
  <c r="B103"/>
  <c r="B102"/>
  <c r="B101"/>
  <c r="B29" i="7"/>
  <c r="B28"/>
  <c r="B25"/>
  <c r="B100" i="16"/>
  <c r="B30"/>
  <c r="B21" i="14"/>
  <c r="B20"/>
  <c r="B36"/>
  <c r="B23" i="6"/>
  <c r="B112" i="4"/>
  <c r="B35"/>
  <c r="B11"/>
  <c r="B34"/>
  <c r="B115"/>
  <c r="B54"/>
  <c r="B62"/>
  <c r="B40"/>
  <c r="B114"/>
  <c r="B39"/>
  <c r="B87"/>
  <c r="B10"/>
  <c r="B117"/>
  <c r="B109"/>
  <c r="B61"/>
  <c r="B60"/>
  <c r="B66"/>
  <c r="B5" i="1"/>
  <c r="B116"/>
  <c r="B5" i="7"/>
  <c r="B6"/>
  <c r="B4"/>
  <c r="B31" i="16"/>
  <c r="B90" i="14"/>
  <c r="B52"/>
  <c r="B19"/>
  <c r="B22" i="6"/>
  <c r="B116" i="4"/>
  <c r="B12"/>
  <c r="B88"/>
  <c r="B65"/>
  <c r="B67"/>
  <c r="B111"/>
  <c r="B38"/>
  <c r="B86"/>
  <c r="B89"/>
  <c r="B110"/>
  <c r="B59"/>
  <c r="B63"/>
  <c r="B85"/>
  <c r="B113"/>
  <c r="B90"/>
  <c r="B64"/>
  <c r="B37"/>
  <c r="B95" i="1"/>
  <c r="B63"/>
  <c r="B94"/>
  <c r="B16" i="13"/>
  <c r="B100" i="8"/>
  <c r="B17"/>
  <c r="B93"/>
  <c r="B94"/>
  <c r="B24"/>
  <c r="B25"/>
  <c r="B26"/>
  <c r="B18"/>
  <c r="B19"/>
</calcChain>
</file>

<file path=xl/sharedStrings.xml><?xml version="1.0" encoding="utf-8"?>
<sst xmlns="http://schemas.openxmlformats.org/spreadsheetml/2006/main" count="4553" uniqueCount="1102">
  <si>
    <t>Categoria</t>
  </si>
  <si>
    <t>Descripcion</t>
  </si>
  <si>
    <t>Medidas</t>
  </si>
  <si>
    <t>marca</t>
  </si>
  <si>
    <t>N/ de serie</t>
  </si>
  <si>
    <t>Cajonera 2</t>
  </si>
  <si>
    <t>Cajonera 3</t>
  </si>
  <si>
    <t>Interior</t>
  </si>
  <si>
    <t>Cajonera 1</t>
  </si>
  <si>
    <t>Cajonera 4</t>
  </si>
  <si>
    <t>Cajonera 5</t>
  </si>
  <si>
    <t>Tramos</t>
  </si>
  <si>
    <t>Herramientas electricas</t>
  </si>
  <si>
    <t>Cajonera</t>
  </si>
  <si>
    <t>Bolso</t>
  </si>
  <si>
    <t>Caja de herramientas 1</t>
  </si>
  <si>
    <t>Material</t>
  </si>
  <si>
    <t>Pico de loro</t>
  </si>
  <si>
    <t>Cantidad</t>
  </si>
  <si>
    <t>Martillo</t>
  </si>
  <si>
    <t>Alicate</t>
  </si>
  <si>
    <t>Tijera para chapa</t>
  </si>
  <si>
    <t>llave fija 17mm</t>
  </si>
  <si>
    <t>pinza</t>
  </si>
  <si>
    <t>pinza de punta</t>
  </si>
  <si>
    <t>llave stilson</t>
  </si>
  <si>
    <t>Llave union</t>
  </si>
  <si>
    <t>no aplica</t>
  </si>
  <si>
    <t>Bolsos</t>
  </si>
  <si>
    <t>Bolso de corte</t>
  </si>
  <si>
    <t>45S-45-45S</t>
  </si>
  <si>
    <t>63S-71-63S</t>
  </si>
  <si>
    <t>Lanzas</t>
  </si>
  <si>
    <t>45S</t>
  </si>
  <si>
    <t>Categorias disponibles</t>
  </si>
  <si>
    <t>Escaleras</t>
  </si>
  <si>
    <t>Techo</t>
  </si>
  <si>
    <t>10m</t>
  </si>
  <si>
    <t>6m</t>
  </si>
  <si>
    <t>Escalera extensible</t>
  </si>
  <si>
    <t>Manguerote</t>
  </si>
  <si>
    <t>114S-114-114S</t>
  </si>
  <si>
    <t>manguerote semirigido 6M largo</t>
  </si>
  <si>
    <t>Adaptador</t>
  </si>
  <si>
    <t>Reductor</t>
  </si>
  <si>
    <t>63S-38S</t>
  </si>
  <si>
    <t>Cilindros</t>
  </si>
  <si>
    <t>Scott</t>
  </si>
  <si>
    <t>MSA</t>
  </si>
  <si>
    <t>Caucho Rojo</t>
  </si>
  <si>
    <t>36S-51-63S</t>
  </si>
  <si>
    <t>c/ regulador de cuadal, c/ corte rapido, POK</t>
  </si>
  <si>
    <t>63S</t>
  </si>
  <si>
    <t>Conos</t>
  </si>
  <si>
    <t>Trineo</t>
  </si>
  <si>
    <t>45S-45S</t>
  </si>
  <si>
    <t>kugel-bypp</t>
  </si>
  <si>
    <t>tela</t>
  </si>
  <si>
    <t>63S-38-63S</t>
  </si>
  <si>
    <t>Lanzas especiales</t>
  </si>
  <si>
    <t>lanza de espuma de baja expansion</t>
  </si>
  <si>
    <t>Filtros</t>
  </si>
  <si>
    <t>Filtro para succion</t>
  </si>
  <si>
    <t>63W</t>
  </si>
  <si>
    <t>25S-19D</t>
  </si>
  <si>
    <t>45W-45S</t>
  </si>
  <si>
    <t>63W-63S</t>
  </si>
  <si>
    <t>63S-45S</t>
  </si>
  <si>
    <t>Macho</t>
  </si>
  <si>
    <t>45S-38S</t>
  </si>
  <si>
    <t>45S-25S</t>
  </si>
  <si>
    <t>POK, c/corte rapido, c/reg. De caudal</t>
  </si>
  <si>
    <t>38S</t>
  </si>
  <si>
    <t>lanzas</t>
  </si>
  <si>
    <t>POK, c/corte rapido, s/reg. De caudal</t>
  </si>
  <si>
    <t>Sintetico, amarillo, estiba</t>
  </si>
  <si>
    <t>Sintetico, marron, estiba</t>
  </si>
  <si>
    <t>63S-38-38S</t>
  </si>
  <si>
    <t>SG3012</t>
  </si>
  <si>
    <t>38S-38-38S</t>
  </si>
  <si>
    <t>Equipo de rescate</t>
  </si>
  <si>
    <t>Core</t>
  </si>
  <si>
    <t>briggs</t>
  </si>
  <si>
    <t>corta-pedal</t>
  </si>
  <si>
    <t>Bomba manual para herramientas hidraulicas. No CORE</t>
  </si>
  <si>
    <t>CORE</t>
  </si>
  <si>
    <t>Monitor</t>
  </si>
  <si>
    <t>Taco escalonado</t>
  </si>
  <si>
    <t>Tabla espinal</t>
  </si>
  <si>
    <t>Chaleco salvavidas</t>
  </si>
  <si>
    <t>Traje de aproximacion</t>
  </si>
  <si>
    <t>nivel A</t>
  </si>
  <si>
    <t>Caja o bolso</t>
  </si>
  <si>
    <t>Bolso de collares</t>
  </si>
  <si>
    <t>dual</t>
  </si>
  <si>
    <t>Ram hidraulico</t>
  </si>
  <si>
    <t>holmatro</t>
  </si>
  <si>
    <t>Herr Multiproposito hidraul.</t>
  </si>
  <si>
    <t>2 tiempos</t>
  </si>
  <si>
    <t>Accesorio EQ. Rescate</t>
  </si>
  <si>
    <t>esquinero para RAM</t>
  </si>
  <si>
    <t>cadenas</t>
  </si>
  <si>
    <t>3m</t>
  </si>
  <si>
    <t>1m</t>
  </si>
  <si>
    <t>Grilletes</t>
  </si>
  <si>
    <t>pequeño</t>
  </si>
  <si>
    <t>mediano</t>
  </si>
  <si>
    <t>grande</t>
  </si>
  <si>
    <t>bidon</t>
  </si>
  <si>
    <t>Para mezcla 2T</t>
  </si>
  <si>
    <t>Lona</t>
  </si>
  <si>
    <t>lona para parque de materiales</t>
  </si>
  <si>
    <t>Accesorio de traccion</t>
  </si>
  <si>
    <t>para Nafta, 5L, con pico vertedor</t>
  </si>
  <si>
    <t>Cable de acero</t>
  </si>
  <si>
    <t>12m</t>
  </si>
  <si>
    <t>amarillo, caucho</t>
  </si>
  <si>
    <t>25S-25-25S</t>
  </si>
  <si>
    <t>Rojo, caucho</t>
  </si>
  <si>
    <t>63S-45-63S</t>
  </si>
  <si>
    <t>Amarillo, caucho</t>
  </si>
  <si>
    <t>63S-63-63S</t>
  </si>
  <si>
    <t>espuma</t>
  </si>
  <si>
    <t>20L</t>
  </si>
  <si>
    <t>25L</t>
  </si>
  <si>
    <t>1L</t>
  </si>
  <si>
    <t>5L</t>
  </si>
  <si>
    <t>10L</t>
  </si>
  <si>
    <t>15L</t>
  </si>
  <si>
    <t>Moto-bomba</t>
  </si>
  <si>
    <t>moto-bomba</t>
  </si>
  <si>
    <t>OHV</t>
  </si>
  <si>
    <t>Forzador de aire</t>
  </si>
  <si>
    <t>modelo GX200</t>
  </si>
  <si>
    <t>Honda</t>
  </si>
  <si>
    <t>M340-0103-0006</t>
  </si>
  <si>
    <t>Bichero</t>
  </si>
  <si>
    <t>Material dielectrico</t>
  </si>
  <si>
    <t>Alfombra dielectrica</t>
  </si>
  <si>
    <t>90cm x 90cm</t>
  </si>
  <si>
    <t>Chaleco de extircacion</t>
  </si>
  <si>
    <t>Material ferroviario</t>
  </si>
  <si>
    <t>Barra de corte electrico para tercer riel</t>
  </si>
  <si>
    <t>Mascara RCP</t>
  </si>
  <si>
    <t>Tijera de trauma</t>
  </si>
  <si>
    <t>Taco 30cm*6cm*4cm</t>
  </si>
  <si>
    <t>Taco cuña 45cm*13cm*47cm</t>
  </si>
  <si>
    <t>Tacos varios</t>
  </si>
  <si>
    <t>Material electrico</t>
  </si>
  <si>
    <t>Alargue en rollo</t>
  </si>
  <si>
    <t>44Mts</t>
  </si>
  <si>
    <t>Herramienta de brecheo</t>
  </si>
  <si>
    <t>Ariete</t>
  </si>
  <si>
    <t>Herramienta manual</t>
  </si>
  <si>
    <t>Cortaperno</t>
  </si>
  <si>
    <t>Grande</t>
  </si>
  <si>
    <t>Pala ancha</t>
  </si>
  <si>
    <t>Extintor</t>
  </si>
  <si>
    <t>Polvo Quimico Seco</t>
  </si>
  <si>
    <t>20kg</t>
  </si>
  <si>
    <t>ASBA</t>
  </si>
  <si>
    <t>Espuma</t>
  </si>
  <si>
    <t xml:space="preserve">Barreta </t>
  </si>
  <si>
    <t>Chica</t>
  </si>
  <si>
    <t>mediana</t>
  </si>
  <si>
    <t>hacha</t>
  </si>
  <si>
    <t>Pala corazon</t>
  </si>
  <si>
    <t>Pala punta</t>
  </si>
  <si>
    <t>Pico</t>
  </si>
  <si>
    <t>Sierra de mano</t>
  </si>
  <si>
    <t>Columna hidrica</t>
  </si>
  <si>
    <t>Divergente</t>
  </si>
  <si>
    <t>Trivergente</t>
  </si>
  <si>
    <t>Sierra para parabrisas manual</t>
  </si>
  <si>
    <t>Corta fierro</t>
  </si>
  <si>
    <t>Masa 10kg</t>
  </si>
  <si>
    <t>Amoladora 220V</t>
  </si>
  <si>
    <t>Sierra sable 220V</t>
  </si>
  <si>
    <t>bosch</t>
  </si>
  <si>
    <t>makita</t>
  </si>
  <si>
    <t>GSA1100E-3-601F4c-8H0</t>
  </si>
  <si>
    <t>180mm</t>
  </si>
  <si>
    <t>KG1820</t>
  </si>
  <si>
    <t xml:space="preserve"> black &amp; decker</t>
  </si>
  <si>
    <t>115mm</t>
  </si>
  <si>
    <t>EPR</t>
  </si>
  <si>
    <t>Atalajes</t>
  </si>
  <si>
    <t>cilindros</t>
  </si>
  <si>
    <t>Cuerda de izado</t>
  </si>
  <si>
    <t>cuerda de izado</t>
  </si>
  <si>
    <t>Sensor de campo electrico</t>
  </si>
  <si>
    <t>Lapiz de deteccion de campo electromagnetico</t>
  </si>
  <si>
    <t>Manta ignifuga</t>
  </si>
  <si>
    <t>Guantes dielectricos</t>
  </si>
  <si>
    <t>Martillo de goma</t>
  </si>
  <si>
    <t>Pinza de punta dielectrica</t>
  </si>
  <si>
    <t>Cuña de madera para gas</t>
  </si>
  <si>
    <t>Pinza dielectrica</t>
  </si>
  <si>
    <t>Alicate dielectrico</t>
  </si>
  <si>
    <t>Destornillador</t>
  </si>
  <si>
    <t>Llave cruz para ascensor</t>
  </si>
  <si>
    <t>Cutter</t>
  </si>
  <si>
    <t>juego de llaves alem</t>
  </si>
  <si>
    <t>Extractor de fusibles NH</t>
  </si>
  <si>
    <t>saca bujia</t>
  </si>
  <si>
    <t>Llave fija 9/16</t>
  </si>
  <si>
    <t>Corta cinturon</t>
  </si>
  <si>
    <t>Guia ciquime</t>
  </si>
  <si>
    <t>linterna</t>
  </si>
  <si>
    <t>Linterna</t>
  </si>
  <si>
    <t>Fire vulcan</t>
  </si>
  <si>
    <t>Algebra</t>
  </si>
  <si>
    <t>Camara termica</t>
  </si>
  <si>
    <t>Dragger</t>
  </si>
  <si>
    <t>Radio handy</t>
  </si>
  <si>
    <t>Gancho de carnicero</t>
  </si>
  <si>
    <t>Pantalla protectora</t>
  </si>
  <si>
    <t>herramienta manual</t>
  </si>
  <si>
    <t>Masa de goma grande</t>
  </si>
  <si>
    <t>Tela, en estiba</t>
  </si>
  <si>
    <t>amarillo, caucho, en estiba</t>
  </si>
  <si>
    <t>25S</t>
  </si>
  <si>
    <t>Gato hidraulico</t>
  </si>
  <si>
    <t>Llave fija 22mm</t>
  </si>
  <si>
    <t>llave fija de 27mm y 24mm</t>
  </si>
  <si>
    <t>escobillon con palo</t>
  </si>
  <si>
    <t>Cajoneras y compartimientos</t>
  </si>
  <si>
    <t>cabina</t>
  </si>
  <si>
    <t>Compartimiento</t>
  </si>
  <si>
    <t>Asiento 1</t>
  </si>
  <si>
    <t>Asiento 2</t>
  </si>
  <si>
    <t>Cabina</t>
  </si>
  <si>
    <t>63S a 63S y 63S</t>
  </si>
  <si>
    <t>63S a 63S 63S 63S</t>
  </si>
  <si>
    <t>Conos viales</t>
  </si>
  <si>
    <t>Llave de ruedas</t>
  </si>
  <si>
    <t>cant</t>
  </si>
  <si>
    <t>Manguera hidraulica</t>
  </si>
  <si>
    <t>Cubre air-bag</t>
  </si>
  <si>
    <t>Moto-disco</t>
  </si>
  <si>
    <t>Moto-sierra</t>
  </si>
  <si>
    <t>core dual</t>
  </si>
  <si>
    <t>Sintetico marron, 50Mts, estiba</t>
  </si>
  <si>
    <t>Hembra</t>
  </si>
  <si>
    <t>Holligan</t>
  </si>
  <si>
    <t>Chico</t>
  </si>
  <si>
    <t>Lampara de prueba</t>
  </si>
  <si>
    <t>Pinza de madera para manipular cables</t>
  </si>
  <si>
    <t>Lanza de espuma de baja expansion con pescador</t>
  </si>
  <si>
    <t>Chicotas</t>
  </si>
  <si>
    <t>año 2016</t>
  </si>
  <si>
    <t>63S-63S</t>
  </si>
  <si>
    <t>Cajonera 6</t>
  </si>
  <si>
    <t>Miscelaneo de movil</t>
  </si>
  <si>
    <t>Bases de apoyo para estabilizar el movil durante el uso de su grua</t>
  </si>
  <si>
    <t>Negro plastico</t>
  </si>
  <si>
    <t>Bolso de martillo demoledor</t>
  </si>
  <si>
    <t>Mecha</t>
  </si>
  <si>
    <t>Bolso de rotomartillo</t>
  </si>
  <si>
    <t>Mecha sincel</t>
  </si>
  <si>
    <t xml:space="preserve">Sierra circular 220v </t>
  </si>
  <si>
    <t>Dewalt</t>
  </si>
  <si>
    <t>3601E480H0</t>
  </si>
  <si>
    <t>Bolso de amoladora</t>
  </si>
  <si>
    <t>Herramienta para cambio de disco de amoladora</t>
  </si>
  <si>
    <t>Bolso de sierra sable</t>
  </si>
  <si>
    <t>Madera</t>
  </si>
  <si>
    <t>Bolso de carpintero 1</t>
  </si>
  <si>
    <t>Pinza</t>
  </si>
  <si>
    <t>Bolso de carpintero 2</t>
  </si>
  <si>
    <t>Caja de eslingas 1</t>
  </si>
  <si>
    <t>Eslinga 3tn año 01/2011</t>
  </si>
  <si>
    <t>Eslinga 3tn año 01/2012</t>
  </si>
  <si>
    <t>Eslinga 6tn año 11/2010</t>
  </si>
  <si>
    <t>Eslinga 6tn Sin año</t>
  </si>
  <si>
    <t>Caja de eslingas 2</t>
  </si>
  <si>
    <t>Eslinga fina</t>
  </si>
  <si>
    <t>Eslinga will 1tn año 02/2013</t>
  </si>
  <si>
    <t>Eslinga grande 6TN año 02/2015</t>
  </si>
  <si>
    <t>Grillete chico</t>
  </si>
  <si>
    <t>Grillete mediano</t>
  </si>
  <si>
    <t>Grillete grande</t>
  </si>
  <si>
    <t>Grillete muy grande</t>
  </si>
  <si>
    <t>38NH</t>
  </si>
  <si>
    <t>0285-98</t>
  </si>
  <si>
    <t>38NH-38-38NH</t>
  </si>
  <si>
    <t>63W y 63S</t>
  </si>
  <si>
    <t>Parte Trasera</t>
  </si>
  <si>
    <t xml:space="preserve">Extensible </t>
  </si>
  <si>
    <t>6M</t>
  </si>
  <si>
    <t>4 metros</t>
  </si>
  <si>
    <t>elkhart</t>
  </si>
  <si>
    <t>Caucho, amarillo</t>
  </si>
  <si>
    <t>AWG</t>
  </si>
  <si>
    <t>Tipo AWG</t>
  </si>
  <si>
    <t>año 2012</t>
  </si>
  <si>
    <t>63W-38W</t>
  </si>
  <si>
    <t>63 macho, 38 hembra</t>
  </si>
  <si>
    <t>Cajonera 7</t>
  </si>
  <si>
    <t>Cajonera 8</t>
  </si>
  <si>
    <t>Plataformas de apoyo para piernas extensibles de estabilizacion del movil</t>
  </si>
  <si>
    <t>Lino, blando</t>
  </si>
  <si>
    <t>Arnes</t>
  </si>
  <si>
    <t>Arnes para altura y chaleco de alta visibilidad</t>
  </si>
  <si>
    <t>Honor-safety</t>
  </si>
  <si>
    <t>Arnes de altura</t>
  </si>
  <si>
    <t>petzer</t>
  </si>
  <si>
    <t xml:space="preserve">Arnes de altura </t>
  </si>
  <si>
    <t>caran</t>
  </si>
  <si>
    <t>Material de altura</t>
  </si>
  <si>
    <t>Cabo de anclaje con absorvedor</t>
  </si>
  <si>
    <t>Lino blanco</t>
  </si>
  <si>
    <t>Atalajes y mascara</t>
  </si>
  <si>
    <t>POK, c/ regulador de caudal, c/ corte rapido</t>
  </si>
  <si>
    <t>Plastica</t>
  </si>
  <si>
    <t>Accesorio para monitor</t>
  </si>
  <si>
    <t>Accesorio de espuma para monitor fijo</t>
  </si>
  <si>
    <t>Task force tips inc.</t>
  </si>
  <si>
    <t>Eslingar</t>
  </si>
  <si>
    <t>polvo quimico seco</t>
  </si>
  <si>
    <t>Radios motorola modelo k76mrcej</t>
  </si>
  <si>
    <t>Comando de minicojines</t>
  </si>
  <si>
    <t>Reductor de presion para minicojines</t>
  </si>
  <si>
    <t>Mangueras de aire comprimido para minicojines</t>
  </si>
  <si>
    <t>Valvula de presion con manometro</t>
  </si>
  <si>
    <t>Cable con ficha "IEC 60309 16Amp 380V trifasica" a cables con pinzas</t>
  </si>
  <si>
    <t>Cable de puesta a tierra con pinza de un lado y terminal del otro</t>
  </si>
  <si>
    <t>14mts</t>
  </si>
  <si>
    <t>11mts</t>
  </si>
  <si>
    <t>Cable con fichas "IEC 60309 16Amp 380V trifasica", una punta macho y la otra hembra</t>
  </si>
  <si>
    <t>10mts</t>
  </si>
  <si>
    <t>Cable con ficha "IEC 60309 16Amp 220V Bifasica" a dos fichas argentinas "Type I"</t>
  </si>
  <si>
    <t>8Mts</t>
  </si>
  <si>
    <t>Cable con ficha "IEC 60309 16Amp 380V Trifasica" a terminales</t>
  </si>
  <si>
    <t>9Mts</t>
  </si>
  <si>
    <t>Adaptador con ficha "IEC 60309 16Amp 220V Bifasica" a ficha europea "Type F" compatible con ficha Argentina "Type C"</t>
  </si>
  <si>
    <t>0,5mts</t>
  </si>
  <si>
    <t>Adaptador con ficha "IEC 60309 16Amp 220V Bifasica" a ficha argentina "Type I"</t>
  </si>
  <si>
    <t>Alargue en rollo con 4 fichas "IEC 60309 16Amp 220V Bifasica"</t>
  </si>
  <si>
    <t>Cable para bateria con pinzas</t>
  </si>
  <si>
    <t>4Mts</t>
  </si>
  <si>
    <t>Estabilizador de vehiculo</t>
  </si>
  <si>
    <t xml:space="preserve">Estabilizador lateral </t>
  </si>
  <si>
    <t>Bolso de corta vidrios</t>
  </si>
  <si>
    <t>Corta vidrios holmatro</t>
  </si>
  <si>
    <t>Corta cinturones</t>
  </si>
  <si>
    <t>Divisor de carga para grua</t>
  </si>
  <si>
    <t>Bolso de comando de minicojines 1</t>
  </si>
  <si>
    <t>Bolso de comando de minicojines 2</t>
  </si>
  <si>
    <t>Holmatro</t>
  </si>
  <si>
    <t>Bolso con accesorios de holmatro no identificables</t>
  </si>
  <si>
    <t>wadra</t>
  </si>
  <si>
    <t>Caja de cubre parantes</t>
  </si>
  <si>
    <t>Cubre parantes chico</t>
  </si>
  <si>
    <t>Cubre parantes grande</t>
  </si>
  <si>
    <t>Extensores de RAM</t>
  </si>
  <si>
    <t>No se distingue</t>
  </si>
  <si>
    <t>Cisalla hidraulica</t>
  </si>
  <si>
    <t>Sistema dual</t>
  </si>
  <si>
    <t>Ram doble, Sistema dual</t>
  </si>
  <si>
    <t>Expansora hidraulica</t>
  </si>
  <si>
    <t>Electrico, Sistema dual, capacidad para dos herramientas</t>
  </si>
  <si>
    <t>Caja de seguridad en la escena</t>
  </si>
  <si>
    <t>Cajon de tacos 1</t>
  </si>
  <si>
    <t>Tacos varios de madera</t>
  </si>
  <si>
    <t>Cajon de tacos 2</t>
  </si>
  <si>
    <t>Cuña plastica</t>
  </si>
  <si>
    <t>Taco plastico fino</t>
  </si>
  <si>
    <t>Taco plastico ancho</t>
  </si>
  <si>
    <t>casco</t>
  </si>
  <si>
    <t>Casco</t>
  </si>
  <si>
    <t>Casco de obra</t>
  </si>
  <si>
    <t>Casco de obra con protector facial</t>
  </si>
  <si>
    <t>Estacas</t>
  </si>
  <si>
    <t>Estaca de 70cm</t>
  </si>
  <si>
    <t>Minicojin</t>
  </si>
  <si>
    <t>minicojin</t>
  </si>
  <si>
    <t>Mini cojin para obturacion de cisternas</t>
  </si>
  <si>
    <t>Traje de aproximacion clase "C"</t>
  </si>
  <si>
    <t>Traje de aproximacion clase "A"</t>
  </si>
  <si>
    <t>Clase C</t>
  </si>
  <si>
    <t>Protector plastico para extircacion</t>
  </si>
  <si>
    <t>Cajon de hazmat 1</t>
  </si>
  <si>
    <t>Cajon de hazmat 2</t>
  </si>
  <si>
    <t>Cajon de hazmat 3</t>
  </si>
  <si>
    <t>20mts</t>
  </si>
  <si>
    <t>polea</t>
  </si>
  <si>
    <t>Polea</t>
  </si>
  <si>
    <t>64KN</t>
  </si>
  <si>
    <t>Tensador de cable de acero</t>
  </si>
  <si>
    <t>Collar cervical</t>
  </si>
  <si>
    <t>M</t>
  </si>
  <si>
    <t>G</t>
  </si>
  <si>
    <t>Botiquin pequeño</t>
  </si>
  <si>
    <t>Mascara para polvo con filtro</t>
  </si>
  <si>
    <t>Chaleco de segridad vial</t>
  </si>
  <si>
    <t>Cajonera inferior</t>
  </si>
  <si>
    <t>Para parque de materiales</t>
  </si>
  <si>
    <t>caja o bolso</t>
  </si>
  <si>
    <t>Cajon de tacos 3</t>
  </si>
  <si>
    <t>Tacos grandes cuadrados</t>
  </si>
  <si>
    <t>Cuñas grandes</t>
  </si>
  <si>
    <t>Cuñas chicas</t>
  </si>
  <si>
    <t>Tacos de madera cuadrados</t>
  </si>
  <si>
    <t>3 Toneladas</t>
  </si>
  <si>
    <t>Rema</t>
  </si>
  <si>
    <t>GM705087</t>
  </si>
  <si>
    <t>Peddinghaus</t>
  </si>
  <si>
    <t>7355/3</t>
  </si>
  <si>
    <t>Esquinero para RA</t>
  </si>
  <si>
    <t>Barreta grande</t>
  </si>
  <si>
    <t>Masa 10k</t>
  </si>
  <si>
    <t xml:space="preserve">Rojo </t>
  </si>
  <si>
    <t>Electrobomba</t>
  </si>
  <si>
    <t>HS020200105</t>
  </si>
  <si>
    <t>Enchufe tipo "C"</t>
  </si>
  <si>
    <t>Vetter</t>
  </si>
  <si>
    <t>2200kg, 6BAR</t>
  </si>
  <si>
    <t>23Ton, 10 BAR Modelo "NT-23"</t>
  </si>
  <si>
    <t>29Ton, 8BAR, modelo HKB</t>
  </si>
  <si>
    <t>58Ton, 10BAR, modelo 58-TN</t>
  </si>
  <si>
    <t xml:space="preserve">pqs </t>
  </si>
  <si>
    <t>Colchon de salvamento</t>
  </si>
  <si>
    <t xml:space="preserve">Electrosierra "fast sharp" </t>
  </si>
  <si>
    <t>remnington</t>
  </si>
  <si>
    <t>Cajon de cuerdas trenzadas</t>
  </si>
  <si>
    <t>Cuerda naranja de salvamento naval</t>
  </si>
  <si>
    <t>Cajon de poda</t>
  </si>
  <si>
    <t>Mameluco de seguridad para motosierras</t>
  </si>
  <si>
    <t>Casco de poda</t>
  </si>
  <si>
    <t>Cajon de botas wader</t>
  </si>
  <si>
    <t>Botas wader</t>
  </si>
  <si>
    <t>cajon de guantes</t>
  </si>
  <si>
    <t>Cajon de guantes</t>
  </si>
  <si>
    <t>Guantes varios</t>
  </si>
  <si>
    <t>Cajon de reservorios de agua</t>
  </si>
  <si>
    <t>Reservorios de auga</t>
  </si>
  <si>
    <t xml:space="preserve">Extractor NH </t>
  </si>
  <si>
    <t>Destornillador plano</t>
  </si>
  <si>
    <t>Destornillador phillips</t>
  </si>
  <si>
    <t>pinza de punta dielectrica</t>
  </si>
  <si>
    <t>Juego de llaves alem</t>
  </si>
  <si>
    <t>llave 19mm</t>
  </si>
  <si>
    <t>Llave 17mm</t>
  </si>
  <si>
    <t>llave 19 y 17mm</t>
  </si>
  <si>
    <t>llave 32mm</t>
  </si>
  <si>
    <t>llave 12mm</t>
  </si>
  <si>
    <t>llave 13mm</t>
  </si>
  <si>
    <t>llave 11 mm</t>
  </si>
  <si>
    <t>Serrucho</t>
  </si>
  <si>
    <t>Corta parabrisas</t>
  </si>
  <si>
    <t>Sierra</t>
  </si>
  <si>
    <t>sachs dollar 123</t>
  </si>
  <si>
    <t>Corta perno</t>
  </si>
  <si>
    <t>barreta</t>
  </si>
  <si>
    <t>Masa</t>
  </si>
  <si>
    <t>chica</t>
  </si>
  <si>
    <t>Masa de goma</t>
  </si>
  <si>
    <t>Clase "A"</t>
  </si>
  <si>
    <t>Gramplin</t>
  </si>
  <si>
    <t>Balde de obra</t>
  </si>
  <si>
    <t>Boya</t>
  </si>
  <si>
    <t>Muy grande</t>
  </si>
  <si>
    <t>bolsa valvula mascara</t>
  </si>
  <si>
    <t>Succionador</t>
  </si>
  <si>
    <t>Mascara oxigenoterapia</t>
  </si>
  <si>
    <t>Taco</t>
  </si>
  <si>
    <t>Guantes p/cadaveres</t>
  </si>
  <si>
    <t>ninguno</t>
  </si>
  <si>
    <t>Silla de ruedas</t>
  </si>
  <si>
    <t>Plegable</t>
  </si>
  <si>
    <t>Bolso de RCP</t>
  </si>
  <si>
    <t>Bolso via aerea</t>
  </si>
  <si>
    <t>BVM</t>
  </si>
  <si>
    <t>Canulas de mayo</t>
  </si>
  <si>
    <t>Kit de canulas de mayo</t>
  </si>
  <si>
    <t>Pinza de maguill</t>
  </si>
  <si>
    <t>Laringoscopio</t>
  </si>
  <si>
    <t>Kit de intubacion c/ larngoscopio</t>
  </si>
  <si>
    <t>Bolso trauma liviano</t>
  </si>
  <si>
    <t>Mascara oxigeno</t>
  </si>
  <si>
    <t>Mascara rcp</t>
  </si>
  <si>
    <t>Habitaculo</t>
  </si>
  <si>
    <t>Manual</t>
  </si>
  <si>
    <t>Con bolsa</t>
  </si>
  <si>
    <t>Sin bolsa</t>
  </si>
  <si>
    <t>Mascara de nebulizacion</t>
  </si>
  <si>
    <t>Tensiometro</t>
  </si>
  <si>
    <t>Estetoscopio</t>
  </si>
  <si>
    <t>Desechador de aguas</t>
  </si>
  <si>
    <t>glucometro</t>
  </si>
  <si>
    <t>Optium xceed</t>
  </si>
  <si>
    <t>xcf796-1066</t>
  </si>
  <si>
    <t>Pequeña de bolsillo</t>
  </si>
  <si>
    <t>oximetro</t>
  </si>
  <si>
    <t>contec</t>
  </si>
  <si>
    <t>j1128g3813</t>
  </si>
  <si>
    <t>corta anillos</t>
  </si>
  <si>
    <t>Spider</t>
  </si>
  <si>
    <t>Straps</t>
  </si>
  <si>
    <t>Inmobilizador p/ cabeza</t>
  </si>
  <si>
    <t>Bolso de triage</t>
  </si>
  <si>
    <t>Bolso de triage con tarjetas de colores</t>
  </si>
  <si>
    <t>Bolso trauma pesado</t>
  </si>
  <si>
    <t>kit canulas de mayo</t>
  </si>
  <si>
    <t>Ferula inflable</t>
  </si>
  <si>
    <t>Ferulas inflables pierna, 1/2 pierna, brazo, 1/2 brazo, bota</t>
  </si>
  <si>
    <t>Manta termica</t>
  </si>
  <si>
    <t>Manta termica para victimas</t>
  </si>
  <si>
    <t>Dispositivo manual de succion</t>
  </si>
  <si>
    <t>Tensiometro pediatrico</t>
  </si>
  <si>
    <t>Media tabla pediatrica</t>
  </si>
  <si>
    <t>Bolso quemados</t>
  </si>
  <si>
    <t>tabla espinal</t>
  </si>
  <si>
    <t>1/2 tabla</t>
  </si>
  <si>
    <t>Con spider</t>
  </si>
  <si>
    <t>Con straps</t>
  </si>
  <si>
    <t>Sin straps</t>
  </si>
  <si>
    <t>P</t>
  </si>
  <si>
    <t>Collar cervical ch</t>
  </si>
  <si>
    <t>ch</t>
  </si>
  <si>
    <t>Collar cervical M</t>
  </si>
  <si>
    <t>Collar cervical G</t>
  </si>
  <si>
    <t>Caja de tacos 1</t>
  </si>
  <si>
    <t>Caja de tacos 2</t>
  </si>
  <si>
    <t>Tacos varios pequeños</t>
  </si>
  <si>
    <t>Color rojo</t>
  </si>
  <si>
    <t>Blanco estiba</t>
  </si>
  <si>
    <t>Amarillo rollo</t>
  </si>
  <si>
    <t>martillo demoledor</t>
  </si>
  <si>
    <t>25S a devanadera. Colocado en la devanadera</t>
  </si>
  <si>
    <t>63S a 38S 38S 38S</t>
  </si>
  <si>
    <t>5m</t>
  </si>
  <si>
    <t>Tipo tijera</t>
  </si>
  <si>
    <t>plastica con straps</t>
  </si>
  <si>
    <t>Esquinero para expansora</t>
  </si>
  <si>
    <t>weber-hydraulik</t>
  </si>
  <si>
    <t>lona</t>
  </si>
  <si>
    <t>Cuña estabilizadora</t>
  </si>
  <si>
    <t>stab-ast</t>
  </si>
  <si>
    <t>amoladora 220v</t>
  </si>
  <si>
    <t>skill</t>
  </si>
  <si>
    <t>sierra sable 220v</t>
  </si>
  <si>
    <t>45268E</t>
  </si>
  <si>
    <t>Martillo demoledor</t>
  </si>
  <si>
    <t>A66N35</t>
  </si>
  <si>
    <t>Reflectores</t>
  </si>
  <si>
    <t>220v</t>
  </si>
  <si>
    <t>hijs-specialist</t>
  </si>
  <si>
    <t>Alargue en rollo 16A-220v IEC 60309</t>
  </si>
  <si>
    <t>estibado rojo</t>
  </si>
  <si>
    <t>POK c/ reg caudal c/ corte rapido</t>
  </si>
  <si>
    <t>akron</t>
  </si>
  <si>
    <t>combinada, s/regulador de caudal s/corte rapido</t>
  </si>
  <si>
    <t>unifire</t>
  </si>
  <si>
    <t>sierra</t>
  </si>
  <si>
    <t>Serrucho grande</t>
  </si>
  <si>
    <t>Iman para chapas</t>
  </si>
  <si>
    <t>martillo</t>
  </si>
  <si>
    <t>llave francesa</t>
  </si>
  <si>
    <t>llave union</t>
  </si>
  <si>
    <t>pico de loro</t>
  </si>
  <si>
    <t>alicate</t>
  </si>
  <si>
    <t>llave 1/2 y 9/16</t>
  </si>
  <si>
    <t>Bolso de cadaveres</t>
  </si>
  <si>
    <t>Traje de aprox. Clase C</t>
  </si>
  <si>
    <t>Guantes p cadaver</t>
  </si>
  <si>
    <t>Bolso de trauma 1</t>
  </si>
  <si>
    <t>regulable</t>
  </si>
  <si>
    <t xml:space="preserve">valvula-mascara </t>
  </si>
  <si>
    <t>Disp. Succion manual</t>
  </si>
  <si>
    <t>Corta vidrios</t>
  </si>
  <si>
    <t>trineo</t>
  </si>
  <si>
    <t>Con pescador de 25mm</t>
  </si>
  <si>
    <t>S4</t>
  </si>
  <si>
    <t>lanza de espuma</t>
  </si>
  <si>
    <t>En el trivergente</t>
  </si>
  <si>
    <t>PQS</t>
  </si>
  <si>
    <t>Dosificador portatil de espuma</t>
  </si>
  <si>
    <t>alpha-mousse</t>
  </si>
  <si>
    <t>En divergente</t>
  </si>
  <si>
    <t>sthil</t>
  </si>
  <si>
    <t>TS-400</t>
  </si>
  <si>
    <t>Moto-Sierra</t>
  </si>
  <si>
    <t>DCS-7301</t>
  </si>
  <si>
    <t>lanza escudo</t>
  </si>
  <si>
    <t>Extensible</t>
  </si>
  <si>
    <t>No extensible</t>
  </si>
  <si>
    <t>filtro para manguerote</t>
  </si>
  <si>
    <t>114S</t>
  </si>
  <si>
    <t>Bichero largo</t>
  </si>
  <si>
    <t>Corta perno chico</t>
  </si>
  <si>
    <t>Corta perno mediano</t>
  </si>
  <si>
    <t>Barreta chica</t>
  </si>
  <si>
    <t>Barreta mediana</t>
  </si>
  <si>
    <t>Masa 5kg</t>
  </si>
  <si>
    <t>Gancho cazador</t>
  </si>
  <si>
    <t>Cabeza de escoba</t>
  </si>
  <si>
    <t>bichero</t>
  </si>
  <si>
    <t>palo de escoba</t>
  </si>
  <si>
    <t>hacha 1/2 tumbo</t>
  </si>
  <si>
    <t>Pala de punta</t>
  </si>
  <si>
    <t>Horquillo </t>
  </si>
  <si>
    <t>Material Hazmat</t>
  </si>
  <si>
    <t>Guantes para hazmat</t>
  </si>
  <si>
    <t>Botas de hazmat phoenix</t>
  </si>
  <si>
    <t>Traje de aprox. Clase B trelleborg</t>
  </si>
  <si>
    <t>Cajon de seguridad en escena 1</t>
  </si>
  <si>
    <t>Protector auditivo sthil</t>
  </si>
  <si>
    <t>chaleco vial</t>
  </si>
  <si>
    <t>Cajon material nautico 1</t>
  </si>
  <si>
    <t>Chaleco salvavidas secumar</t>
  </si>
  <si>
    <t>tacos</t>
  </si>
  <si>
    <t>Cajon de eslingas 1</t>
  </si>
  <si>
    <t>Eslinga ilegible</t>
  </si>
  <si>
    <t>Eslinga</t>
  </si>
  <si>
    <t>4M</t>
  </si>
  <si>
    <t>2T</t>
  </si>
  <si>
    <t>4,8T</t>
  </si>
  <si>
    <t>2M</t>
  </si>
  <si>
    <t>3M</t>
  </si>
  <si>
    <t>10M</t>
  </si>
  <si>
    <t>Eslinga ilegible con cricket</t>
  </si>
  <si>
    <t>2,5M</t>
  </si>
  <si>
    <t>8,5M</t>
  </si>
  <si>
    <t>10T</t>
  </si>
  <si>
    <t>Hooligan</t>
  </si>
  <si>
    <t>m</t>
  </si>
  <si>
    <t>g</t>
  </si>
  <si>
    <t>p</t>
  </si>
  <si>
    <t>manta ignifuga</t>
  </si>
  <si>
    <t xml:space="preserve">Botiquin </t>
  </si>
  <si>
    <t>Baston</t>
  </si>
  <si>
    <t>HotStick</t>
  </si>
  <si>
    <t>US2013470505</t>
  </si>
  <si>
    <t>17UV875855</t>
  </si>
  <si>
    <t>5kg</t>
  </si>
  <si>
    <t>10kg</t>
  </si>
  <si>
    <t>guantes dielectricos</t>
  </si>
  <si>
    <t>material dielectrico</t>
  </si>
  <si>
    <t>Destornillador dielec. Pala</t>
  </si>
  <si>
    <t>Destornillador dielec. Philliips</t>
  </si>
  <si>
    <t>Destornillador Philliips</t>
  </si>
  <si>
    <t>Extractor NH</t>
  </si>
  <si>
    <t>material hazmat</t>
  </si>
  <si>
    <t>Cinta de obturacion</t>
  </si>
  <si>
    <t>llaves para ascensor</t>
  </si>
  <si>
    <t>Pinza de punta</t>
  </si>
  <si>
    <t>martillo de goma</t>
  </si>
  <si>
    <t xml:space="preserve">S/reg caudal S/ corte rap </t>
  </si>
  <si>
    <t>De chorro pleno</t>
  </si>
  <si>
    <t>C/corte rapido S/Regulador de caudal</t>
  </si>
  <si>
    <t>Marca</t>
  </si>
  <si>
    <t>BOSCH</t>
  </si>
  <si>
    <t xml:space="preserve">Martillo demoledor 220v grande  </t>
  </si>
  <si>
    <t>D70745</t>
  </si>
  <si>
    <t>Accesorio herramienta electrica</t>
  </si>
  <si>
    <t xml:space="preserve">Rotomartillo 220v  </t>
  </si>
  <si>
    <t>GBH5470DCE</t>
  </si>
  <si>
    <t xml:space="preserve">Dewalt </t>
  </si>
  <si>
    <t xml:space="preserve">Amoladora electrica a bateria </t>
  </si>
  <si>
    <t xml:space="preserve">Bateria </t>
  </si>
  <si>
    <t>DeWalt</t>
  </si>
  <si>
    <t>Baterias</t>
  </si>
  <si>
    <t>Cargadores</t>
  </si>
  <si>
    <t xml:space="preserve">DeWalt </t>
  </si>
  <si>
    <t xml:space="preserve">Cargador de bateria </t>
  </si>
  <si>
    <t>DW911-6AR</t>
  </si>
  <si>
    <t xml:space="preserve">Sierra sable </t>
  </si>
  <si>
    <t>eslinga</t>
  </si>
  <si>
    <t>grilletes</t>
  </si>
  <si>
    <t>material minicojines</t>
  </si>
  <si>
    <t>Accesorios de rescate</t>
  </si>
  <si>
    <t>Señalizacion vial</t>
  </si>
  <si>
    <t>lampara vial</t>
  </si>
  <si>
    <t>signalite</t>
  </si>
  <si>
    <t>Lampara vial marca</t>
  </si>
  <si>
    <t>tildawn</t>
  </si>
  <si>
    <t>taco</t>
  </si>
  <si>
    <t>EPP especifico</t>
  </si>
  <si>
    <t>Column1</t>
  </si>
  <si>
    <t>Column2</t>
  </si>
  <si>
    <t>bolsa valvula mascara Pediatrico y adulto</t>
  </si>
  <si>
    <t>15Kg</t>
  </si>
  <si>
    <t>Aluminio</t>
  </si>
  <si>
    <t>No informado</t>
  </si>
  <si>
    <t>"JA"</t>
  </si>
  <si>
    <t>Pouland</t>
  </si>
  <si>
    <t>Equipo electrogeno</t>
  </si>
  <si>
    <t>LEROY SOMER</t>
  </si>
  <si>
    <t>36L25</t>
  </si>
  <si>
    <t>Barreta</t>
  </si>
  <si>
    <t>pala ancha</t>
  </si>
  <si>
    <t>pala punta</t>
  </si>
  <si>
    <t>maza chica</t>
  </si>
  <si>
    <t>Hacha de mano</t>
  </si>
  <si>
    <t>Hacha de leñador</t>
  </si>
  <si>
    <t>ferula inflable</t>
  </si>
  <si>
    <t>spider</t>
  </si>
  <si>
    <t>combinada S/corte rapido S/ reg. Caudal</t>
  </si>
  <si>
    <t>Tanque de agua palstico 1000L</t>
  </si>
  <si>
    <t>Moto-Bomba</t>
  </si>
  <si>
    <t>Tanque de agua 1000L</t>
  </si>
  <si>
    <t>Palas</t>
  </si>
  <si>
    <t>Caja de herramienta</t>
  </si>
  <si>
    <t>Cricket roscado</t>
  </si>
  <si>
    <t>Luces para balizado vial</t>
  </si>
  <si>
    <t>Para casco francés</t>
  </si>
  <si>
    <t>Unión no compatible con modernas</t>
  </si>
  <si>
    <t>Con filtro</t>
  </si>
  <si>
    <t>Bolsa con cuerdas</t>
  </si>
  <si>
    <t>Trípode para iluminación</t>
  </si>
  <si>
    <t>Hacha</t>
  </si>
  <si>
    <t>Chico, vacío</t>
  </si>
  <si>
    <t>Caja con cuerdas y roldana</t>
  </si>
  <si>
    <t>Viga de pino</t>
  </si>
  <si>
    <t xml:space="preserve">3mts </t>
  </si>
  <si>
    <t>Cajonera con guía</t>
  </si>
  <si>
    <t>Tanques GNC</t>
  </si>
  <si>
    <t>Kit p/ derretir plomo</t>
  </si>
  <si>
    <t>38M-38S</t>
  </si>
  <si>
    <t>63M-63S</t>
  </si>
  <si>
    <t>Metalica Hembra</t>
  </si>
  <si>
    <t>Goma Macho</t>
  </si>
  <si>
    <t>Union suelta</t>
  </si>
  <si>
    <t>38M</t>
  </si>
  <si>
    <t>63M</t>
  </si>
  <si>
    <t>38W</t>
  </si>
  <si>
    <t>45W</t>
  </si>
  <si>
    <t xml:space="preserve">Macho </t>
  </si>
  <si>
    <t>63S-63-63M</t>
  </si>
  <si>
    <t>63s a macho de goma para motobomba</t>
  </si>
  <si>
    <t xml:space="preserve">Mascara EPR </t>
  </si>
  <si>
    <t>para materiales</t>
  </si>
  <si>
    <t>material de altura</t>
  </si>
  <si>
    <t>material electrico</t>
  </si>
  <si>
    <t>Gancho cazador grande</t>
  </si>
  <si>
    <t>Carpas</t>
  </si>
  <si>
    <t>Gasebo</t>
  </si>
  <si>
    <t>Bidon</t>
  </si>
  <si>
    <t>no disponible</t>
  </si>
  <si>
    <t>Otros</t>
  </si>
  <si>
    <t xml:space="preserve"> Tubo de luz Grande </t>
  </si>
  <si>
    <t>Tubo de luz Mediano</t>
  </si>
  <si>
    <t xml:space="preserve"> Tubo plástico organizador  63mm</t>
  </si>
  <si>
    <t>Tubo plástico organizador 45mm</t>
  </si>
  <si>
    <t>Eje para enrollar cable elect.</t>
  </si>
  <si>
    <t>Codo de madera</t>
  </si>
  <si>
    <t>Tabla canasto</t>
  </si>
  <si>
    <t>Estructura de tubos</t>
  </si>
  <si>
    <t>Embarcación gnomon</t>
  </si>
  <si>
    <t>Soporte p/ monitor fijo</t>
  </si>
  <si>
    <t>Llave p/ abrir hidrante</t>
  </si>
  <si>
    <t>Piezas para piso de gomon</t>
  </si>
  <si>
    <t>Tubo de oxigeno</t>
  </si>
  <si>
    <t>Baliza amarilla a batería portátil</t>
  </si>
  <si>
    <t>Balizas luminiscentes para cono</t>
  </si>
  <si>
    <t>Manga</t>
  </si>
  <si>
    <t>63m</t>
  </si>
  <si>
    <t>45m</t>
  </si>
  <si>
    <t>38m</t>
  </si>
  <si>
    <t>25m</t>
  </si>
  <si>
    <t>50mts</t>
  </si>
  <si>
    <t>Corta  de madera</t>
  </si>
  <si>
    <t>madera</t>
  </si>
  <si>
    <t>Pediatrica</t>
  </si>
  <si>
    <t>plegable</t>
  </si>
  <si>
    <t>pistola</t>
  </si>
  <si>
    <t xml:space="preserve"> Organizador metálico  De alambre</t>
  </si>
  <si>
    <t>simple</t>
  </si>
  <si>
    <t>AWG incompleta</t>
  </si>
  <si>
    <t>lino</t>
  </si>
  <si>
    <t>lino latex</t>
  </si>
  <si>
    <t>conos</t>
  </si>
  <si>
    <t>Tacho recipiente materiales peligroso 200lts</t>
  </si>
  <si>
    <t>25NH-25-25NH</t>
  </si>
  <si>
    <t>63w-63-63w</t>
  </si>
  <si>
    <t>GPS con cargador</t>
  </si>
  <si>
    <t>Lentes de seguridad</t>
  </si>
  <si>
    <t>cubre air-bag</t>
  </si>
  <si>
    <t>11mmx30m</t>
  </si>
  <si>
    <t>Desconocido</t>
  </si>
  <si>
    <t>xg</t>
  </si>
  <si>
    <t>Bolsa valvula mascara</t>
  </si>
  <si>
    <t>Canula de mayo</t>
  </si>
  <si>
    <t>Saca bujia</t>
  </si>
  <si>
    <t>Busca polo</t>
  </si>
  <si>
    <t>maza de goma</t>
  </si>
  <si>
    <t>Casco de incendio</t>
  </si>
  <si>
    <t>Modelo Ultra Elite Aver</t>
  </si>
  <si>
    <t>C/ corte rapido C/Regulador de caudal</t>
  </si>
  <si>
    <t>no informa</t>
  </si>
  <si>
    <t>No informa</t>
  </si>
  <si>
    <t>cortafierros</t>
  </si>
  <si>
    <t>30L</t>
  </si>
  <si>
    <t>masa grande</t>
  </si>
  <si>
    <t>hembra</t>
  </si>
  <si>
    <t>Con pescador</t>
  </si>
  <si>
    <t>45w</t>
  </si>
  <si>
    <t>lanzas especiales</t>
  </si>
  <si>
    <t>114S-63S</t>
  </si>
  <si>
    <t>114S a 63S y 71S</t>
  </si>
  <si>
    <t>modelo PPU10</t>
  </si>
  <si>
    <t>30m</t>
  </si>
  <si>
    <t>Ninguno</t>
  </si>
  <si>
    <t>extensible</t>
  </si>
  <si>
    <t>2,25m</t>
  </si>
  <si>
    <t>Bolso de quemados</t>
  </si>
  <si>
    <t>Bolso de trauma</t>
  </si>
  <si>
    <t>Solo decia ferulas. Cuales? Inflables? Para que extremidad? No informa</t>
  </si>
  <si>
    <t>Clase "C" Esto es lo que se coloco como Jailbreak? No informa</t>
  </si>
  <si>
    <t>Son storz? No informa</t>
  </si>
  <si>
    <t>Motorola</t>
  </si>
  <si>
    <t>Control remoto de malacate</t>
  </si>
  <si>
    <t>40m</t>
  </si>
  <si>
    <t>POK</t>
  </si>
  <si>
    <t>Balizas luminicentes</t>
  </si>
  <si>
    <t>Palo y sepillo</t>
  </si>
  <si>
    <t>chicotas</t>
  </si>
  <si>
    <t>manta termica</t>
  </si>
  <si>
    <t>Collar cervical pediatrico</t>
  </si>
  <si>
    <t>Collar cervical m</t>
  </si>
  <si>
    <t>Collar cervical g</t>
  </si>
  <si>
    <t>Collar cervical xg</t>
  </si>
  <si>
    <t>ferulas sam splint 1 kit</t>
  </si>
  <si>
    <t>Glucometro</t>
  </si>
  <si>
    <t>Llaves para ascensor</t>
  </si>
  <si>
    <t>Alicate grande</t>
  </si>
  <si>
    <t>Alicate chico</t>
  </si>
  <si>
    <t>Buscapolo</t>
  </si>
  <si>
    <t>Voltimetro</t>
  </si>
  <si>
    <t>Cintas de obturacion</t>
  </si>
  <si>
    <t>Estacas de obturacion de madera</t>
  </si>
  <si>
    <t>Material hazmat</t>
  </si>
  <si>
    <t>cilindro</t>
  </si>
  <si>
    <t>plastica</t>
  </si>
  <si>
    <t>Tripode de rescate</t>
  </si>
  <si>
    <t>Reflector LED con tripode</t>
  </si>
  <si>
    <t>Alargue monofasico 30m</t>
  </si>
  <si>
    <t>Cajon minicojines</t>
  </si>
  <si>
    <t>mangueras para minicojines</t>
  </si>
  <si>
    <t>114S a 63S y 63S</t>
  </si>
  <si>
    <t>con pescador</t>
  </si>
  <si>
    <t>c/ corte rapido c/ reg. Caudal</t>
  </si>
  <si>
    <t>hacha de mano</t>
  </si>
  <si>
    <t>hacha leñador</t>
  </si>
  <si>
    <t>en bolso</t>
  </si>
  <si>
    <t>clase "C"</t>
  </si>
  <si>
    <t>clase "A"</t>
  </si>
  <si>
    <t>chaleco seguridad vial. NO INFORMA CANTIDAD.</t>
  </si>
  <si>
    <t>Cajon de material para obitos</t>
  </si>
  <si>
    <t>columna hidrica</t>
  </si>
  <si>
    <t>63S-51-63S</t>
  </si>
  <si>
    <t>macho</t>
  </si>
  <si>
    <t>63S-38W</t>
  </si>
  <si>
    <t>114w-114S</t>
  </si>
  <si>
    <t>38S-25S</t>
  </si>
  <si>
    <t>63w-51w</t>
  </si>
  <si>
    <t>63W-45W</t>
  </si>
  <si>
    <t>63W-51W</t>
  </si>
  <si>
    <t>Cuerda de altura</t>
  </si>
  <si>
    <t>10,5mm</t>
  </si>
  <si>
    <t>30l</t>
  </si>
  <si>
    <t>Protector de cuerda</t>
  </si>
  <si>
    <t>Cinta plana</t>
  </si>
  <si>
    <t>Cinta tubular</t>
  </si>
  <si>
    <t>Guante de altura</t>
  </si>
  <si>
    <t>Guantes de trabajo</t>
  </si>
  <si>
    <t>Caja de herramientas</t>
  </si>
  <si>
    <t>Saca bujias</t>
  </si>
  <si>
    <t>Perno para purga holmatro</t>
  </si>
  <si>
    <t>herram. para desarmar paneles</t>
  </si>
  <si>
    <t>cutter</t>
  </si>
  <si>
    <t xml:space="preserve">Pinza </t>
  </si>
  <si>
    <t>otros</t>
  </si>
  <si>
    <t>enbudo</t>
  </si>
  <si>
    <t>herramientas electricas</t>
  </si>
  <si>
    <t>Sierra sable 220v</t>
  </si>
  <si>
    <t>Amoladora</t>
  </si>
  <si>
    <t>moto-sierra</t>
  </si>
  <si>
    <t>destornillador plano</t>
  </si>
  <si>
    <t>destornillador phillips</t>
  </si>
  <si>
    <t>pinza pico de loro</t>
  </si>
  <si>
    <t>Hacha grande</t>
  </si>
  <si>
    <t>hooligan</t>
  </si>
  <si>
    <t>cortafierro</t>
  </si>
  <si>
    <t>Bolso de oxigenoterapia</t>
  </si>
  <si>
    <t>tubo de oxigeno</t>
  </si>
  <si>
    <t>Pediatrica de madera</t>
  </si>
  <si>
    <t>Cajon de cadenas y grilletes</t>
  </si>
  <si>
    <t>Grilletes varios</t>
  </si>
  <si>
    <t>No Informa</t>
  </si>
  <si>
    <t>Soporte de parantes para RAM</t>
  </si>
  <si>
    <t>Parque de materiales</t>
  </si>
  <si>
    <t>Tipo percha</t>
  </si>
  <si>
    <t>114W-114-114W</t>
  </si>
  <si>
    <t>Asientos</t>
  </si>
  <si>
    <t>Bolso de herramientas electricas</t>
  </si>
  <si>
    <t>Caja de material para cadaveres</t>
  </si>
  <si>
    <t>F1 Gallet MSA</t>
  </si>
  <si>
    <t>Hoolingan</t>
  </si>
  <si>
    <t>doble</t>
  </si>
  <si>
    <t>Bloqueadores para altura</t>
  </si>
  <si>
    <t>Conectores para altura</t>
  </si>
  <si>
    <t>Cordines para altura</t>
  </si>
  <si>
    <t>Pañal de rescate</t>
  </si>
  <si>
    <t>Anclajes</t>
  </si>
  <si>
    <t>12mm</t>
  </si>
  <si>
    <t>Casco de altura</t>
  </si>
  <si>
    <t>16mm</t>
  </si>
  <si>
    <t>25mm</t>
  </si>
  <si>
    <t>Sistema anti-caidas</t>
  </si>
  <si>
    <t>Descensor para altura</t>
  </si>
  <si>
    <t>Placa multianclaje</t>
  </si>
  <si>
    <t>Polea para altura</t>
  </si>
  <si>
    <t>Mochila de agua para incendio forestal</t>
  </si>
  <si>
    <t>radio handy</t>
  </si>
  <si>
    <t>Detector de gases</t>
  </si>
  <si>
    <t>rompe cristales</t>
  </si>
  <si>
    <t>chaleco salvavidas</t>
  </si>
  <si>
    <t>torpedo de rescate</t>
  </si>
  <si>
    <t>Medidor de profundidad</t>
  </si>
  <si>
    <t>Estacas de obturacion para gas</t>
  </si>
  <si>
    <t>sensor de campo electrico lapiz</t>
  </si>
  <si>
    <t>Medidores de electricidad, No Informa</t>
  </si>
  <si>
    <t>pinzas</t>
  </si>
  <si>
    <t>Llaves de ascensores</t>
  </si>
  <si>
    <t>Sierra sable</t>
  </si>
  <si>
    <t>Bateria para herramienta electrica</t>
  </si>
  <si>
    <t>Bolso de trauma. No informa</t>
  </si>
  <si>
    <t>Bolso de collares cervicales. No informa</t>
  </si>
  <si>
    <t>RAM hidraulico</t>
  </si>
  <si>
    <t>manguera hidraulica</t>
  </si>
  <si>
    <t>5l</t>
  </si>
  <si>
    <t>Bolso con vientos de camilla canasto</t>
  </si>
  <si>
    <t>cinta tubular</t>
  </si>
  <si>
    <t>Mosquetones HMS</t>
  </si>
  <si>
    <t>juego de poleas</t>
  </si>
  <si>
    <t>salvacaida</t>
  </si>
  <si>
    <t>Mosquetones tipo X</t>
  </si>
  <si>
    <t>Para prusik</t>
  </si>
  <si>
    <t>Recubridores de cuerda</t>
  </si>
  <si>
    <t>Cubre cornisa</t>
  </si>
  <si>
    <t>Corta perno grande</t>
  </si>
  <si>
    <t xml:space="preserve">Maza </t>
  </si>
  <si>
    <t>Sierra para metal</t>
  </si>
  <si>
    <t>pala</t>
  </si>
  <si>
    <t>tipo ADG</t>
  </si>
  <si>
    <t>De tacos</t>
  </si>
  <si>
    <t>Esquinero para ram</t>
  </si>
  <si>
    <t>63S-25S</t>
  </si>
  <si>
    <t>Para motobomba</t>
  </si>
  <si>
    <t>de espuma con pescador</t>
  </si>
  <si>
    <t>manguerote</t>
  </si>
  <si>
    <t>Llave stilson</t>
  </si>
  <si>
    <t>Pinzas</t>
  </si>
  <si>
    <t>Destornillador pala</t>
  </si>
  <si>
    <t>masa de goma</t>
  </si>
  <si>
    <t>Guantes para cadaveres</t>
  </si>
  <si>
    <t>Clase "C"</t>
  </si>
  <si>
    <t>Column3</t>
  </si>
  <si>
    <t>Column4</t>
  </si>
  <si>
    <t>Column5</t>
  </si>
  <si>
    <t>Column6</t>
  </si>
  <si>
    <t>Bolsos de altura</t>
  </si>
  <si>
    <t>Semiestatica negra</t>
  </si>
  <si>
    <t>protector de cuerda plastico rigido</t>
  </si>
  <si>
    <t xml:space="preserve">Anclaje pre armado de cuerda </t>
  </si>
  <si>
    <t>Arnes mustani</t>
  </si>
  <si>
    <t>19mm</t>
  </si>
  <si>
    <t>Protector de cuerda 70cm</t>
  </si>
  <si>
    <t>kong</t>
  </si>
  <si>
    <t>anillo p/prusik 70CM /6mm azul y amarillo</t>
  </si>
  <si>
    <t>anillo de cinta tubular x 44CM /16mm verde</t>
  </si>
  <si>
    <t>cinta tubular x 1.54mts / 25mm</t>
  </si>
  <si>
    <t>descensor “ocho” con proyecciones 25kn</t>
  </si>
  <si>
    <t>descensor “ocho” sin proyecciones 25kn</t>
  </si>
  <si>
    <t>mosquetón de acero tipo “X” CLIBING</t>
  </si>
  <si>
    <t>mosquetón tipo “H” ( HMS) PETZL</t>
  </si>
  <si>
    <t>Arnes de trabajo</t>
  </si>
  <si>
    <t>“CARAN”</t>
  </si>
  <si>
    <t>Anclaje personal  con salvacaidas</t>
  </si>
  <si>
    <t>musitani</t>
  </si>
  <si>
    <t>Sistema de vientos regulable musitani</t>
  </si>
  <si>
    <t>Bolso de altura petzl</t>
  </si>
  <si>
    <t>Poleas dobles con placas basculantes Edelweiss TRAFIC 2016 (rojas)</t>
  </si>
  <si>
    <t>Poleas dobles con placas basculantes CLIMB TECH CT-757 (azules)</t>
  </si>
  <si>
    <t>2 Poleas dobles con placas basculantes PETZL TWIN (violeta y dorado)</t>
  </si>
  <si>
    <t>2 Poleas dobles con placas fijas PETZL TANDEM para cuerda (rojas)</t>
  </si>
  <si>
    <t>Polea simple con placas basculantes Edelweiss TRAFIC 116 (roja)</t>
  </si>
  <si>
    <t xml:space="preserve"> Polea simple con placas basculantes PETZL RESCUE (violeta y azul)</t>
  </si>
  <si>
    <t xml:space="preserve"> Polea simple con placas fijas CAMP (celeste)</t>
  </si>
  <si>
    <t xml:space="preserve"> Poleas simples con placas basculantes ALTUS (rojas)</t>
  </si>
  <si>
    <t xml:space="preserve"> Placa multianclaje S marca FUSION (amarilla)</t>
  </si>
  <si>
    <t>Doble Stop X Urban descensor</t>
  </si>
  <si>
    <t>PETZL I´D descensor</t>
  </si>
  <si>
    <t>Descesores 8 marcas FUSION de aluminio (negros)</t>
  </si>
  <si>
    <t>Puño BLACK DIAMOND con pedal y mosqutón B sin seguro</t>
  </si>
  <si>
    <t>Puño SKYLOTEC con pedal y mosqutón B sin seguro</t>
  </si>
  <si>
    <t>Anticaidas tipo T4 para cable de acero SKYLOTEC</t>
  </si>
  <si>
    <t>Bloqueador PETZL RESCUCENDER</t>
  </si>
  <si>
    <t>Bloqueador PETZL SHUNT</t>
  </si>
  <si>
    <t>conectores PETZL Am,D (aluminio) negros</t>
  </si>
  <si>
    <t xml:space="preserve"> conectores HMS (aluminio) plateados</t>
  </si>
  <si>
    <t>conectores HMS (acero) KONG</t>
  </si>
  <si>
    <t>conectoresoval de acero CLIMB TECH</t>
  </si>
  <si>
    <t>Maillon oval</t>
  </si>
  <si>
    <t>Hondilla con cordín de 80 metros.</t>
  </si>
  <si>
    <t>anillos de cordín de 7 mm de 30 cm. (rojos)</t>
  </si>
  <si>
    <t>anillos de cordín de 7 mm de 50 cm. (rojos)</t>
  </si>
  <si>
    <t>anillos de cordín de 7 mm de 60 cm. (rojos)</t>
  </si>
  <si>
    <t>anillo de cordín de 7 mm de 1 metro. (rojo)</t>
  </si>
  <si>
    <t xml:space="preserve"> anillos de cordín de 7 mm de 80 cm. (azules)</t>
  </si>
  <si>
    <t>cordín de 7 mm de 2 metros (azul)</t>
  </si>
  <si>
    <t>Vientos de camilla canasto</t>
  </si>
  <si>
    <t>pañal de rescate</t>
  </si>
  <si>
    <t xml:space="preserve">Cintas tubulares 25 mm de 1, 6 metros (verdes) </t>
  </si>
  <si>
    <t xml:space="preserve">Cinta tubulare 25 mm de 3,8 metros (verde) </t>
  </si>
  <si>
    <t xml:space="preserve">Cinta tubulare 25 mm de 8 metros (verde) </t>
  </si>
  <si>
    <t>Cinta tubular de 15 mm de 1,8 metros (verde)</t>
  </si>
  <si>
    <t>Cadena margarita (Roja)</t>
  </si>
  <si>
    <t>Arnes PETZL NAVAHO (con bagas + 2 mosquetones HMS KONG de acero)</t>
  </si>
  <si>
    <t>Pañal de rescate EdelWeiss</t>
  </si>
  <si>
    <t>Pares de guantes.</t>
  </si>
  <si>
    <t>Protector de cuerda verde con velcro</t>
  </si>
  <si>
    <t>Protector de cuerda rojo con iman</t>
  </si>
  <si>
    <t>Lona de parque de material roja (1,5 m x 0,5 m)</t>
  </si>
  <si>
    <t>Bolso  de altura  geithech</t>
  </si>
  <si>
    <t>3 cuerdas de 20 mtrs  con sistema anticaida marca heightec   (fija)</t>
  </si>
  <si>
    <t>bolso Altura ls&amp;d</t>
  </si>
  <si>
    <t xml:space="preserve"> anclajes redundantes  tabla de torso rojo</t>
  </si>
  <si>
    <t xml:space="preserve"> anclajes redundantes  tabla de pies rojo</t>
  </si>
  <si>
    <t>bolso de altura negro 1</t>
  </si>
  <si>
    <t>cuerda de 20 mtrs con sistema anicaida marca heightec con retractilheightec</t>
  </si>
  <si>
    <t xml:space="preserve"> protector de cuerdas marca donges con iman</t>
  </si>
  <si>
    <t>arnes marca musitani modelo power</t>
  </si>
  <si>
    <t>conector de anclaje eslingar longitud 800mm</t>
  </si>
  <si>
    <t>lingas de acero con proteccion pvc trasparente y con un mosqueton fijo aluminio</t>
  </si>
  <si>
    <t>par de guantes de trabajo color gris</t>
  </si>
  <si>
    <t>casquete amarillo</t>
  </si>
  <si>
    <t>protectores de cuerda rigido curvo negro pvc</t>
  </si>
  <si>
    <t xml:space="preserve"> anclajes redundantes rojo</t>
  </si>
  <si>
    <t xml:space="preserve"> anclajes redundantes color blanco</t>
  </si>
  <si>
    <t xml:space="preserve"> cuerda dinamica mtrs 42 (seguridad)diam 12</t>
  </si>
  <si>
    <t>cuerda semiestatica mtrs 54 (seguridad)diam 12</t>
  </si>
  <si>
    <t>cuerdas de  anclajes rapidos de mtr 0,80  con proteccion de pvc</t>
  </si>
  <si>
    <t>15mm</t>
  </si>
  <si>
    <t>bolso de altura negro 2</t>
  </si>
  <si>
    <t>1cuerda de diametro 12mm longitud 30 mtr con mosqueton fijo</t>
  </si>
  <si>
    <t>2 sistema anticaida marca honor con mosqueton fijo</t>
  </si>
  <si>
    <t>1sistema anticaida marca skylotec 2mtr 12mmcon mosqueton fijo</t>
  </si>
  <si>
    <t xml:space="preserve"> 1cinta tubular de 25mm x 0,8mtr  color negro</t>
  </si>
  <si>
    <t>1cinta tubular 25mm x 2,0 mtr color amarillo</t>
  </si>
  <si>
    <t>5 protectores de cuerda rojo (manga)</t>
  </si>
  <si>
    <t>Bolso de altura amarillo</t>
  </si>
  <si>
    <t xml:space="preserve">1cuerda de diametro11mm mtr 100 color blanco </t>
  </si>
  <si>
    <t>1 arnes blue water  modelo desperado talle s</t>
  </si>
  <si>
    <t>1arnes marca caran</t>
  </si>
  <si>
    <t>blue water</t>
  </si>
  <si>
    <t>bolso de altura negro skylotec</t>
  </si>
  <si>
    <t>1 cuerda de 12mm 94 mtr color negra</t>
  </si>
  <si>
    <t>Bolso de altura amarillo 2</t>
  </si>
  <si>
    <t xml:space="preserve">1arnes marca petzl </t>
  </si>
  <si>
    <t>2caquete color amarillo</t>
  </si>
  <si>
    <t>1cuerda de 12mm 56 mtr blanca y roja</t>
  </si>
  <si>
    <t>1cuerda de 12mm 12mm 27mtr blanca roja yamarilla</t>
  </si>
  <si>
    <t>Bolso altura 1</t>
  </si>
  <si>
    <t>1 Cuerda semiestática (blanca y roja) de 48 metros</t>
  </si>
  <si>
    <t>Bolso de altura 2 petzl</t>
  </si>
  <si>
    <t>1 Arnes Petzl anticaídas</t>
  </si>
  <si>
    <t>1 Conector de anclaje Eslingar WXECOR080</t>
  </si>
  <si>
    <t>2 Mosquetones B de acero</t>
  </si>
  <si>
    <t>Bolso de altura 1</t>
  </si>
  <si>
    <t>Bolso de altura 2</t>
  </si>
  <si>
    <t xml:space="preserve"> Cuerda semiestática (negra) de 40 metros</t>
  </si>
  <si>
    <t xml:space="preserve"> Arnes Musitani</t>
  </si>
  <si>
    <t>Cinta tubular de 2 metros</t>
  </si>
  <si>
    <t>Cinta tubular de 4 metros</t>
  </si>
  <si>
    <t>Cinta tubular de 6,5 metros</t>
  </si>
  <si>
    <t>Descensores 8 (1 de aluminio y 1 de acero)</t>
  </si>
  <si>
    <t>Cordín de 8 mm</t>
  </si>
  <si>
    <t>Cordines de 7 mm</t>
  </si>
  <si>
    <t>Mosquetones X de acero</t>
  </si>
  <si>
    <t>Mosquetón B de acero</t>
  </si>
  <si>
    <t xml:space="preserve"> Cuerda semiestática (negra) de 80 metros</t>
  </si>
  <si>
    <t>Casquetes plasticos de seguridad</t>
  </si>
  <si>
    <t>gamma</t>
  </si>
  <si>
    <t>1 con spider, 4 con straps</t>
  </si>
  <si>
    <t>Collar cervical chico</t>
  </si>
  <si>
    <t>Collar cervical Grande</t>
  </si>
  <si>
    <t>Collar cervical mediano</t>
  </si>
  <si>
    <t>expulsion macho</t>
  </si>
  <si>
    <t>Herramienta para cambio discos amoladora</t>
  </si>
  <si>
    <t>Bloqueador anti caidas</t>
  </si>
  <si>
    <t>fixe</t>
  </si>
  <si>
    <t>Sistema anticaidas consistente en: Conector X marca petzl, salvacaidas ederweiss, absorver marca "fixe", dos antigiro marca fixe</t>
  </si>
  <si>
    <t>Estabilizador lateral de vehiculo</t>
  </si>
  <si>
    <t>Taco con rampa para pasar mangas y protejerlas de vehiculos que circulen sobre ellas</t>
  </si>
  <si>
    <t>Corta chapa</t>
  </si>
  <si>
    <t>Adaptador IEC 60309 a enchufe tipo "I"</t>
  </si>
  <si>
    <t>Tipo "D"</t>
  </si>
  <si>
    <t>Modelo 4734</t>
  </si>
</sst>
</file>

<file path=xl/styles.xml><?xml version="1.0" encoding="utf-8"?>
<styleSheet xmlns="http://schemas.openxmlformats.org/spreadsheetml/2006/main">
  <fonts count="6">
    <font>
      <sz val="11"/>
      <color theme="1"/>
      <name val="Calibri"/>
      <family val="2"/>
      <scheme val="minor"/>
    </font>
    <font>
      <sz val="11"/>
      <color theme="0"/>
      <name val="Calibri"/>
      <family val="2"/>
      <scheme val="minor"/>
    </font>
    <font>
      <b/>
      <sz val="11"/>
      <color theme="0"/>
      <name val="Calibri"/>
      <family val="2"/>
      <scheme val="minor"/>
    </font>
    <font>
      <sz val="9"/>
      <color rgb="FF222222"/>
      <name val="Arial"/>
      <family val="2"/>
    </font>
    <font>
      <sz val="11"/>
      <name val="Calibri"/>
      <family val="2"/>
      <scheme val="minor"/>
    </font>
    <font>
      <sz val="11"/>
      <color rgb="FF000000"/>
      <name val="Calibri"/>
      <family val="2"/>
      <scheme val="minor"/>
    </font>
  </fonts>
  <fills count="5">
    <fill>
      <patternFill patternType="none"/>
    </fill>
    <fill>
      <patternFill patternType="gray125"/>
    </fill>
    <fill>
      <patternFill patternType="solid">
        <fgColor theme="4"/>
      </patternFill>
    </fill>
    <fill>
      <patternFill patternType="solid">
        <fgColor theme="4"/>
        <bgColor theme="4"/>
      </patternFill>
    </fill>
    <fill>
      <patternFill patternType="solid">
        <fgColor rgb="FFFFFF00"/>
        <bgColor indexed="64"/>
      </patternFill>
    </fill>
  </fills>
  <borders count="5">
    <border>
      <left/>
      <right/>
      <top/>
      <bottom/>
      <diagonal/>
    </border>
    <border>
      <left style="thin">
        <color theme="4"/>
      </left>
      <right style="thin">
        <color theme="4"/>
      </right>
      <top style="thin">
        <color theme="4"/>
      </top>
      <bottom/>
      <diagonal/>
    </border>
    <border>
      <left style="thin">
        <color theme="4"/>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s>
  <cellStyleXfs count="2">
    <xf numFmtId="0" fontId="0" fillId="0" borderId="0"/>
    <xf numFmtId="0" fontId="1" fillId="2" borderId="0" applyNumberFormat="0" applyBorder="0" applyAlignment="0" applyProtection="0"/>
  </cellStyleXfs>
  <cellXfs count="31">
    <xf numFmtId="0" fontId="0" fillId="0" borderId="0" xfId="0"/>
    <xf numFmtId="0" fontId="0" fillId="0" borderId="0" xfId="0" applyAlignment="1">
      <alignment horizontal="center" vertical="center"/>
    </xf>
    <xf numFmtId="0" fontId="2" fillId="3" borderId="2" xfId="0" applyFont="1" applyFill="1" applyBorder="1"/>
    <xf numFmtId="0" fontId="0" fillId="0" borderId="1" xfId="0" applyBorder="1"/>
    <xf numFmtId="0" fontId="0" fillId="0" borderId="0" xfId="0" applyAlignment="1">
      <alignment horizontal="left"/>
    </xf>
    <xf numFmtId="0" fontId="0" fillId="0" borderId="0" xfId="0" applyAlignment="1">
      <alignment horizontal="left" wrapText="1"/>
    </xf>
    <xf numFmtId="0" fontId="0" fillId="0" borderId="0" xfId="0" applyAlignment="1">
      <alignment horizontal="left" vertical="center"/>
    </xf>
    <xf numFmtId="0" fontId="0" fillId="0" borderId="0" xfId="0" applyAlignment="1">
      <alignment horizontal="left" vertical="center" wrapText="1"/>
    </xf>
    <xf numFmtId="0" fontId="0" fillId="0" borderId="0" xfId="0" applyAlignment="1">
      <alignment wrapText="1"/>
    </xf>
    <xf numFmtId="11" fontId="0" fillId="0" borderId="0" xfId="0" applyNumberFormat="1" applyAlignment="1">
      <alignment horizontal="left" vertical="center"/>
    </xf>
    <xf numFmtId="0" fontId="3" fillId="0" borderId="0" xfId="0" applyFont="1" applyAlignment="1">
      <alignment horizontal="left" vertical="center" wrapText="1"/>
    </xf>
    <xf numFmtId="0" fontId="4" fillId="4" borderId="0" xfId="0" applyFont="1" applyFill="1" applyAlignment="1">
      <alignment horizontal="left" vertical="center"/>
    </xf>
    <xf numFmtId="0" fontId="0" fillId="4" borderId="0" xfId="0" applyFill="1" applyAlignment="1">
      <alignment horizontal="left" vertical="center" wrapText="1"/>
    </xf>
    <xf numFmtId="0" fontId="0" fillId="4" borderId="0" xfId="0" applyFill="1" applyAlignment="1">
      <alignment horizontal="left" vertical="center"/>
    </xf>
    <xf numFmtId="0" fontId="4" fillId="0" borderId="0" xfId="0" applyFont="1" applyAlignment="1">
      <alignment horizontal="left" vertical="center"/>
    </xf>
    <xf numFmtId="0" fontId="5" fillId="0" borderId="3" xfId="0" applyFont="1" applyBorder="1" applyAlignment="1">
      <alignment vertical="center" wrapText="1"/>
    </xf>
    <xf numFmtId="0" fontId="0" fillId="0" borderId="3" xfId="0" applyBorder="1" applyAlignment="1">
      <alignment vertical="top" wrapText="1"/>
    </xf>
    <xf numFmtId="0" fontId="5" fillId="4" borderId="3" xfId="0" applyFont="1" applyFill="1" applyBorder="1" applyAlignment="1">
      <alignment vertical="center" wrapText="1"/>
    </xf>
    <xf numFmtId="0" fontId="0" fillId="4" borderId="0" xfId="0" applyFill="1" applyAlignment="1">
      <alignment horizontal="left"/>
    </xf>
    <xf numFmtId="0" fontId="5" fillId="0" borderId="4" xfId="0" applyFont="1" applyBorder="1" applyAlignment="1">
      <alignment vertical="center" wrapText="1"/>
    </xf>
    <xf numFmtId="0" fontId="5" fillId="0" borderId="3" xfId="0" applyFont="1" applyBorder="1" applyAlignment="1">
      <alignment horizontal="left"/>
    </xf>
    <xf numFmtId="0" fontId="0" fillId="0" borderId="4" xfId="0" applyBorder="1" applyAlignment="1">
      <alignment vertical="top" wrapText="1"/>
    </xf>
    <xf numFmtId="0" fontId="5" fillId="0" borderId="4" xfId="0" applyFont="1" applyBorder="1" applyAlignment="1">
      <alignment horizontal="left"/>
    </xf>
    <xf numFmtId="0" fontId="0" fillId="4" borderId="0" xfId="0" applyFill="1"/>
    <xf numFmtId="0" fontId="5" fillId="0" borderId="0" xfId="0" applyFont="1" applyAlignment="1">
      <alignment vertical="center" wrapText="1"/>
    </xf>
    <xf numFmtId="0" fontId="0" fillId="0" borderId="4" xfId="0" applyBorder="1"/>
    <xf numFmtId="0" fontId="1" fillId="2" borderId="0" xfId="1" applyAlignment="1">
      <alignment horizontal="center"/>
    </xf>
    <xf numFmtId="0" fontId="0" fillId="0" borderId="0" xfId="0" applyBorder="1" applyAlignment="1">
      <alignment horizontal="left" vertical="center"/>
    </xf>
    <xf numFmtId="0" fontId="0" fillId="0" borderId="0" xfId="0" applyBorder="1" applyAlignment="1">
      <alignment horizontal="left" vertical="center" wrapText="1"/>
    </xf>
    <xf numFmtId="0" fontId="0" fillId="0" borderId="0" xfId="0" applyFont="1" applyAlignment="1">
      <alignment horizontal="left" vertical="center"/>
    </xf>
    <xf numFmtId="0" fontId="0" fillId="0" borderId="0" xfId="0" applyFont="1" applyBorder="1" applyAlignment="1">
      <alignment horizontal="left" vertical="center"/>
    </xf>
  </cellXfs>
  <cellStyles count="2">
    <cellStyle name="Énfasis1" xfId="1" builtinId="29"/>
    <cellStyle name="Normal" xfId="0" builtinId="0"/>
  </cellStyles>
  <dxfs count="140">
    <dxf>
      <border outline="0">
        <top style="thin">
          <color theme="4"/>
        </top>
      </border>
    </dxf>
    <dxf>
      <font>
        <b/>
        <i val="0"/>
        <strike val="0"/>
        <condense val="0"/>
        <extend val="0"/>
        <outline val="0"/>
        <shadow val="0"/>
        <u val="none"/>
        <vertAlign val="baseline"/>
        <sz val="11"/>
        <color theme="0"/>
        <name val="Calibri"/>
        <scheme val="minor"/>
      </font>
      <fill>
        <patternFill patternType="solid">
          <fgColor theme="4"/>
          <bgColor theme="4"/>
        </patternFill>
      </fill>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1"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alignment horizontal="left"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1"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alignment horizontal="left"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1"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alignment horizontal="left"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1"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alignment horizontal="left"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0" indent="0" relativeIndent="255" justifyLastLine="0" shrinkToFit="0" readingOrder="0"/>
    </dxf>
    <dxf>
      <font>
        <color rgb="FF000000"/>
      </font>
      <fill>
        <patternFill patternType="none">
          <fgColor indexed="64"/>
          <bgColor auto="1"/>
        </patternFill>
      </fill>
      <alignment horizontal="general" vertical="center" textRotation="0" wrapText="1" indent="0" relativeIndent="255" justifyLastLine="0" shrinkToFit="0" readingOrder="0"/>
      <border diagonalUp="0" diagonalDown="0" outline="0">
        <left style="thin">
          <color rgb="FF000000"/>
        </left>
        <right/>
        <top style="thin">
          <color rgb="FF000000"/>
        </top>
        <bottom style="thin">
          <color rgb="FF000000"/>
        </bottom>
      </border>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alignment horizontal="left" vertical="bottom" textRotation="0" wrapText="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textRotation="0" indent="0" relativeIndent="255" justifyLastLine="0" shrinkToFit="0" readingOrder="0"/>
    </dxf>
    <dxf>
      <fill>
        <patternFill patternType="solid">
          <fgColor indexed="64"/>
          <bgColor rgb="FFFFFF00"/>
        </patternFill>
      </fill>
      <alignment horizontal="left" vertical="center" textRotation="0" indent="0" relativeIndent="255" justifyLastLine="0" shrinkToFit="0" readingOrder="0"/>
    </dxf>
    <dxf>
      <fill>
        <patternFill patternType="solid">
          <fgColor indexed="64"/>
          <bgColor rgb="FFFFFF00"/>
        </patternFill>
      </fill>
      <alignment horizontal="left" vertical="center" textRotation="0" wrapText="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1"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textRotation="0" indent="0" relativeIndent="255" justifyLastLine="0" shrinkToFit="0" readingOrder="0"/>
    </dxf>
    <dxf>
      <fill>
        <patternFill>
          <fgColor indexed="64"/>
          <bgColor rgb="FFFFFF00"/>
        </patternFill>
      </fill>
      <alignment horizontal="left" vertical="center" textRotation="0" indent="0" relativeIndent="255" justifyLastLine="0" shrinkToFit="0" readingOrder="0"/>
    </dxf>
    <dxf>
      <fill>
        <patternFill>
          <fgColor indexed="64"/>
          <bgColor rgb="FFFFFF00"/>
        </patternFill>
      </fill>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ables/table1.xml><?xml version="1.0" encoding="utf-8"?>
<table xmlns="http://schemas.openxmlformats.org/spreadsheetml/2006/main" id="1" name="Table1" displayName="Table1" ref="A1:H130" totalsRowShown="0" headerRowDxfId="139" dataDxfId="138">
  <autoFilter ref="A1:H130"/>
  <sortState ref="A2:H129">
    <sortCondition ref="H1:H129"/>
  </sortState>
  <tableColumns count="8">
    <tableColumn id="1" name="Categoria" dataDxfId="137"/>
    <tableColumn id="2" name="Descripcion" dataDxfId="136"/>
    <tableColumn id="3" name="Medidas" dataDxfId="135"/>
    <tableColumn id="4" name="marca" dataDxfId="134"/>
    <tableColumn id="5" name="N/ de serie" dataDxfId="133"/>
    <tableColumn id="7" name="cant" dataDxfId="132"/>
    <tableColumn id="6" name="Cajonera" dataDxfId="131"/>
    <tableColumn id="8" name="Compartimiento" dataDxfId="130"/>
  </tableColumns>
  <tableStyleInfo name="TableStyleMedium2" showFirstColumn="0" showLastColumn="0" showRowStripes="1" showColumnStripes="0"/>
</table>
</file>

<file path=xl/tables/table2.xml><?xml version="1.0" encoding="utf-8"?>
<table xmlns="http://schemas.openxmlformats.org/spreadsheetml/2006/main" id="6" name="Table6" displayName="Table6" ref="K3:Q36" totalsRowShown="0">
  <autoFilter ref="K3:Q36"/>
  <tableColumns count="7">
    <tableColumn id="1" name="Categoria"/>
    <tableColumn id="2" name="Descripcion"/>
    <tableColumn id="9" name="Medidas"/>
    <tableColumn id="7" name="marca"/>
    <tableColumn id="6" name="N/ de serie"/>
    <tableColumn id="8" name="Cantidad"/>
    <tableColumn id="3" name="Bolso"/>
  </tableColumns>
  <tableStyleInfo name="TableStyleLight9" showFirstColumn="0" showLastColumn="0" showRowStripes="1" showColumnStripes="0"/>
</table>
</file>

<file path=xl/tables/table3.xml><?xml version="1.0" encoding="utf-8"?>
<table xmlns="http://schemas.openxmlformats.org/spreadsheetml/2006/main" id="2" name="Table2" displayName="Table2" ref="W3:W9" totalsRowShown="0">
  <autoFilter ref="W3:W9"/>
  <tableColumns count="1">
    <tableColumn id="1" name="Bolsos"/>
  </tableColumns>
  <tableStyleInfo name="TableStyleLight9" showFirstColumn="0" showLastColumn="0" showRowStripes="1" showColumnStripes="0"/>
</table>
</file>

<file path=xl/tables/table4.xml><?xml version="1.0" encoding="utf-8"?>
<table xmlns="http://schemas.openxmlformats.org/spreadsheetml/2006/main" id="5" name="Table5" displayName="Table5" ref="Y4:AE8" totalsRowShown="0">
  <autoFilter ref="Y4:AE8"/>
  <tableColumns count="7">
    <tableColumn id="1" name="Cajonera 1"/>
    <tableColumn id="2" name="Cajonera 2"/>
    <tableColumn id="3" name="Cajonera 3"/>
    <tableColumn id="4" name="Cajonera 4"/>
    <tableColumn id="5" name="Cajonera 5"/>
    <tableColumn id="6" name="Interior"/>
    <tableColumn id="7" name="Techo"/>
  </tableColumns>
  <tableStyleInfo name="TableStyleLight9" showFirstColumn="0" showLastColumn="0" showRowStripes="1" showColumnStripes="0"/>
</table>
</file>

<file path=xl/tables/table5.xml><?xml version="1.0" encoding="utf-8"?>
<table xmlns="http://schemas.openxmlformats.org/spreadsheetml/2006/main" id="23" name="Table124" displayName="Table124" ref="A1:H113" totalsRowShown="0" headerRowDxfId="129" dataDxfId="128">
  <autoFilter ref="A1:H113"/>
  <sortState ref="A2:H100">
    <sortCondition ref="G1:G100"/>
  </sortState>
  <tableColumns count="8">
    <tableColumn id="1" name="Categoria" dataDxfId="127"/>
    <tableColumn id="2" name="Descripcion" dataDxfId="126"/>
    <tableColumn id="3" name="Medidas" dataDxfId="125"/>
    <tableColumn id="4" name="marca" dataDxfId="124"/>
    <tableColumn id="5" name="N/ de serie" dataDxfId="123"/>
    <tableColumn id="7" name="cant" dataDxfId="122"/>
    <tableColumn id="6" name="Cajonera" dataDxfId="121"/>
    <tableColumn id="8" name="Compartimiento" dataDxfId="120"/>
  </tableColumns>
  <tableStyleInfo name="TableStyleMedium2" showFirstColumn="0" showLastColumn="0" showRowStripes="1" showColumnStripes="0"/>
</table>
</file>

<file path=xl/tables/table6.xml><?xml version="1.0" encoding="utf-8"?>
<table xmlns="http://schemas.openxmlformats.org/spreadsheetml/2006/main" id="24" name="Table625" displayName="Table625" ref="J3:P57" totalsRowShown="0">
  <autoFilter ref="J3:P57"/>
  <tableColumns count="7">
    <tableColumn id="1" name="Categoria"/>
    <tableColumn id="7" name="Descripcion"/>
    <tableColumn id="6" name="Medidas"/>
    <tableColumn id="8" name="Marca"/>
    <tableColumn id="9" name="N/ de serie"/>
    <tableColumn id="2" name="Cantidad"/>
    <tableColumn id="3" name="Bolso"/>
  </tableColumns>
  <tableStyleInfo name="TableStyleLight9" showFirstColumn="0" showLastColumn="0" showRowStripes="1" showColumnStripes="0"/>
</table>
</file>

<file path=xl/tables/table7.xml><?xml version="1.0" encoding="utf-8"?>
<table xmlns="http://schemas.openxmlformats.org/spreadsheetml/2006/main" id="25" name="Table226" displayName="Table226" ref="T3:T15" totalsRowShown="0">
  <autoFilter ref="T3:T15"/>
  <tableColumns count="1">
    <tableColumn id="1" name="Bolsos"/>
  </tableColumns>
  <tableStyleInfo name="TableStyleLight9" showFirstColumn="0" showLastColumn="0" showRowStripes="1" showColumnStripes="0"/>
</table>
</file>

<file path=xl/tables/table8.xml><?xml version="1.0" encoding="utf-8"?>
<table xmlns="http://schemas.openxmlformats.org/spreadsheetml/2006/main" id="26" name="Table527" displayName="Table527" ref="V4:AD8" totalsRowShown="0">
  <autoFilter ref="V4:AD8"/>
  <tableColumns count="9">
    <tableColumn id="1" name="Cajonera 1"/>
    <tableColumn id="2" name="Cajonera 2"/>
    <tableColumn id="3" name="Cajonera 3"/>
    <tableColumn id="4" name="Cajonera 4"/>
    <tableColumn id="5" name="Cajonera 5"/>
    <tableColumn id="6" name="Cajonera 6"/>
    <tableColumn id="7" name="Cajonera 7"/>
    <tableColumn id="8" name="Interior"/>
    <tableColumn id="9" name="Techo"/>
  </tableColumns>
  <tableStyleInfo name="TableStyleLight9" showFirstColumn="0" showLastColumn="0" showRowStripes="1" showColumnStripes="0"/>
</table>
</file>

<file path=xl/tables/table9.xml><?xml version="1.0" encoding="utf-8"?>
<table xmlns="http://schemas.openxmlformats.org/spreadsheetml/2006/main" id="7" name="Table18" displayName="Table18" ref="A1:H117" totalsRowShown="0" headerRowDxfId="119" dataDxfId="118">
  <autoFilter ref="A1:H117"/>
  <sortState ref="A2:H79">
    <sortCondition ref="G1:G79"/>
  </sortState>
  <tableColumns count="8">
    <tableColumn id="1" name="Categoria" dataDxfId="117"/>
    <tableColumn id="2" name="Descripcion" dataDxfId="116"/>
    <tableColumn id="3" name="Medidas" dataDxfId="115"/>
    <tableColumn id="4" name="marca" dataDxfId="114"/>
    <tableColumn id="5" name="N/ de serie" dataDxfId="113"/>
    <tableColumn id="7" name="cant" dataDxfId="112"/>
    <tableColumn id="6" name="Cajonera" dataDxfId="111"/>
    <tableColumn id="8" name="Compartimiento" dataDxfId="110"/>
  </tableColumns>
  <tableStyleInfo name="TableStyleMedium2" showFirstColumn="0" showLastColumn="0" showRowStripes="1" showColumnStripes="0"/>
</table>
</file>

<file path=xl/tables/table10.xml><?xml version="1.0" encoding="utf-8"?>
<table xmlns="http://schemas.openxmlformats.org/spreadsheetml/2006/main" id="8" name="Table69" displayName="Table69" ref="J3:P148" totalsRowShown="0">
  <autoFilter ref="J3:P148"/>
  <tableColumns count="7">
    <tableColumn id="1" name="Categoria"/>
    <tableColumn id="2" name="Material"/>
    <tableColumn id="6" name="Medidas"/>
    <tableColumn id="7" name="marca"/>
    <tableColumn id="5" name="N/ de serie"/>
    <tableColumn id="4" name="Cantidad"/>
    <tableColumn id="3" name="Bolso"/>
  </tableColumns>
  <tableStyleInfo name="TableStyleLight9" showFirstColumn="0" showLastColumn="0" showRowStripes="1" showColumnStripes="0"/>
</table>
</file>

<file path=xl/tables/table11.xml><?xml version="1.0" encoding="utf-8"?>
<table xmlns="http://schemas.openxmlformats.org/spreadsheetml/2006/main" id="9" name="Table210" displayName="Table210" ref="R3:R36" totalsRowShown="0">
  <autoFilter ref="R3:R36"/>
  <sortState ref="R4:R22">
    <sortCondition ref="R3:R22"/>
  </sortState>
  <tableColumns count="1">
    <tableColumn id="1" name="Bolsos"/>
  </tableColumns>
  <tableStyleInfo name="TableStyleLight9" showFirstColumn="0" showLastColumn="0" showRowStripes="1" showColumnStripes="0"/>
</table>
</file>

<file path=xl/tables/table12.xml><?xml version="1.0" encoding="utf-8"?>
<table xmlns="http://schemas.openxmlformats.org/spreadsheetml/2006/main" id="10" name="Table511" displayName="Table511" ref="T4:Z8" totalsRowShown="0">
  <autoFilter ref="T4:Z8"/>
  <tableColumns count="7">
    <tableColumn id="1" name="Cajonera 1"/>
    <tableColumn id="2" name="Cajonera 2"/>
    <tableColumn id="3" name="Cajonera 3"/>
    <tableColumn id="4" name="Cajonera 4"/>
    <tableColumn id="5" name="Cajonera 5"/>
    <tableColumn id="6" name="Cajonera 6"/>
    <tableColumn id="7" name="Interior"/>
  </tableColumns>
  <tableStyleInfo name="TableStyleLight9" showFirstColumn="0" showLastColumn="0" showRowStripes="1" showColumnStripes="0"/>
</table>
</file>

<file path=xl/tables/table13.xml><?xml version="1.0" encoding="utf-8"?>
<table xmlns="http://schemas.openxmlformats.org/spreadsheetml/2006/main" id="11" name="Table1812" displayName="Table1812" ref="A1:H16" totalsRowShown="0" headerRowDxfId="109" dataDxfId="108">
  <autoFilter ref="A1:H16"/>
  <sortState ref="A2:H135">
    <sortCondition ref="G2:G135"/>
    <sortCondition ref="H2:H135"/>
    <sortCondition ref="A2:A135"/>
  </sortState>
  <tableColumns count="8">
    <tableColumn id="1" name="Categoria" dataDxfId="107"/>
    <tableColumn id="2" name="Descripcion" dataDxfId="106"/>
    <tableColumn id="3" name="Medidas" dataDxfId="105"/>
    <tableColumn id="4" name="marca" dataDxfId="104"/>
    <tableColumn id="5" name="N/ de serie" dataDxfId="103"/>
    <tableColumn id="7" name="cant" dataDxfId="102"/>
    <tableColumn id="6" name="Cajonera" dataDxfId="101"/>
    <tableColumn id="8" name="Compartimiento" dataDxfId="100"/>
  </tableColumns>
  <tableStyleInfo name="TableStyleMedium2" showFirstColumn="0" showLastColumn="0" showRowStripes="1" showColumnStripes="0"/>
</table>
</file>

<file path=xl/tables/table14.xml><?xml version="1.0" encoding="utf-8"?>
<table xmlns="http://schemas.openxmlformats.org/spreadsheetml/2006/main" id="12" name="Table6913" displayName="Table6913" ref="J3:P4" totalsRowShown="0">
  <autoFilter ref="J3:P4"/>
  <tableColumns count="7">
    <tableColumn id="1" name="Categoria"/>
    <tableColumn id="2" name="Material"/>
    <tableColumn id="6" name="Medidas"/>
    <tableColumn id="5" name="marca"/>
    <tableColumn id="4" name="N/ de serie"/>
    <tableColumn id="3" name="Cantidad"/>
    <tableColumn id="8" name="Bolso"/>
  </tableColumns>
  <tableStyleInfo name="TableStyleLight9" showFirstColumn="0" showLastColumn="0" showRowStripes="1" showColumnStripes="0"/>
</table>
</file>

<file path=xl/tables/table15.xml><?xml version="1.0" encoding="utf-8"?>
<table xmlns="http://schemas.openxmlformats.org/spreadsheetml/2006/main" id="13" name="Table21014" displayName="Table21014" ref="R3:R4" totalsRowShown="0">
  <autoFilter ref="R3:R4"/>
  <tableColumns count="1">
    <tableColumn id="1" name="Bolsos"/>
  </tableColumns>
  <tableStyleInfo name="TableStyleLight9" showFirstColumn="0" showLastColumn="0" showRowStripes="1" showColumnStripes="0"/>
</table>
</file>

<file path=xl/tables/table16.xml><?xml version="1.0" encoding="utf-8"?>
<table xmlns="http://schemas.openxmlformats.org/spreadsheetml/2006/main" id="14" name="Table51115" displayName="Table51115" ref="T4:X5" totalsRowShown="0">
  <autoFilter ref="T4:X5"/>
  <tableColumns count="5">
    <tableColumn id="1" name="Cajonera 1"/>
    <tableColumn id="2" name="Cajonera 2"/>
    <tableColumn id="3" name="Parte Trasera"/>
    <tableColumn id="4" name="Techo"/>
    <tableColumn id="5" name="Interior"/>
  </tableColumns>
  <tableStyleInfo name="TableStyleLight9" showFirstColumn="0" showLastColumn="0" showRowStripes="1" showColumnStripes="0"/>
</table>
</file>

<file path=xl/tables/table17.xml><?xml version="1.0" encoding="utf-8"?>
<table xmlns="http://schemas.openxmlformats.org/spreadsheetml/2006/main" id="27" name="Table181228" displayName="Table181228" ref="A1:H9" totalsRowShown="0" headerRowDxfId="99" dataDxfId="98">
  <autoFilter ref="A1:H9"/>
  <sortState ref="A2:H135">
    <sortCondition ref="G2:G135"/>
    <sortCondition ref="H2:H135"/>
    <sortCondition ref="A2:A135"/>
  </sortState>
  <tableColumns count="8">
    <tableColumn id="1" name="Categoria" dataDxfId="97"/>
    <tableColumn id="2" name="Descripcion" dataDxfId="96"/>
    <tableColumn id="3" name="Medidas" dataDxfId="95"/>
    <tableColumn id="4" name="marca" dataDxfId="94"/>
    <tableColumn id="5" name="N/ de serie" dataDxfId="93"/>
    <tableColumn id="7" name="cant" dataDxfId="92"/>
    <tableColumn id="6" name="Cajonera" dataDxfId="91"/>
    <tableColumn id="8" name="Compartimiento" dataDxfId="90"/>
  </tableColumns>
  <tableStyleInfo name="TableStyleMedium2" showFirstColumn="0" showLastColumn="0" showRowStripes="1" showColumnStripes="0"/>
</table>
</file>

<file path=xl/tables/table18.xml><?xml version="1.0" encoding="utf-8"?>
<table xmlns="http://schemas.openxmlformats.org/spreadsheetml/2006/main" id="28" name="Table691329" displayName="Table691329" ref="J3:P6" totalsRowShown="0">
  <autoFilter ref="J3:P6"/>
  <tableColumns count="7">
    <tableColumn id="1" name="Categoria"/>
    <tableColumn id="2" name="Material"/>
    <tableColumn id="7" name="Medidas"/>
    <tableColumn id="6" name="marca"/>
    <tableColumn id="5" name="N/ de serie"/>
    <tableColumn id="4" name="Cantidad"/>
    <tableColumn id="3" name="Bolso"/>
  </tableColumns>
  <tableStyleInfo name="TableStyleLight9" showFirstColumn="0" showLastColumn="0" showRowStripes="1" showColumnStripes="0"/>
</table>
</file>

<file path=xl/tables/table19.xml><?xml version="1.0" encoding="utf-8"?>
<table xmlns="http://schemas.openxmlformats.org/spreadsheetml/2006/main" id="29" name="Table2101430" displayName="Table2101430" ref="R3:R4" insertRow="1" totalsRowShown="0">
  <autoFilter ref="R3:R4"/>
  <tableColumns count="1">
    <tableColumn id="1" name="Bolsos"/>
  </tableColumns>
  <tableStyleInfo name="TableStyleLight9" showFirstColumn="0" showLastColumn="0" showRowStripes="1" showColumnStripes="0"/>
</table>
</file>

<file path=xl/tables/table20.xml><?xml version="1.0" encoding="utf-8"?>
<table xmlns="http://schemas.openxmlformats.org/spreadsheetml/2006/main" id="30" name="Table5111531" displayName="Table5111531" ref="T4:V5" totalsRowShown="0">
  <autoFilter ref="T4:V5"/>
  <tableColumns count="3">
    <tableColumn id="1" name="Cajonera 1"/>
    <tableColumn id="2" name="Cajonera 2"/>
    <tableColumn id="3" name="Interior"/>
  </tableColumns>
  <tableStyleInfo name="TableStyleLight9" showFirstColumn="0" showLastColumn="0" showRowStripes="1" showColumnStripes="0"/>
</table>
</file>

<file path=xl/tables/table21.xml><?xml version="1.0" encoding="utf-8"?>
<table xmlns="http://schemas.openxmlformats.org/spreadsheetml/2006/main" id="15" name="Table181216" displayName="Table181216" ref="A1:H23" totalsRowShown="0" headerRowDxfId="89" dataDxfId="88">
  <autoFilter ref="A1:H23"/>
  <sortState ref="A2:H135">
    <sortCondition ref="G2:G135"/>
    <sortCondition ref="H2:H135"/>
    <sortCondition ref="A2:A135"/>
  </sortState>
  <tableColumns count="8">
    <tableColumn id="1" name="Categoria" dataDxfId="87"/>
    <tableColumn id="2" name="Descripcion" dataDxfId="86"/>
    <tableColumn id="3" name="Medidas" dataDxfId="85"/>
    <tableColumn id="4" name="marca" dataDxfId="84"/>
    <tableColumn id="5" name="N/ de serie" dataDxfId="83"/>
    <tableColumn id="7" name="cant" dataDxfId="82"/>
    <tableColumn id="6" name="Cajonera" dataDxfId="81"/>
    <tableColumn id="8" name="Compartimiento" dataDxfId="80"/>
  </tableColumns>
  <tableStyleInfo name="TableStyleMedium2" showFirstColumn="0" showLastColumn="0" showRowStripes="1" showColumnStripes="0"/>
</table>
</file>

<file path=xl/tables/table22.xml><?xml version="1.0" encoding="utf-8"?>
<table xmlns="http://schemas.openxmlformats.org/spreadsheetml/2006/main" id="17" name="Table2101418" displayName="Table2101418" ref="R3:R5" totalsRowShown="0">
  <autoFilter ref="R3:R5"/>
  <tableColumns count="1">
    <tableColumn id="1" name="Bolsos"/>
  </tableColumns>
  <tableStyleInfo name="TableStyleLight9" showFirstColumn="0" showLastColumn="0" showRowStripes="1" showColumnStripes="0"/>
</table>
</file>

<file path=xl/tables/table23.xml><?xml version="1.0" encoding="utf-8"?>
<table xmlns="http://schemas.openxmlformats.org/spreadsheetml/2006/main" id="18" name="Table5111519" displayName="Table5111519" ref="T4:AB5" totalsRowShown="0">
  <autoFilter ref="T4:AB5"/>
  <tableColumns count="9">
    <tableColumn id="1" name="Cajonera 1"/>
    <tableColumn id="2" name="Cajonera 2"/>
    <tableColumn id="3" name="Cajonera 3"/>
    <tableColumn id="4" name="Cajonera 4"/>
    <tableColumn id="5" name="Cajonera 5"/>
    <tableColumn id="6" name="Cajonera 6"/>
    <tableColumn id="7" name="Cajonera 7"/>
    <tableColumn id="8" name="Cajonera 8"/>
    <tableColumn id="9" name="Interior"/>
  </tableColumns>
  <tableStyleInfo name="TableStyleLight9" showFirstColumn="0" showLastColumn="0" showRowStripes="1" showColumnStripes="0"/>
</table>
</file>

<file path=xl/tables/table24.xml><?xml version="1.0" encoding="utf-8"?>
<table xmlns="http://schemas.openxmlformats.org/spreadsheetml/2006/main" id="31" name="Table69132932" displayName="Table69132932" ref="J3:P7" totalsRowShown="0">
  <autoFilter ref="J3:P7"/>
  <tableColumns count="7">
    <tableColumn id="1" name="Categoria"/>
    <tableColumn id="2" name="Material"/>
    <tableColumn id="7" name="Medidas"/>
    <tableColumn id="6" name="marca"/>
    <tableColumn id="5" name="N/ de serie"/>
    <tableColumn id="4" name="Cantidad"/>
    <tableColumn id="8" name="Bolso"/>
  </tableColumns>
  <tableStyleInfo name="TableStyleLight9" showFirstColumn="0" showLastColumn="0" showRowStripes="1" showColumnStripes="0"/>
</table>
</file>

<file path=xl/tables/table25.xml><?xml version="1.0" encoding="utf-8"?>
<table xmlns="http://schemas.openxmlformats.org/spreadsheetml/2006/main" id="19" name="Table120" displayName="Table120" ref="A1:H34" totalsRowShown="0" headerRowDxfId="79" dataDxfId="78">
  <autoFilter ref="A1:H34"/>
  <sortState ref="A2:H135">
    <sortCondition ref="G2:G135"/>
    <sortCondition ref="H2:H135"/>
    <sortCondition ref="A2:A135"/>
  </sortState>
  <tableColumns count="8">
    <tableColumn id="1" name="Categoria" dataDxfId="77"/>
    <tableColumn id="2" name="Descripcion" dataDxfId="76"/>
    <tableColumn id="3" name="Medidas" dataDxfId="75"/>
    <tableColumn id="4" name="marca" dataDxfId="74"/>
    <tableColumn id="5" name="N/ de serie" dataDxfId="73"/>
    <tableColumn id="7" name="cant" dataDxfId="72"/>
    <tableColumn id="6" name="Cajonera" dataDxfId="71"/>
    <tableColumn id="8" name="Compartimiento" dataDxfId="70"/>
  </tableColumns>
  <tableStyleInfo name="TableStyleMedium2" showFirstColumn="0" showLastColumn="0" showRowStripes="1" showColumnStripes="0"/>
</table>
</file>

<file path=xl/tables/table26.xml><?xml version="1.0" encoding="utf-8"?>
<table xmlns="http://schemas.openxmlformats.org/spreadsheetml/2006/main" id="20" name="Table621" displayName="Table621" ref="J3:R26" totalsRowShown="0">
  <autoFilter ref="J3:R26"/>
  <tableColumns count="9">
    <tableColumn id="1" name="Categoria"/>
    <tableColumn id="9" name="Descripcion"/>
    <tableColumn id="8" name="Medidas"/>
    <tableColumn id="7" name="marca"/>
    <tableColumn id="6" name="N/ de serie"/>
    <tableColumn id="2" name="cant"/>
    <tableColumn id="3" name="Bolso"/>
    <tableColumn id="4" name="Column1"/>
    <tableColumn id="5" name="Column2"/>
  </tableColumns>
  <tableStyleInfo name="TableStyleLight9" showFirstColumn="0" showLastColumn="0" showRowStripes="1" showColumnStripes="0"/>
</table>
</file>

<file path=xl/tables/table27.xml><?xml version="1.0" encoding="utf-8"?>
<table xmlns="http://schemas.openxmlformats.org/spreadsheetml/2006/main" id="21" name="Table222" displayName="Table222" ref="T3:T11" totalsRowShown="0">
  <autoFilter ref="T3:T11"/>
  <tableColumns count="1">
    <tableColumn id="1" name="Bolsos"/>
  </tableColumns>
  <tableStyleInfo name="TableStyleLight9" showFirstColumn="0" showLastColumn="0" showRowStripes="1" showColumnStripes="0"/>
</table>
</file>

<file path=xl/tables/table28.xml><?xml version="1.0" encoding="utf-8"?>
<table xmlns="http://schemas.openxmlformats.org/spreadsheetml/2006/main" id="22" name="Table523" displayName="Table523" ref="V4:Y12" totalsRowShown="0">
  <autoFilter ref="V4:Y12"/>
  <tableColumns count="4">
    <tableColumn id="1" name="Habitaculo"/>
    <tableColumn id="2" name="Cabina"/>
    <tableColumn id="3" name="Cajonera 1"/>
    <tableColumn id="4" name="Cajonera 2"/>
  </tableColumns>
  <tableStyleInfo name="TableStyleLight9" showFirstColumn="0" showLastColumn="0" showRowStripes="1" showColumnStripes="0"/>
</table>
</file>

<file path=xl/tables/table29.xml><?xml version="1.0" encoding="utf-8"?>
<table xmlns="http://schemas.openxmlformats.org/spreadsheetml/2006/main" id="16" name="Table12017" displayName="Table12017" ref="A1:H33" totalsRowShown="0" headerRowDxfId="69" dataDxfId="68">
  <autoFilter ref="A1:H33"/>
  <sortState ref="A2:H135">
    <sortCondition ref="G2:G135"/>
    <sortCondition ref="H2:H135"/>
    <sortCondition ref="A2:A135"/>
  </sortState>
  <tableColumns count="8">
    <tableColumn id="1" name="Categoria" dataDxfId="67"/>
    <tableColumn id="2" name="Descripcion" dataDxfId="66"/>
    <tableColumn id="3" name="Medidas" dataDxfId="65"/>
    <tableColumn id="4" name="marca" dataDxfId="64"/>
    <tableColumn id="5" name="N/ de serie" dataDxfId="63"/>
    <tableColumn id="7" name="cant" dataDxfId="62"/>
    <tableColumn id="6" name="Cajonera" dataDxfId="61"/>
    <tableColumn id="8" name="Compartimiento" dataDxfId="60"/>
  </tableColumns>
  <tableStyleInfo name="TableStyleMedium2" showFirstColumn="0" showLastColumn="0" showRowStripes="1" showColumnStripes="0"/>
</table>
</file>

<file path=xl/tables/table30.xml><?xml version="1.0" encoding="utf-8"?>
<table xmlns="http://schemas.openxmlformats.org/spreadsheetml/2006/main" id="33" name="Table22234" displayName="Table22234" ref="T3:T4" insertRow="1" totalsRowShown="0">
  <autoFilter ref="T3:T4"/>
  <tableColumns count="1">
    <tableColumn id="1" name="Bolsos"/>
  </tableColumns>
  <tableStyleInfo name="TableStyleLight9" showFirstColumn="0" showLastColumn="0" showRowStripes="1" showColumnStripes="0"/>
</table>
</file>

<file path=xl/tables/table31.xml><?xml version="1.0" encoding="utf-8"?>
<table xmlns="http://schemas.openxmlformats.org/spreadsheetml/2006/main" id="34" name="Table52335" displayName="Table52335" ref="V4:Y12" totalsRowShown="0">
  <autoFilter ref="V4:Y12"/>
  <tableColumns count="4">
    <tableColumn id="1" name="No informado"/>
    <tableColumn id="2" name="Cabina"/>
    <tableColumn id="3" name="Cajonera 1"/>
    <tableColumn id="4" name="Cajonera 2"/>
  </tableColumns>
  <tableStyleInfo name="TableStyleLight9" showFirstColumn="0" showLastColumn="0" showRowStripes="1" showColumnStripes="0"/>
</table>
</file>

<file path=xl/tables/table32.xml><?xml version="1.0" encoding="utf-8"?>
<table xmlns="http://schemas.openxmlformats.org/spreadsheetml/2006/main" id="32" name="Table62133" displayName="Table62133" ref="J3:P4" totalsRowShown="0">
  <autoFilter ref="J3:P4"/>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33.xml><?xml version="1.0" encoding="utf-8"?>
<table xmlns="http://schemas.openxmlformats.org/spreadsheetml/2006/main" id="35" name="Table1201736" displayName="Table1201736" ref="A1:H6" totalsRowShown="0" headerRowDxfId="59" dataDxfId="58">
  <autoFilter ref="A1:H6"/>
  <sortState ref="A2:H135">
    <sortCondition ref="G2:G135"/>
    <sortCondition ref="H2:H135"/>
    <sortCondition ref="A2:A135"/>
  </sortState>
  <tableColumns count="8">
    <tableColumn id="1" name="Categoria" dataDxfId="57"/>
    <tableColumn id="2" name="Descripcion" dataDxfId="56"/>
    <tableColumn id="3" name="Medidas" dataDxfId="55"/>
    <tableColumn id="4" name="marca" dataDxfId="54"/>
    <tableColumn id="5" name="N/ de serie" dataDxfId="53"/>
    <tableColumn id="7" name="cant" dataDxfId="52"/>
    <tableColumn id="6" name="Cajonera" dataDxfId="51"/>
    <tableColumn id="8" name="Compartimiento" dataDxfId="50"/>
  </tableColumns>
  <tableStyleInfo name="TableStyleMedium2" showFirstColumn="0" showLastColumn="0" showRowStripes="1" showColumnStripes="0"/>
</table>
</file>

<file path=xl/tables/table34.xml><?xml version="1.0" encoding="utf-8"?>
<table xmlns="http://schemas.openxmlformats.org/spreadsheetml/2006/main" id="36" name="Table6213337" displayName="Table6213337" ref="J3:P4" totalsRowShown="0">
  <autoFilter ref="J3:P4"/>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35.xml><?xml version="1.0" encoding="utf-8"?>
<table xmlns="http://schemas.openxmlformats.org/spreadsheetml/2006/main" id="37" name="Table2223438" displayName="Table2223438" ref="T3:T4" insertRow="1" totalsRowShown="0">
  <autoFilter ref="T3:T4"/>
  <tableColumns count="1">
    <tableColumn id="1" name="Bolsos"/>
  </tableColumns>
  <tableStyleInfo name="TableStyleLight9" showFirstColumn="0" showLastColumn="0" showRowStripes="1" showColumnStripes="0"/>
</table>
</file>

<file path=xl/tables/table36.xml><?xml version="1.0" encoding="utf-8"?>
<table xmlns="http://schemas.openxmlformats.org/spreadsheetml/2006/main" id="38" name="Table5233539" displayName="Table5233539" ref="V4:Y12" totalsRowShown="0">
  <autoFilter ref="V4:Y12"/>
  <tableColumns count="4">
    <tableColumn id="1" name="No informado"/>
    <tableColumn id="2" name="Cabina"/>
    <tableColumn id="3" name="Cajonera 1"/>
    <tableColumn id="4" name="Cajonera 2"/>
  </tableColumns>
  <tableStyleInfo name="TableStyleLight9" showFirstColumn="0" showLastColumn="0" showRowStripes="1" showColumnStripes="0"/>
</table>
</file>

<file path=xl/tables/table37.xml><?xml version="1.0" encoding="utf-8"?>
<table xmlns="http://schemas.openxmlformats.org/spreadsheetml/2006/main" id="39" name="Table120173640" displayName="Table120173640" ref="A1:H84" totalsRowShown="0" headerRowDxfId="49" dataDxfId="48">
  <autoFilter ref="A1:H84"/>
  <sortState ref="A2:H133">
    <sortCondition ref="G2:G133"/>
    <sortCondition ref="H2:H133"/>
    <sortCondition ref="A2:A133"/>
  </sortState>
  <tableColumns count="8">
    <tableColumn id="1" name="Categoria"/>
    <tableColumn id="2" name="Descripcion"/>
    <tableColumn id="3" name="Medidas" dataDxfId="47"/>
    <tableColumn id="4" name="marca" dataDxfId="46"/>
    <tableColumn id="5" name="N/ de serie" dataDxfId="45"/>
    <tableColumn id="7" name="cant" dataDxfId="44"/>
    <tableColumn id="6" name="Cajonera" dataDxfId="43"/>
    <tableColumn id="8" name="Compartimiento" dataDxfId="42"/>
  </tableColumns>
  <tableStyleInfo name="TableStyleMedium2" showFirstColumn="0" showLastColumn="0" showRowStripes="1" showColumnStripes="0"/>
</table>
</file>

<file path=xl/tables/table38.xml><?xml version="1.0" encoding="utf-8"?>
<table xmlns="http://schemas.openxmlformats.org/spreadsheetml/2006/main" id="40" name="Table621333741" displayName="Table621333741" ref="J3:P4" totalsRowShown="0">
  <autoFilter ref="J3:P4"/>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39.xml><?xml version="1.0" encoding="utf-8"?>
<table xmlns="http://schemas.openxmlformats.org/spreadsheetml/2006/main" id="41" name="Table222343842" displayName="Table222343842" ref="T3:T4" insertRow="1" totalsRowShown="0">
  <autoFilter ref="T3:T4"/>
  <tableColumns count="1">
    <tableColumn id="1" name="Bolsos"/>
  </tableColumns>
  <tableStyleInfo name="TableStyleLight9" showFirstColumn="0" showLastColumn="0" showRowStripes="1" showColumnStripes="0"/>
</table>
</file>

<file path=xl/tables/table40.xml><?xml version="1.0" encoding="utf-8"?>
<table xmlns="http://schemas.openxmlformats.org/spreadsheetml/2006/main" id="42" name="Table523353943" displayName="Table523353943" ref="V4:Y12" totalsRowShown="0">
  <autoFilter ref="V4:Y12"/>
  <tableColumns count="4">
    <tableColumn id="1" name="No informado"/>
    <tableColumn id="2" name="Cabina"/>
    <tableColumn id="3" name="Cajonera 1"/>
    <tableColumn id="4" name="Cajonera 2"/>
  </tableColumns>
  <tableStyleInfo name="TableStyleLight9" showFirstColumn="0" showLastColumn="0" showRowStripes="1" showColumnStripes="0"/>
</table>
</file>

<file path=xl/tables/table41.xml><?xml version="1.0" encoding="utf-8"?>
<table xmlns="http://schemas.openxmlformats.org/spreadsheetml/2006/main" id="43" name="Table1201744" displayName="Table1201744" ref="A1:H53" totalsRowShown="0" headerRowDxfId="41" dataDxfId="40">
  <autoFilter ref="A1:H53"/>
  <sortState ref="A2:H135">
    <sortCondition ref="G2:G135"/>
    <sortCondition ref="H2:H135"/>
    <sortCondition ref="A2:A135"/>
  </sortState>
  <tableColumns count="8">
    <tableColumn id="1" name="Categoria" dataDxfId="39"/>
    <tableColumn id="2" name="Descripcion" dataDxfId="38"/>
    <tableColumn id="3" name="Medidas" dataDxfId="37"/>
    <tableColumn id="4" name="marca" dataDxfId="36"/>
    <tableColumn id="5" name="N/ de serie" dataDxfId="35"/>
    <tableColumn id="7" name="cant" dataDxfId="34"/>
    <tableColumn id="6" name="Cajonera" dataDxfId="33"/>
    <tableColumn id="8" name="Compartimiento" dataDxfId="32"/>
  </tableColumns>
  <tableStyleInfo name="TableStyleMedium2" showFirstColumn="0" showLastColumn="0" showRowStripes="1" showColumnStripes="0"/>
</table>
</file>

<file path=xl/tables/table42.xml><?xml version="1.0" encoding="utf-8"?>
<table xmlns="http://schemas.openxmlformats.org/spreadsheetml/2006/main" id="44" name="Table2223445" displayName="Table2223445" ref="T3:T4" totalsRowShown="0">
  <autoFilter ref="T3:T4"/>
  <tableColumns count="1">
    <tableColumn id="1" name="Bolsos"/>
  </tableColumns>
  <tableStyleInfo name="TableStyleLight9" showFirstColumn="0" showLastColumn="0" showRowStripes="1" showColumnStripes="0"/>
</table>
</file>

<file path=xl/tables/table43.xml><?xml version="1.0" encoding="utf-8"?>
<table xmlns="http://schemas.openxmlformats.org/spreadsheetml/2006/main" id="45" name="Table5233546" displayName="Table5233546" ref="V4:AB12" totalsRowShown="0">
  <autoFilter ref="V4:AB12"/>
  <tableColumns count="7">
    <tableColumn id="1" name="Cabina"/>
    <tableColumn id="2" name="Cajonera 1"/>
    <tableColumn id="3" name="Cajonera 2"/>
    <tableColumn id="4" name="Cajonera 3"/>
    <tableColumn id="5" name="Cajonera 4"/>
    <tableColumn id="6" name="Desconocido"/>
    <tableColumn id="7" name="Techo"/>
  </tableColumns>
  <tableStyleInfo name="TableStyleLight9" showFirstColumn="0" showLastColumn="0" showRowStripes="1" showColumnStripes="0"/>
</table>
</file>

<file path=xl/tables/table44.xml><?xml version="1.0" encoding="utf-8"?>
<table xmlns="http://schemas.openxmlformats.org/spreadsheetml/2006/main" id="46" name="Table6213347" displayName="Table6213347" ref="J3:P17" totalsRowShown="0">
  <autoFilter ref="J3:P17"/>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45.xml><?xml version="1.0" encoding="utf-8"?>
<table xmlns="http://schemas.openxmlformats.org/spreadsheetml/2006/main" id="47" name="Table120174448" displayName="Table120174448" ref="A1:H105" totalsRowShown="0" headerRowDxfId="31" dataDxfId="30">
  <autoFilter ref="A1:H105"/>
  <sortState ref="A2:H135">
    <sortCondition ref="G2:G135"/>
    <sortCondition ref="H2:H135"/>
    <sortCondition ref="A2:A135"/>
  </sortState>
  <tableColumns count="8">
    <tableColumn id="1" name="Categoria" dataDxfId="29"/>
    <tableColumn id="2" name="Descripcion" dataDxfId="28"/>
    <tableColumn id="3" name="Medidas" dataDxfId="27"/>
    <tableColumn id="4" name="marca" dataDxfId="26"/>
    <tableColumn id="5" name="N/ de serie" dataDxfId="25"/>
    <tableColumn id="7" name="cant" dataDxfId="24"/>
    <tableColumn id="6" name="Cajonera" dataDxfId="23"/>
    <tableColumn id="8" name="Compartimiento" dataDxfId="22"/>
  </tableColumns>
  <tableStyleInfo name="TableStyleMedium2" showFirstColumn="0" showLastColumn="0" showRowStripes="1" showColumnStripes="0"/>
</table>
</file>

<file path=xl/tables/table46.xml><?xml version="1.0" encoding="utf-8"?>
<table xmlns="http://schemas.openxmlformats.org/spreadsheetml/2006/main" id="48" name="Table222344549" displayName="Table222344549" ref="T3:T13" totalsRowShown="0">
  <autoFilter ref="T3:T13"/>
  <tableColumns count="1">
    <tableColumn id="1" name="Bolsos"/>
  </tableColumns>
  <tableStyleInfo name="TableStyleLight9" showFirstColumn="0" showLastColumn="0" showRowStripes="1" showColumnStripes="0"/>
</table>
</file>

<file path=xl/tables/table47.xml><?xml version="1.0" encoding="utf-8"?>
<table xmlns="http://schemas.openxmlformats.org/spreadsheetml/2006/main" id="49" name="Table523354650" displayName="Table523354650" ref="V4:AD12" totalsRowShown="0">
  <autoFilter ref="V4:AD12"/>
  <tableColumns count="9">
    <tableColumn id="1" name="Cabina"/>
    <tableColumn id="2" name="Cajonera 1"/>
    <tableColumn id="3" name="Cajonera 2"/>
    <tableColumn id="4" name="Cajonera 3"/>
    <tableColumn id="5" name="Cajonera 4"/>
    <tableColumn id="6" name="Cajonera 5"/>
    <tableColumn id="7" name="Cajonera 6"/>
    <tableColumn id="8" name="Cajonera 7"/>
    <tableColumn id="9" name="Techo"/>
  </tableColumns>
  <tableStyleInfo name="TableStyleLight9" showFirstColumn="0" showLastColumn="0" showRowStripes="1" showColumnStripes="0"/>
</table>
</file>

<file path=xl/tables/table48.xml><?xml version="1.0" encoding="utf-8"?>
<table xmlns="http://schemas.openxmlformats.org/spreadsheetml/2006/main" id="50" name="Table621334751" displayName="Table621334751" ref="J3:P64" totalsRowShown="0">
  <autoFilter ref="J3:P64"/>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49.xml><?xml version="1.0" encoding="utf-8"?>
<table xmlns="http://schemas.openxmlformats.org/spreadsheetml/2006/main" id="51" name="Table12017444852" displayName="Table12017444852" ref="A1:H108" totalsRowShown="0" headerRowDxfId="21" dataDxfId="20">
  <autoFilter ref="A1:H108"/>
  <sortState ref="A2:H135">
    <sortCondition ref="G2:G135"/>
    <sortCondition ref="H2:H135"/>
    <sortCondition ref="A2:A135"/>
  </sortState>
  <tableColumns count="8">
    <tableColumn id="1" name="Categoria" dataDxfId="19"/>
    <tableColumn id="2" name="Descripcion" dataDxfId="18"/>
    <tableColumn id="3" name="Medidas" dataDxfId="17"/>
    <tableColumn id="4" name="marca" dataDxfId="16"/>
    <tableColumn id="5" name="N/ de serie" dataDxfId="15"/>
    <tableColumn id="7" name="cant" dataDxfId="14"/>
    <tableColumn id="6" name="Cajonera" dataDxfId="13"/>
    <tableColumn id="8" name="Compartimiento" dataDxfId="12"/>
  </tableColumns>
  <tableStyleInfo name="TableStyleMedium2" showFirstColumn="0" showLastColumn="0" showRowStripes="1" showColumnStripes="0"/>
</table>
</file>

<file path=xl/tables/table50.xml><?xml version="1.0" encoding="utf-8"?>
<table xmlns="http://schemas.openxmlformats.org/spreadsheetml/2006/main" id="52" name="Table22234454953" displayName="Table22234454953" ref="T3:T7" totalsRowShown="0">
  <autoFilter ref="T3:T7"/>
  <tableColumns count="1">
    <tableColumn id="1" name="Bolsos"/>
  </tableColumns>
  <tableStyleInfo name="TableStyleLight9" showFirstColumn="0" showLastColumn="0" showRowStripes="1" showColumnStripes="0"/>
</table>
</file>

<file path=xl/tables/table51.xml><?xml version="1.0" encoding="utf-8"?>
<table xmlns="http://schemas.openxmlformats.org/spreadsheetml/2006/main" id="53" name="Table52335465054" displayName="Table52335465054" ref="V4:AD12" totalsRowShown="0">
  <autoFilter ref="V4:AD12"/>
  <tableColumns count="9">
    <tableColumn id="1" name="Cabina"/>
    <tableColumn id="2" name="Cajonera 1"/>
    <tableColumn id="3" name="Cajonera 2"/>
    <tableColumn id="4" name="Cajonera 3"/>
    <tableColumn id="5" name="Cajonera 4"/>
    <tableColumn id="6" name="Cajonera 5"/>
    <tableColumn id="7" name="Cajonera 6"/>
    <tableColumn id="8" name="Cajonera 7"/>
    <tableColumn id="9" name="Techo"/>
  </tableColumns>
  <tableStyleInfo name="TableStyleLight9" showFirstColumn="0" showLastColumn="0" showRowStripes="1" showColumnStripes="0"/>
</table>
</file>

<file path=xl/tables/table52.xml><?xml version="1.0" encoding="utf-8"?>
<table xmlns="http://schemas.openxmlformats.org/spreadsheetml/2006/main" id="54" name="Table62133475155" displayName="Table62133475155" ref="J3:P33" totalsRowShown="0">
  <autoFilter ref="J3:P33"/>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53.xml><?xml version="1.0" encoding="utf-8"?>
<table xmlns="http://schemas.openxmlformats.org/spreadsheetml/2006/main" id="55" name="Table1201744485256" displayName="Table1201744485256" ref="A1:H13" totalsRowShown="0" headerRowDxfId="11" dataDxfId="10">
  <autoFilter ref="A1:H13"/>
  <sortState ref="A2:H135">
    <sortCondition ref="G2:G135"/>
    <sortCondition ref="H2:H135"/>
    <sortCondition ref="A2:A135"/>
  </sortState>
  <tableColumns count="8">
    <tableColumn id="1" name="Categoria" dataDxfId="9"/>
    <tableColumn id="2" name="Descripcion" dataDxfId="8"/>
    <tableColumn id="3" name="Medidas" dataDxfId="7"/>
    <tableColumn id="4" name="marca" dataDxfId="6"/>
    <tableColumn id="5" name="N/ de serie" dataDxfId="5"/>
    <tableColumn id="7" name="cant" dataDxfId="4"/>
    <tableColumn id="6" name="Cajonera" dataDxfId="3"/>
    <tableColumn id="8" name="Compartimiento" dataDxfId="2"/>
  </tableColumns>
  <tableStyleInfo name="TableStyleMedium2" showFirstColumn="0" showLastColumn="0" showRowStripes="1" showColumnStripes="0"/>
</table>
</file>

<file path=xl/tables/table54.xml><?xml version="1.0" encoding="utf-8"?>
<table xmlns="http://schemas.openxmlformats.org/spreadsheetml/2006/main" id="56" name="Table2223445495357" displayName="Table2223445495357" ref="T3:T7" totalsRowShown="0">
  <autoFilter ref="T3:T7"/>
  <tableColumns count="1">
    <tableColumn id="1" name="Bolsos"/>
  </tableColumns>
  <tableStyleInfo name="TableStyleLight9" showFirstColumn="0" showLastColumn="0" showRowStripes="1" showColumnStripes="0"/>
</table>
</file>

<file path=xl/tables/table55.xml><?xml version="1.0" encoding="utf-8"?>
<table xmlns="http://schemas.openxmlformats.org/spreadsheetml/2006/main" id="57" name="Table5233546505458" displayName="Table5233546505458" ref="V4:AD12" totalsRowShown="0">
  <autoFilter ref="V4:AD12"/>
  <tableColumns count="9">
    <tableColumn id="1" name="Cabina"/>
    <tableColumn id="2" name="Cajonera 1"/>
    <tableColumn id="3" name="Cajonera 2"/>
    <tableColumn id="4" name="Column1"/>
    <tableColumn id="5" name="Column2"/>
    <tableColumn id="6" name="Column3"/>
    <tableColumn id="7" name="Column4"/>
    <tableColumn id="8" name="Column5"/>
    <tableColumn id="9" name="Column6"/>
  </tableColumns>
  <tableStyleInfo name="TableStyleLight9" showFirstColumn="0" showLastColumn="0" showRowStripes="1" showColumnStripes="0"/>
</table>
</file>

<file path=xl/tables/table56.xml><?xml version="1.0" encoding="utf-8"?>
<table xmlns="http://schemas.openxmlformats.org/spreadsheetml/2006/main" id="58" name="Table6213347515559" displayName="Table6213347515559" ref="J3:P4" insertRow="1" totalsRowShown="0">
  <autoFilter ref="J3:P4"/>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57.xml><?xml version="1.0" encoding="utf-8"?>
<table xmlns="http://schemas.openxmlformats.org/spreadsheetml/2006/main" id="3" name="Table3" displayName="Table3" ref="F1:AC18" totalsRowShown="0">
  <autoFilter ref="F1:AC18"/>
  <sortState ref="F2:P9">
    <sortCondition ref="F1:F9"/>
  </sortState>
  <tableColumns count="24">
    <tableColumn id="1" name="Tramos"/>
    <tableColumn id="2" name="Lanzas"/>
    <tableColumn id="3" name="Escaleras"/>
    <tableColumn id="4" name="Manguerote"/>
    <tableColumn id="5" name="Adaptador"/>
    <tableColumn id="6" name="Reductor"/>
    <tableColumn id="7" name="Trineo"/>
    <tableColumn id="8" name="Filtros"/>
    <tableColumn id="9" name="Lanzas especiales"/>
    <tableColumn id="10" name="Monitor"/>
    <tableColumn id="11" name="Grilletes"/>
    <tableColumn id="12" name="bidon"/>
    <tableColumn id="13" name="Divergente"/>
    <tableColumn id="14" name="Trivergente"/>
    <tableColumn id="15" name="Collar cervical"/>
    <tableColumn id="16" name="Linterna"/>
    <tableColumn id="17" name="Extintor"/>
    <tableColumn id="18" name="Union suelta"/>
    <tableColumn id="19" name="Manga"/>
    <tableColumn id="20" name="Cuerda de altura"/>
    <tableColumn id="21" name="Polea para altura"/>
    <tableColumn id="22" name="Cinta plana"/>
    <tableColumn id="23" name="Cinta tubular"/>
    <tableColumn id="24" name="Moto-bomba"/>
  </tableColumns>
  <tableStyleInfo name="TableStyleLight9" showFirstColumn="0" showLastColumn="0" showRowStripes="1" showColumnStripes="0"/>
</table>
</file>

<file path=xl/tables/table58.xml><?xml version="1.0" encoding="utf-8"?>
<table xmlns="http://schemas.openxmlformats.org/spreadsheetml/2006/main" id="4" name="Table4" displayName="Table4" ref="A1:A135" totalsRowShown="0" headerRowDxfId="1" tableBorderDxfId="0">
  <autoFilter ref="A1:A135"/>
  <sortState ref="A2:A116">
    <sortCondition ref="A1:A117"/>
  </sortState>
  <tableColumns count="1">
    <tableColumn id="1" name="Categorias disponibles"/>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 Id="rId5" Type="http://schemas.openxmlformats.org/officeDocument/2006/relationships/table" Target="../tables/table4.xml"/><Relationship Id="rId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2.bin"/><Relationship Id="rId5" Type="http://schemas.openxmlformats.org/officeDocument/2006/relationships/table" Target="../tables/table8.xml"/><Relationship Id="rId4" Type="http://schemas.openxmlformats.org/officeDocument/2006/relationships/table" Target="../tables/table7.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3.bin"/><Relationship Id="rId5" Type="http://schemas.openxmlformats.org/officeDocument/2006/relationships/table" Target="../tables/table12.xml"/><Relationship Id="rId4" Type="http://schemas.openxmlformats.org/officeDocument/2006/relationships/table" Target="../tables/table1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table" Target="../tables/table13.xml"/><Relationship Id="rId1" Type="http://schemas.openxmlformats.org/officeDocument/2006/relationships/printerSettings" Target="../printerSettings/printerSettings4.bin"/><Relationship Id="rId5" Type="http://schemas.openxmlformats.org/officeDocument/2006/relationships/table" Target="../tables/table16.xml"/><Relationship Id="rId4" Type="http://schemas.openxmlformats.org/officeDocument/2006/relationships/table" Target="../tables/table15.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table" Target="../tables/table17.xml"/><Relationship Id="rId1" Type="http://schemas.openxmlformats.org/officeDocument/2006/relationships/printerSettings" Target="../printerSettings/printerSettings5.bin"/><Relationship Id="rId5" Type="http://schemas.openxmlformats.org/officeDocument/2006/relationships/table" Target="../tables/table20.xml"/><Relationship Id="rId4" Type="http://schemas.openxmlformats.org/officeDocument/2006/relationships/table" Target="../tables/table19.xml"/></Relationships>
</file>

<file path=xl/worksheets/_rels/sheet6.xml.rels><?xml version="1.0" encoding="UTF-8" standalone="yes"?>
<Relationships xmlns="http://schemas.openxmlformats.org/package/2006/relationships"><Relationship Id="rId3" Type="http://schemas.openxmlformats.org/officeDocument/2006/relationships/table" Target="../tables/table22.xml"/><Relationship Id="rId2" Type="http://schemas.openxmlformats.org/officeDocument/2006/relationships/table" Target="../tables/table21.xml"/><Relationship Id="rId1" Type="http://schemas.openxmlformats.org/officeDocument/2006/relationships/printerSettings" Target="../printerSettings/printerSettings6.bin"/><Relationship Id="rId5" Type="http://schemas.openxmlformats.org/officeDocument/2006/relationships/table" Target="../tables/table24.xml"/><Relationship Id="rId4" Type="http://schemas.openxmlformats.org/officeDocument/2006/relationships/table" Target="../tables/table23.xml"/></Relationships>
</file>

<file path=xl/worksheets/_rels/sheet7.xml.rels><?xml version="1.0" encoding="UTF-8" standalone="yes"?>
<Relationships xmlns="http://schemas.openxmlformats.org/package/2006/relationships"><Relationship Id="rId3" Type="http://schemas.openxmlformats.org/officeDocument/2006/relationships/table" Target="../tables/table26.xml"/><Relationship Id="rId2" Type="http://schemas.openxmlformats.org/officeDocument/2006/relationships/table" Target="../tables/table25.xml"/><Relationship Id="rId1" Type="http://schemas.openxmlformats.org/officeDocument/2006/relationships/printerSettings" Target="../printerSettings/printerSettings7.bin"/><Relationship Id="rId5" Type="http://schemas.openxmlformats.org/officeDocument/2006/relationships/table" Target="../tables/table28.xml"/><Relationship Id="rId4" Type="http://schemas.openxmlformats.org/officeDocument/2006/relationships/table" Target="../tables/table27.xml"/></Relationships>
</file>

<file path=xl/worksheets/_rels/sheet9.xml.rels><?xml version="1.0" encoding="UTF-8" standalone="yes"?>
<Relationships xmlns="http://schemas.openxmlformats.org/package/2006/relationships"><Relationship Id="rId3" Type="http://schemas.openxmlformats.org/officeDocument/2006/relationships/table" Target="../tables/table30.xml"/><Relationship Id="rId2" Type="http://schemas.openxmlformats.org/officeDocument/2006/relationships/table" Target="../tables/table29.xml"/><Relationship Id="rId1" Type="http://schemas.openxmlformats.org/officeDocument/2006/relationships/printerSettings" Target="../printerSettings/printerSettings8.bin"/><Relationship Id="rId5" Type="http://schemas.openxmlformats.org/officeDocument/2006/relationships/table" Target="../tables/table32.xml"/><Relationship Id="rId4" Type="http://schemas.openxmlformats.org/officeDocument/2006/relationships/table" Target="../tables/table31.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35.xml"/><Relationship Id="rId2" Type="http://schemas.openxmlformats.org/officeDocument/2006/relationships/table" Target="../tables/table34.xml"/><Relationship Id="rId1" Type="http://schemas.openxmlformats.org/officeDocument/2006/relationships/table" Target="../tables/table33.xml"/><Relationship Id="rId4" Type="http://schemas.openxmlformats.org/officeDocument/2006/relationships/table" Target="../tables/table3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38.xml"/><Relationship Id="rId2" Type="http://schemas.openxmlformats.org/officeDocument/2006/relationships/table" Target="../tables/table37.xml"/><Relationship Id="rId1" Type="http://schemas.openxmlformats.org/officeDocument/2006/relationships/printerSettings" Target="../printerSettings/printerSettings9.bin"/><Relationship Id="rId5" Type="http://schemas.openxmlformats.org/officeDocument/2006/relationships/table" Target="../tables/table40.xml"/><Relationship Id="rId4" Type="http://schemas.openxmlformats.org/officeDocument/2006/relationships/table" Target="../tables/table39.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43.xml"/><Relationship Id="rId2" Type="http://schemas.openxmlformats.org/officeDocument/2006/relationships/table" Target="../tables/table42.xml"/><Relationship Id="rId1" Type="http://schemas.openxmlformats.org/officeDocument/2006/relationships/table" Target="../tables/table41.xml"/><Relationship Id="rId4" Type="http://schemas.openxmlformats.org/officeDocument/2006/relationships/table" Target="../tables/table44.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47.xml"/><Relationship Id="rId2" Type="http://schemas.openxmlformats.org/officeDocument/2006/relationships/table" Target="../tables/table46.xml"/><Relationship Id="rId1" Type="http://schemas.openxmlformats.org/officeDocument/2006/relationships/table" Target="../tables/table45.xml"/><Relationship Id="rId4" Type="http://schemas.openxmlformats.org/officeDocument/2006/relationships/table" Target="../tables/table48.xml"/></Relationships>
</file>

<file path=xl/worksheets/_rels/sheet14.xml.rels><?xml version="1.0" encoding="UTF-8" standalone="yes"?>
<Relationships xmlns="http://schemas.openxmlformats.org/package/2006/relationships"><Relationship Id="rId3" Type="http://schemas.openxmlformats.org/officeDocument/2006/relationships/table" Target="../tables/table50.xml"/><Relationship Id="rId2" Type="http://schemas.openxmlformats.org/officeDocument/2006/relationships/table" Target="../tables/table49.xml"/><Relationship Id="rId1" Type="http://schemas.openxmlformats.org/officeDocument/2006/relationships/printerSettings" Target="../printerSettings/printerSettings10.bin"/><Relationship Id="rId5" Type="http://schemas.openxmlformats.org/officeDocument/2006/relationships/table" Target="../tables/table52.xml"/><Relationship Id="rId4" Type="http://schemas.openxmlformats.org/officeDocument/2006/relationships/table" Target="../tables/table51.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55.xml"/><Relationship Id="rId2" Type="http://schemas.openxmlformats.org/officeDocument/2006/relationships/table" Target="../tables/table54.xml"/><Relationship Id="rId1" Type="http://schemas.openxmlformats.org/officeDocument/2006/relationships/table" Target="../tables/table53.xml"/><Relationship Id="rId4" Type="http://schemas.openxmlformats.org/officeDocument/2006/relationships/table" Target="../tables/table56.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58.xml"/><Relationship Id="rId2" Type="http://schemas.openxmlformats.org/officeDocument/2006/relationships/table" Target="../tables/table57.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sheetPr codeName="Sheet1">
    <pageSetUpPr fitToPage="1"/>
  </sheetPr>
  <dimension ref="A1:AE139"/>
  <sheetViews>
    <sheetView workbookViewId="0">
      <pane ySplit="1" topLeftCell="A121" activePane="bottomLeft" state="frozen"/>
      <selection pane="bottomLeft" activeCell="H131" sqref="H131"/>
    </sheetView>
  </sheetViews>
  <sheetFormatPr baseColWidth="10" defaultColWidth="9.140625" defaultRowHeight="1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0.85546875" style="4" bestFit="1" customWidth="1"/>
    <col min="8" max="8" width="18" style="4" bestFit="1" customWidth="1"/>
    <col min="9" max="9" width="18" bestFit="1" customWidth="1"/>
    <col min="10" max="10" width="18" customWidth="1"/>
    <col min="11" max="11" width="21.5703125" customWidth="1"/>
    <col min="12" max="12" width="29.85546875" bestFit="1" customWidth="1"/>
    <col min="13" max="13" width="21.5703125" customWidth="1"/>
    <col min="14" max="15" width="29.85546875" customWidth="1"/>
    <col min="16" max="16" width="21" bestFit="1" customWidth="1"/>
    <col min="17" max="17" width="21.5703125" bestFit="1" customWidth="1"/>
    <col min="21" max="21" width="21.5703125" customWidth="1"/>
    <col min="23" max="23" width="14.7109375" customWidth="1"/>
    <col min="24" max="24" width="26" customWidth="1"/>
    <col min="26" max="30" width="12.42578125" customWidth="1"/>
    <col min="31" max="31" width="9.85546875" customWidth="1"/>
  </cols>
  <sheetData>
    <row r="1" spans="1:31">
      <c r="A1" s="4" t="s">
        <v>0</v>
      </c>
      <c r="B1" s="5" t="s">
        <v>1</v>
      </c>
      <c r="C1" s="4" t="s">
        <v>2</v>
      </c>
      <c r="D1" s="4" t="s">
        <v>3</v>
      </c>
      <c r="E1" s="4" t="s">
        <v>4</v>
      </c>
      <c r="F1" s="4" t="s">
        <v>236</v>
      </c>
      <c r="G1" s="4" t="s">
        <v>13</v>
      </c>
      <c r="H1" s="4" t="s">
        <v>228</v>
      </c>
    </row>
    <row r="2" spans="1:31">
      <c r="A2" s="4" t="s">
        <v>97</v>
      </c>
      <c r="B2" s="7" t="s">
        <v>85</v>
      </c>
      <c r="C2" s="6"/>
      <c r="D2" s="6" t="s">
        <v>96</v>
      </c>
      <c r="E2" s="6">
        <v>315000341</v>
      </c>
      <c r="F2" s="6">
        <v>1</v>
      </c>
      <c r="G2" s="6" t="s">
        <v>8</v>
      </c>
      <c r="H2" s="6">
        <v>1</v>
      </c>
    </row>
    <row r="3" spans="1:31">
      <c r="A3" s="6" t="s">
        <v>237</v>
      </c>
      <c r="B3" s="7" t="s">
        <v>85</v>
      </c>
      <c r="C3" s="6"/>
      <c r="D3" s="6"/>
      <c r="E3" s="6"/>
      <c r="F3" s="6">
        <v>1</v>
      </c>
      <c r="G3" s="6" t="s">
        <v>8</v>
      </c>
      <c r="H3" s="6">
        <v>1</v>
      </c>
      <c r="K3" t="s">
        <v>0</v>
      </c>
      <c r="L3" t="s">
        <v>1</v>
      </c>
      <c r="M3" t="s">
        <v>2</v>
      </c>
      <c r="N3" s="4" t="s">
        <v>3</v>
      </c>
      <c r="O3" s="4" t="s">
        <v>4</v>
      </c>
      <c r="P3" t="s">
        <v>18</v>
      </c>
      <c r="Q3" t="s">
        <v>14</v>
      </c>
      <c r="W3" t="s">
        <v>28</v>
      </c>
      <c r="Y3" s="26" t="s">
        <v>226</v>
      </c>
      <c r="Z3" s="26"/>
      <c r="AA3" s="26"/>
      <c r="AB3" s="26"/>
      <c r="AC3" s="26"/>
      <c r="AD3" s="26"/>
    </row>
    <row r="4" spans="1:31">
      <c r="A4" s="6" t="s">
        <v>95</v>
      </c>
      <c r="B4" s="7" t="s">
        <v>85</v>
      </c>
      <c r="C4" s="6"/>
      <c r="D4" s="6" t="s">
        <v>96</v>
      </c>
      <c r="E4" s="6">
        <v>28999</v>
      </c>
      <c r="F4" s="6">
        <v>1</v>
      </c>
      <c r="G4" s="6" t="s">
        <v>8</v>
      </c>
      <c r="H4" s="6">
        <v>1</v>
      </c>
      <c r="K4" t="s">
        <v>153</v>
      </c>
      <c r="L4" t="s">
        <v>17</v>
      </c>
      <c r="P4">
        <v>2</v>
      </c>
      <c r="Q4" t="s">
        <v>15</v>
      </c>
      <c r="W4" t="s">
        <v>15</v>
      </c>
      <c r="Y4" t="s">
        <v>8</v>
      </c>
      <c r="Z4" t="s">
        <v>5</v>
      </c>
      <c r="AA4" t="s">
        <v>6</v>
      </c>
      <c r="AB4" t="s">
        <v>9</v>
      </c>
      <c r="AC4" t="s">
        <v>10</v>
      </c>
      <c r="AD4" t="s">
        <v>7</v>
      </c>
      <c r="AE4" t="s">
        <v>36</v>
      </c>
    </row>
    <row r="5" spans="1:31" ht="75">
      <c r="A5" s="6" t="s">
        <v>92</v>
      </c>
      <c r="B5" s="7" t="str">
        <f>bolso("Caja de herramientas 1",Table6[])</f>
        <v xml:space="preserve">Caja de herramientas 1 Contiene:  Pico de loro x2,  Martillo x2,  Alicate x1,  Tijera para chapa x1,  llave fija 17mm x1,  pinza de punta x1,  llave stilson x1,  Llave union x4,  pinza x1, </v>
      </c>
      <c r="C5" s="6"/>
      <c r="D5" s="6" t="s">
        <v>27</v>
      </c>
      <c r="E5" s="6" t="s">
        <v>27</v>
      </c>
      <c r="F5" s="6">
        <v>1</v>
      </c>
      <c r="G5" s="6" t="s">
        <v>5</v>
      </c>
      <c r="H5" s="6">
        <v>1</v>
      </c>
      <c r="K5" t="s">
        <v>153</v>
      </c>
      <c r="L5" t="s">
        <v>19</v>
      </c>
      <c r="P5">
        <v>2</v>
      </c>
      <c r="Q5" t="s">
        <v>15</v>
      </c>
      <c r="W5" t="s">
        <v>29</v>
      </c>
      <c r="Y5">
        <v>1</v>
      </c>
      <c r="Z5">
        <v>1</v>
      </c>
      <c r="AA5">
        <v>1</v>
      </c>
      <c r="AB5">
        <v>1</v>
      </c>
      <c r="AC5">
        <v>1</v>
      </c>
      <c r="AD5" t="s">
        <v>227</v>
      </c>
      <c r="AE5" t="s">
        <v>36</v>
      </c>
    </row>
    <row r="6" spans="1:31">
      <c r="A6" s="6" t="s">
        <v>32</v>
      </c>
      <c r="B6" s="7" t="s">
        <v>71</v>
      </c>
      <c r="C6" s="6" t="s">
        <v>33</v>
      </c>
      <c r="D6" s="6" t="s">
        <v>27</v>
      </c>
      <c r="E6" s="6">
        <v>2130600061</v>
      </c>
      <c r="F6" s="6">
        <v>2</v>
      </c>
      <c r="G6" s="6" t="s">
        <v>5</v>
      </c>
      <c r="H6" s="6">
        <v>1</v>
      </c>
      <c r="K6" t="s">
        <v>153</v>
      </c>
      <c r="L6" t="s">
        <v>20</v>
      </c>
      <c r="P6">
        <v>1</v>
      </c>
      <c r="Q6" t="s">
        <v>15</v>
      </c>
      <c r="W6" t="s">
        <v>523</v>
      </c>
      <c r="Y6">
        <v>2</v>
      </c>
      <c r="AC6">
        <v>2</v>
      </c>
      <c r="AD6" t="s">
        <v>229</v>
      </c>
    </row>
    <row r="7" spans="1:31">
      <c r="A7" s="6" t="s">
        <v>32</v>
      </c>
      <c r="B7" s="7" t="s">
        <v>74</v>
      </c>
      <c r="C7" s="6" t="s">
        <v>33</v>
      </c>
      <c r="D7" s="6" t="s">
        <v>27</v>
      </c>
      <c r="E7" s="6" t="s">
        <v>27</v>
      </c>
      <c r="F7" s="6">
        <v>1</v>
      </c>
      <c r="G7" s="6" t="s">
        <v>5</v>
      </c>
      <c r="H7" s="6">
        <v>1</v>
      </c>
      <c r="K7" t="s">
        <v>153</v>
      </c>
      <c r="L7" t="s">
        <v>21</v>
      </c>
      <c r="P7">
        <v>1</v>
      </c>
      <c r="Q7" t="s">
        <v>15</v>
      </c>
      <c r="W7" t="s">
        <v>29</v>
      </c>
      <c r="Y7">
        <v>3</v>
      </c>
      <c r="AC7">
        <v>3</v>
      </c>
      <c r="AD7" t="s">
        <v>230</v>
      </c>
    </row>
    <row r="8" spans="1:31">
      <c r="A8" s="6" t="s">
        <v>32</v>
      </c>
      <c r="B8" s="7" t="s">
        <v>71</v>
      </c>
      <c r="C8" s="6" t="s">
        <v>72</v>
      </c>
      <c r="D8" s="6" t="s">
        <v>27</v>
      </c>
      <c r="E8" s="6" t="s">
        <v>78</v>
      </c>
      <c r="F8" s="6">
        <v>1</v>
      </c>
      <c r="G8" s="6" t="s">
        <v>5</v>
      </c>
      <c r="H8" s="6">
        <v>1</v>
      </c>
      <c r="K8" t="s">
        <v>153</v>
      </c>
      <c r="L8" t="s">
        <v>22</v>
      </c>
      <c r="P8">
        <v>1</v>
      </c>
      <c r="Q8" t="s">
        <v>15</v>
      </c>
      <c r="W8" t="s">
        <v>524</v>
      </c>
      <c r="Y8">
        <v>4</v>
      </c>
    </row>
    <row r="9" spans="1:31">
      <c r="A9" s="6" t="s">
        <v>73</v>
      </c>
      <c r="B9" s="7" t="s">
        <v>71</v>
      </c>
      <c r="C9" s="6" t="s">
        <v>72</v>
      </c>
      <c r="D9" s="6" t="s">
        <v>27</v>
      </c>
      <c r="E9" s="6" t="s">
        <v>27</v>
      </c>
      <c r="F9" s="6">
        <v>1</v>
      </c>
      <c r="G9" s="6" t="s">
        <v>5</v>
      </c>
      <c r="H9" s="6">
        <v>1</v>
      </c>
      <c r="K9" t="s">
        <v>153</v>
      </c>
      <c r="L9" t="s">
        <v>24</v>
      </c>
      <c r="P9">
        <v>1</v>
      </c>
      <c r="Q9" t="s">
        <v>15</v>
      </c>
      <c r="W9" t="s">
        <v>93</v>
      </c>
    </row>
    <row r="10" spans="1:31">
      <c r="A10" s="6" t="s">
        <v>11</v>
      </c>
      <c r="B10" s="7" t="s">
        <v>75</v>
      </c>
      <c r="C10" s="6" t="s">
        <v>30</v>
      </c>
      <c r="D10" s="6" t="s">
        <v>27</v>
      </c>
      <c r="E10" s="6" t="s">
        <v>27</v>
      </c>
      <c r="F10" s="6">
        <v>3</v>
      </c>
      <c r="G10" s="6" t="s">
        <v>5</v>
      </c>
      <c r="H10" s="6">
        <v>1</v>
      </c>
      <c r="K10" t="s">
        <v>153</v>
      </c>
      <c r="L10" t="s">
        <v>25</v>
      </c>
      <c r="P10">
        <v>1</v>
      </c>
      <c r="Q10" t="s">
        <v>15</v>
      </c>
    </row>
    <row r="11" spans="1:31">
      <c r="A11" s="6" t="s">
        <v>11</v>
      </c>
      <c r="B11" s="7" t="s">
        <v>526</v>
      </c>
      <c r="C11" s="6" t="s">
        <v>121</v>
      </c>
      <c r="D11" s="6" t="s">
        <v>27</v>
      </c>
      <c r="E11" s="6" t="s">
        <v>27</v>
      </c>
      <c r="F11" s="6">
        <v>1</v>
      </c>
      <c r="G11" s="6" t="s">
        <v>5</v>
      </c>
      <c r="H11" s="6">
        <v>1</v>
      </c>
      <c r="K11" t="s">
        <v>153</v>
      </c>
      <c r="L11" t="s">
        <v>26</v>
      </c>
      <c r="P11">
        <v>4</v>
      </c>
      <c r="Q11" t="s">
        <v>15</v>
      </c>
    </row>
    <row r="12" spans="1:31">
      <c r="A12" s="6" t="s">
        <v>11</v>
      </c>
      <c r="B12" s="7" t="s">
        <v>76</v>
      </c>
      <c r="C12" s="6" t="s">
        <v>77</v>
      </c>
      <c r="D12" s="6" t="s">
        <v>27</v>
      </c>
      <c r="E12" s="6" t="s">
        <v>27</v>
      </c>
      <c r="F12" s="6">
        <v>1</v>
      </c>
      <c r="G12" s="6" t="s">
        <v>5</v>
      </c>
      <c r="H12" s="6">
        <v>1</v>
      </c>
      <c r="K12" t="s">
        <v>153</v>
      </c>
      <c r="L12" t="s">
        <v>23</v>
      </c>
      <c r="P12">
        <v>1</v>
      </c>
      <c r="Q12" t="s">
        <v>15</v>
      </c>
    </row>
    <row r="13" spans="1:31">
      <c r="A13" s="6" t="s">
        <v>11</v>
      </c>
      <c r="B13" s="7" t="s">
        <v>242</v>
      </c>
      <c r="C13" s="6" t="s">
        <v>79</v>
      </c>
      <c r="D13" s="6" t="s">
        <v>27</v>
      </c>
      <c r="E13" s="6" t="s">
        <v>27</v>
      </c>
      <c r="F13" s="6">
        <v>1</v>
      </c>
      <c r="G13" s="6" t="s">
        <v>5</v>
      </c>
      <c r="H13" s="6">
        <v>1</v>
      </c>
      <c r="K13" t="s">
        <v>466</v>
      </c>
      <c r="L13" t="s">
        <v>145</v>
      </c>
      <c r="P13">
        <v>10</v>
      </c>
      <c r="Q13" t="s">
        <v>524</v>
      </c>
    </row>
    <row r="14" spans="1:31">
      <c r="A14" s="6" t="s">
        <v>43</v>
      </c>
      <c r="B14" s="7" t="s">
        <v>68</v>
      </c>
      <c r="C14" s="6" t="s">
        <v>66</v>
      </c>
      <c r="D14" s="6" t="s">
        <v>27</v>
      </c>
      <c r="E14" s="6" t="s">
        <v>27</v>
      </c>
      <c r="F14" s="6">
        <v>1</v>
      </c>
      <c r="G14" s="6" t="s">
        <v>6</v>
      </c>
      <c r="H14" s="6">
        <v>1</v>
      </c>
      <c r="K14" t="s">
        <v>466</v>
      </c>
      <c r="L14" t="s">
        <v>146</v>
      </c>
      <c r="P14">
        <v>4</v>
      </c>
      <c r="Q14" t="s">
        <v>524</v>
      </c>
    </row>
    <row r="15" spans="1:31">
      <c r="A15" s="6" t="s">
        <v>43</v>
      </c>
      <c r="B15" s="7"/>
      <c r="C15" s="6" t="s">
        <v>66</v>
      </c>
      <c r="D15" s="6" t="s">
        <v>27</v>
      </c>
      <c r="E15" s="6" t="s">
        <v>27</v>
      </c>
      <c r="F15" s="6">
        <v>1</v>
      </c>
      <c r="G15" s="6" t="s">
        <v>6</v>
      </c>
      <c r="H15" s="6">
        <v>1</v>
      </c>
      <c r="K15" t="s">
        <v>466</v>
      </c>
      <c r="L15" t="s">
        <v>147</v>
      </c>
      <c r="P15">
        <v>3</v>
      </c>
      <c r="Q15" t="s">
        <v>524</v>
      </c>
    </row>
    <row r="16" spans="1:31">
      <c r="A16" s="6" t="s">
        <v>46</v>
      </c>
      <c r="B16" s="7"/>
      <c r="C16" s="6"/>
      <c r="D16" s="6" t="s">
        <v>47</v>
      </c>
      <c r="E16" s="6" t="s">
        <v>27</v>
      </c>
      <c r="F16" s="6">
        <v>4</v>
      </c>
      <c r="G16" s="6" t="s">
        <v>6</v>
      </c>
      <c r="H16" s="6">
        <v>1</v>
      </c>
      <c r="K16" t="s">
        <v>137</v>
      </c>
      <c r="L16" t="s">
        <v>193</v>
      </c>
      <c r="P16">
        <v>1</v>
      </c>
      <c r="Q16" t="s">
        <v>29</v>
      </c>
    </row>
    <row r="17" spans="1:17">
      <c r="A17" s="6" t="s">
        <v>53</v>
      </c>
      <c r="B17" s="7" t="s">
        <v>234</v>
      </c>
      <c r="C17" s="6"/>
      <c r="D17" s="6" t="s">
        <v>27</v>
      </c>
      <c r="E17" s="6" t="s">
        <v>27</v>
      </c>
      <c r="F17" s="6">
        <v>5</v>
      </c>
      <c r="G17" s="6" t="s">
        <v>6</v>
      </c>
      <c r="H17" s="6">
        <v>1</v>
      </c>
      <c r="K17" t="s">
        <v>137</v>
      </c>
      <c r="L17" t="s">
        <v>138</v>
      </c>
      <c r="P17">
        <v>0</v>
      </c>
      <c r="Q17" t="s">
        <v>29</v>
      </c>
    </row>
    <row r="18" spans="1:17">
      <c r="A18" s="6" t="s">
        <v>61</v>
      </c>
      <c r="B18" s="7" t="s">
        <v>62</v>
      </c>
      <c r="C18" s="6" t="s">
        <v>63</v>
      </c>
      <c r="D18" s="6" t="s">
        <v>27</v>
      </c>
      <c r="E18" s="6" t="s">
        <v>27</v>
      </c>
      <c r="F18" s="6">
        <v>1</v>
      </c>
      <c r="G18" s="6" t="s">
        <v>6</v>
      </c>
      <c r="H18" s="6">
        <v>1</v>
      </c>
      <c r="K18" t="s">
        <v>153</v>
      </c>
      <c r="L18" t="s">
        <v>194</v>
      </c>
      <c r="P18">
        <v>0</v>
      </c>
      <c r="Q18" t="s">
        <v>29</v>
      </c>
    </row>
    <row r="19" spans="1:17" ht="30">
      <c r="A19" s="6" t="s">
        <v>32</v>
      </c>
      <c r="B19" s="7" t="s">
        <v>51</v>
      </c>
      <c r="C19" s="6" t="s">
        <v>52</v>
      </c>
      <c r="D19" s="6" t="s">
        <v>27</v>
      </c>
      <c r="E19" s="6" t="s">
        <v>27</v>
      </c>
      <c r="F19" s="6">
        <v>1</v>
      </c>
      <c r="G19" s="6" t="s">
        <v>6</v>
      </c>
      <c r="H19" s="6">
        <v>1</v>
      </c>
      <c r="K19" t="s">
        <v>153</v>
      </c>
      <c r="L19" t="s">
        <v>195</v>
      </c>
      <c r="P19">
        <v>2</v>
      </c>
      <c r="Q19" t="s">
        <v>29</v>
      </c>
    </row>
    <row r="20" spans="1:17">
      <c r="A20" s="6" t="s">
        <v>59</v>
      </c>
      <c r="B20" s="7" t="s">
        <v>60</v>
      </c>
      <c r="C20" s="6" t="s">
        <v>33</v>
      </c>
      <c r="D20" s="6" t="s">
        <v>27</v>
      </c>
      <c r="E20" s="6" t="s">
        <v>27</v>
      </c>
      <c r="F20" s="6">
        <v>1</v>
      </c>
      <c r="G20" s="6" t="s">
        <v>6</v>
      </c>
      <c r="H20" s="6">
        <v>1</v>
      </c>
      <c r="K20" t="s">
        <v>833</v>
      </c>
      <c r="L20" t="s">
        <v>196</v>
      </c>
      <c r="P20">
        <v>0</v>
      </c>
      <c r="Q20" t="s">
        <v>29</v>
      </c>
    </row>
    <row r="21" spans="1:17">
      <c r="A21" s="6" t="s">
        <v>44</v>
      </c>
      <c r="B21" s="7"/>
      <c r="C21" s="6" t="s">
        <v>70</v>
      </c>
      <c r="D21" s="6" t="s">
        <v>27</v>
      </c>
      <c r="E21" s="6" t="s">
        <v>27</v>
      </c>
      <c r="F21" s="6">
        <v>1</v>
      </c>
      <c r="G21" s="6" t="s">
        <v>6</v>
      </c>
      <c r="H21" s="6">
        <v>1</v>
      </c>
      <c r="K21" t="s">
        <v>153</v>
      </c>
      <c r="L21" t="s">
        <v>197</v>
      </c>
      <c r="P21">
        <v>1</v>
      </c>
      <c r="Q21" t="s">
        <v>29</v>
      </c>
    </row>
    <row r="22" spans="1:17">
      <c r="A22" s="6" t="s">
        <v>44</v>
      </c>
      <c r="B22" s="7"/>
      <c r="C22" s="6" t="s">
        <v>69</v>
      </c>
      <c r="D22" s="6" t="s">
        <v>27</v>
      </c>
      <c r="E22" s="6" t="s">
        <v>27</v>
      </c>
      <c r="F22" s="6">
        <v>1</v>
      </c>
      <c r="G22" s="6" t="s">
        <v>6</v>
      </c>
      <c r="H22" s="6">
        <v>1</v>
      </c>
      <c r="K22" t="s">
        <v>153</v>
      </c>
      <c r="L22" t="s">
        <v>198</v>
      </c>
      <c r="P22">
        <v>1</v>
      </c>
      <c r="Q22" t="s">
        <v>29</v>
      </c>
    </row>
    <row r="23" spans="1:17">
      <c r="A23" s="6" t="s">
        <v>44</v>
      </c>
      <c r="B23" s="7"/>
      <c r="C23" s="6" t="s">
        <v>45</v>
      </c>
      <c r="D23" s="6" t="s">
        <v>27</v>
      </c>
      <c r="E23" s="6" t="s">
        <v>27</v>
      </c>
      <c r="F23" s="6">
        <v>2</v>
      </c>
      <c r="G23" s="6" t="s">
        <v>6</v>
      </c>
      <c r="H23" s="6">
        <v>1</v>
      </c>
      <c r="K23" t="s">
        <v>153</v>
      </c>
      <c r="L23" t="s">
        <v>26</v>
      </c>
      <c r="P23">
        <v>0</v>
      </c>
      <c r="Q23" t="s">
        <v>29</v>
      </c>
    </row>
    <row r="24" spans="1:17">
      <c r="A24" s="6" t="s">
        <v>44</v>
      </c>
      <c r="B24" s="7"/>
      <c r="C24" s="6" t="s">
        <v>67</v>
      </c>
      <c r="D24" s="6" t="s">
        <v>27</v>
      </c>
      <c r="E24" s="6" t="s">
        <v>27</v>
      </c>
      <c r="F24" s="6">
        <v>2</v>
      </c>
      <c r="G24" s="6" t="s">
        <v>6</v>
      </c>
      <c r="H24" s="6">
        <v>1</v>
      </c>
      <c r="K24" t="s">
        <v>153</v>
      </c>
      <c r="L24" t="s">
        <v>199</v>
      </c>
      <c r="P24">
        <v>4</v>
      </c>
      <c r="Q24" t="s">
        <v>29</v>
      </c>
    </row>
    <row r="25" spans="1:17">
      <c r="A25" s="6" t="s">
        <v>11</v>
      </c>
      <c r="B25" s="7" t="s">
        <v>57</v>
      </c>
      <c r="C25" s="6" t="s">
        <v>58</v>
      </c>
      <c r="D25" s="6" t="s">
        <v>27</v>
      </c>
      <c r="E25" s="6" t="s">
        <v>27</v>
      </c>
      <c r="F25" s="6">
        <v>1</v>
      </c>
      <c r="G25" s="6" t="s">
        <v>6</v>
      </c>
      <c r="H25" s="6">
        <v>1</v>
      </c>
      <c r="K25" t="s">
        <v>153</v>
      </c>
      <c r="L25" t="s">
        <v>200</v>
      </c>
      <c r="P25">
        <v>1</v>
      </c>
      <c r="Q25" t="s">
        <v>29</v>
      </c>
    </row>
    <row r="26" spans="1:17">
      <c r="A26" s="6" t="s">
        <v>11</v>
      </c>
      <c r="B26" s="7" t="s">
        <v>49</v>
      </c>
      <c r="C26" s="6" t="s">
        <v>31</v>
      </c>
      <c r="D26" s="6" t="s">
        <v>27</v>
      </c>
      <c r="E26" s="6" t="s">
        <v>27</v>
      </c>
      <c r="F26" s="6">
        <v>4</v>
      </c>
      <c r="G26" s="6" t="s">
        <v>6</v>
      </c>
      <c r="H26" s="6">
        <v>1</v>
      </c>
      <c r="K26" t="s">
        <v>153</v>
      </c>
      <c r="L26" t="s">
        <v>201</v>
      </c>
      <c r="P26">
        <v>1</v>
      </c>
      <c r="Q26" t="s">
        <v>29</v>
      </c>
    </row>
    <row r="27" spans="1:17">
      <c r="A27" s="6" t="s">
        <v>54</v>
      </c>
      <c r="B27" s="7"/>
      <c r="C27" s="6" t="s">
        <v>55</v>
      </c>
      <c r="D27" s="6" t="s">
        <v>56</v>
      </c>
      <c r="E27" s="6">
        <v>30674</v>
      </c>
      <c r="F27" s="6">
        <v>1</v>
      </c>
      <c r="G27" s="6" t="s">
        <v>6</v>
      </c>
      <c r="H27" s="6">
        <v>1</v>
      </c>
      <c r="K27" t="s">
        <v>153</v>
      </c>
      <c r="L27" t="s">
        <v>202</v>
      </c>
      <c r="P27">
        <v>1</v>
      </c>
      <c r="Q27" t="s">
        <v>29</v>
      </c>
    </row>
    <row r="28" spans="1:17">
      <c r="A28" s="6" t="s">
        <v>108</v>
      </c>
      <c r="B28" s="7" t="s">
        <v>122</v>
      </c>
      <c r="C28" s="6" t="s">
        <v>123</v>
      </c>
      <c r="D28" s="6"/>
      <c r="E28" s="6"/>
      <c r="F28" s="6">
        <v>2</v>
      </c>
      <c r="G28" s="6" t="s">
        <v>9</v>
      </c>
      <c r="H28" s="6">
        <v>1</v>
      </c>
      <c r="K28" t="s">
        <v>735</v>
      </c>
      <c r="L28" t="s">
        <v>203</v>
      </c>
      <c r="P28">
        <v>1</v>
      </c>
      <c r="Q28" t="s">
        <v>29</v>
      </c>
    </row>
    <row r="29" spans="1:17">
      <c r="A29" s="6" t="s">
        <v>108</v>
      </c>
      <c r="B29" s="7" t="s">
        <v>122</v>
      </c>
      <c r="C29" s="6" t="s">
        <v>124</v>
      </c>
      <c r="D29" s="6"/>
      <c r="E29" s="6"/>
      <c r="F29" s="6">
        <v>1</v>
      </c>
      <c r="G29" s="6" t="s">
        <v>9</v>
      </c>
      <c r="H29" s="6">
        <v>1</v>
      </c>
      <c r="K29" t="s">
        <v>153</v>
      </c>
      <c r="L29" t="s">
        <v>204</v>
      </c>
      <c r="P29">
        <v>2</v>
      </c>
      <c r="Q29" t="s">
        <v>29</v>
      </c>
    </row>
    <row r="30" spans="1:17">
      <c r="A30" s="6" t="s">
        <v>132</v>
      </c>
      <c r="B30" s="7" t="s">
        <v>133</v>
      </c>
      <c r="C30" s="6"/>
      <c r="D30" s="6" t="s">
        <v>134</v>
      </c>
      <c r="E30" s="6" t="s">
        <v>135</v>
      </c>
      <c r="F30" s="6">
        <v>1</v>
      </c>
      <c r="G30" s="6" t="s">
        <v>9</v>
      </c>
      <c r="H30" s="6">
        <v>1</v>
      </c>
      <c r="K30" t="s">
        <v>153</v>
      </c>
      <c r="L30" t="s">
        <v>205</v>
      </c>
      <c r="P30">
        <v>1</v>
      </c>
      <c r="Q30" t="s">
        <v>29</v>
      </c>
    </row>
    <row r="31" spans="1:17">
      <c r="A31" s="6" t="s">
        <v>129</v>
      </c>
      <c r="B31" s="7" t="s">
        <v>1091</v>
      </c>
      <c r="C31" s="6" t="s">
        <v>726</v>
      </c>
      <c r="D31" s="6" t="s">
        <v>131</v>
      </c>
      <c r="E31" s="6">
        <v>1078949</v>
      </c>
      <c r="F31" s="6">
        <v>1</v>
      </c>
      <c r="G31" s="6" t="s">
        <v>9</v>
      </c>
      <c r="H31" s="6">
        <v>1</v>
      </c>
      <c r="K31" t="s">
        <v>153</v>
      </c>
      <c r="L31" t="s">
        <v>206</v>
      </c>
      <c r="P31">
        <v>1</v>
      </c>
      <c r="Q31" t="s">
        <v>29</v>
      </c>
    </row>
    <row r="32" spans="1:17">
      <c r="A32" s="6" t="s">
        <v>11</v>
      </c>
      <c r="B32" s="7" t="s">
        <v>116</v>
      </c>
      <c r="C32" s="6" t="s">
        <v>117</v>
      </c>
      <c r="D32" s="6"/>
      <c r="E32" s="6"/>
      <c r="F32" s="6">
        <v>2</v>
      </c>
      <c r="G32" s="6" t="s">
        <v>9</v>
      </c>
      <c r="H32" s="6">
        <v>1</v>
      </c>
      <c r="K32" t="s">
        <v>466</v>
      </c>
      <c r="L32" t="s">
        <v>525</v>
      </c>
      <c r="P32">
        <v>20</v>
      </c>
      <c r="Q32" t="s">
        <v>523</v>
      </c>
    </row>
    <row r="33" spans="1:17">
      <c r="A33" s="6" t="s">
        <v>11</v>
      </c>
      <c r="B33" s="7" t="s">
        <v>57</v>
      </c>
      <c r="C33" s="6" t="s">
        <v>79</v>
      </c>
      <c r="D33" s="6"/>
      <c r="E33" s="6"/>
      <c r="F33" s="6">
        <v>5</v>
      </c>
      <c r="G33" s="6" t="s">
        <v>9</v>
      </c>
      <c r="H33" s="6">
        <v>1</v>
      </c>
      <c r="K33" t="s">
        <v>390</v>
      </c>
      <c r="L33" t="s">
        <v>1088</v>
      </c>
      <c r="M33" t="s">
        <v>520</v>
      </c>
      <c r="P33">
        <v>2</v>
      </c>
      <c r="Q33" t="s">
        <v>93</v>
      </c>
    </row>
    <row r="34" spans="1:17">
      <c r="A34" s="6" t="s">
        <v>11</v>
      </c>
      <c r="B34" s="7" t="s">
        <v>118</v>
      </c>
      <c r="C34" s="6" t="s">
        <v>119</v>
      </c>
      <c r="D34" s="6"/>
      <c r="E34" s="6"/>
      <c r="F34" s="6">
        <v>1</v>
      </c>
      <c r="G34" s="6" t="s">
        <v>9</v>
      </c>
      <c r="H34" s="6">
        <v>1</v>
      </c>
      <c r="K34" t="s">
        <v>390</v>
      </c>
      <c r="L34" t="s">
        <v>820</v>
      </c>
      <c r="M34" t="s">
        <v>629</v>
      </c>
      <c r="P34">
        <v>2</v>
      </c>
      <c r="Q34" t="s">
        <v>93</v>
      </c>
    </row>
    <row r="35" spans="1:17">
      <c r="A35" s="6" t="s">
        <v>11</v>
      </c>
      <c r="B35" s="7" t="s">
        <v>120</v>
      </c>
      <c r="C35" s="6" t="s">
        <v>121</v>
      </c>
      <c r="D35" s="6"/>
      <c r="E35" s="6"/>
      <c r="F35" s="6">
        <v>1</v>
      </c>
      <c r="G35" s="6" t="s">
        <v>9</v>
      </c>
      <c r="H35" s="6">
        <v>1</v>
      </c>
      <c r="K35" t="s">
        <v>390</v>
      </c>
      <c r="L35" t="s">
        <v>1090</v>
      </c>
      <c r="M35" t="s">
        <v>627</v>
      </c>
      <c r="P35">
        <v>3</v>
      </c>
      <c r="Q35" t="s">
        <v>93</v>
      </c>
    </row>
    <row r="36" spans="1:17">
      <c r="A36" s="6" t="s">
        <v>11</v>
      </c>
      <c r="B36" s="7" t="s">
        <v>118</v>
      </c>
      <c r="C36" s="6" t="s">
        <v>121</v>
      </c>
      <c r="D36" s="6"/>
      <c r="E36" s="6"/>
      <c r="F36" s="6">
        <v>1</v>
      </c>
      <c r="G36" s="6" t="s">
        <v>9</v>
      </c>
      <c r="H36" s="6">
        <v>1</v>
      </c>
      <c r="K36" t="s">
        <v>390</v>
      </c>
      <c r="L36" t="s">
        <v>1089</v>
      </c>
      <c r="M36" t="s">
        <v>628</v>
      </c>
      <c r="P36">
        <v>6</v>
      </c>
      <c r="Q36" t="s">
        <v>93</v>
      </c>
    </row>
    <row r="37" spans="1:17">
      <c r="A37" s="6" t="s">
        <v>170</v>
      </c>
      <c r="B37" s="7"/>
      <c r="C37" s="6" t="s">
        <v>63</v>
      </c>
      <c r="D37" s="6"/>
      <c r="E37" s="6"/>
      <c r="F37" s="6">
        <v>1</v>
      </c>
      <c r="G37" s="6" t="s">
        <v>10</v>
      </c>
      <c r="H37" s="6">
        <v>1</v>
      </c>
    </row>
    <row r="38" spans="1:17">
      <c r="A38" s="6" t="s">
        <v>171</v>
      </c>
      <c r="B38" s="7"/>
      <c r="C38" s="6" t="s">
        <v>232</v>
      </c>
      <c r="D38" s="6"/>
      <c r="E38" s="6"/>
      <c r="F38" s="6">
        <v>1</v>
      </c>
      <c r="G38" s="6" t="s">
        <v>10</v>
      </c>
      <c r="H38" s="6">
        <v>1</v>
      </c>
    </row>
    <row r="39" spans="1:17">
      <c r="A39" s="6" t="s">
        <v>153</v>
      </c>
      <c r="B39" s="7" t="s">
        <v>173</v>
      </c>
      <c r="C39" s="6"/>
      <c r="D39" s="6"/>
      <c r="E39" s="6"/>
      <c r="F39" s="6">
        <v>1</v>
      </c>
      <c r="G39" s="6" t="s">
        <v>10</v>
      </c>
      <c r="H39" s="6">
        <v>1</v>
      </c>
    </row>
    <row r="40" spans="1:17">
      <c r="A40" s="6" t="s">
        <v>153</v>
      </c>
      <c r="B40" s="7" t="s">
        <v>174</v>
      </c>
      <c r="C40" s="6"/>
      <c r="D40" s="6"/>
      <c r="E40" s="6"/>
      <c r="F40" s="6">
        <v>3</v>
      </c>
      <c r="G40" s="6" t="s">
        <v>10</v>
      </c>
      <c r="H40" s="6">
        <v>1</v>
      </c>
    </row>
    <row r="41" spans="1:17">
      <c r="A41" s="6" t="s">
        <v>153</v>
      </c>
      <c r="B41" s="7" t="s">
        <v>175</v>
      </c>
      <c r="C41" s="6"/>
      <c r="D41" s="6"/>
      <c r="E41" s="6"/>
      <c r="F41" s="6">
        <v>1</v>
      </c>
      <c r="G41" s="6" t="s">
        <v>10</v>
      </c>
      <c r="H41" s="6">
        <v>1</v>
      </c>
    </row>
    <row r="42" spans="1:17">
      <c r="A42" s="6" t="s">
        <v>12</v>
      </c>
      <c r="B42" s="7" t="s">
        <v>177</v>
      </c>
      <c r="C42" s="6"/>
      <c r="D42" s="6" t="s">
        <v>178</v>
      </c>
      <c r="E42" s="6" t="s">
        <v>180</v>
      </c>
      <c r="F42" s="6">
        <v>1</v>
      </c>
      <c r="G42" s="6" t="s">
        <v>10</v>
      </c>
      <c r="H42" s="6">
        <v>1</v>
      </c>
    </row>
    <row r="43" spans="1:17">
      <c r="A43" s="6" t="s">
        <v>12</v>
      </c>
      <c r="B43" s="7" t="s">
        <v>176</v>
      </c>
      <c r="C43" s="6" t="s">
        <v>181</v>
      </c>
      <c r="D43" s="6" t="s">
        <v>183</v>
      </c>
      <c r="E43" s="6" t="s">
        <v>182</v>
      </c>
      <c r="F43" s="6">
        <v>1</v>
      </c>
      <c r="G43" s="6" t="s">
        <v>10</v>
      </c>
      <c r="H43" s="6">
        <v>1</v>
      </c>
    </row>
    <row r="44" spans="1:17">
      <c r="A44" s="6" t="s">
        <v>12</v>
      </c>
      <c r="B44" s="7" t="s">
        <v>176</v>
      </c>
      <c r="C44" s="6" t="s">
        <v>184</v>
      </c>
      <c r="D44" s="6" t="s">
        <v>179</v>
      </c>
      <c r="E44" s="6"/>
      <c r="F44" s="6">
        <v>1</v>
      </c>
      <c r="G44" s="6" t="s">
        <v>10</v>
      </c>
      <c r="H44" s="6">
        <v>1</v>
      </c>
    </row>
    <row r="45" spans="1:17">
      <c r="A45" s="6" t="s">
        <v>172</v>
      </c>
      <c r="B45" s="7"/>
      <c r="C45" s="6" t="s">
        <v>233</v>
      </c>
      <c r="D45" s="6"/>
      <c r="E45" s="6"/>
      <c r="F45" s="6">
        <v>1</v>
      </c>
      <c r="G45" s="6" t="s">
        <v>10</v>
      </c>
      <c r="H45" s="6">
        <v>1</v>
      </c>
    </row>
    <row r="46" spans="1:17">
      <c r="A46" s="6" t="s">
        <v>11</v>
      </c>
      <c r="B46" s="7" t="s">
        <v>527</v>
      </c>
      <c r="C46" s="6" t="s">
        <v>79</v>
      </c>
      <c r="D46" s="6" t="s">
        <v>27</v>
      </c>
      <c r="E46" s="6" t="s">
        <v>27</v>
      </c>
      <c r="F46" s="6">
        <v>1</v>
      </c>
      <c r="G46" s="6" t="s">
        <v>5</v>
      </c>
      <c r="H46" s="6">
        <v>1</v>
      </c>
    </row>
    <row r="47" spans="1:17">
      <c r="A47" s="6" t="s">
        <v>11</v>
      </c>
      <c r="B47" s="7" t="s">
        <v>528</v>
      </c>
      <c r="C47" s="6" t="s">
        <v>30</v>
      </c>
      <c r="D47" s="6" t="s">
        <v>27</v>
      </c>
      <c r="E47" s="6" t="s">
        <v>27</v>
      </c>
      <c r="F47" s="6">
        <v>4</v>
      </c>
      <c r="G47" s="6" t="s">
        <v>5</v>
      </c>
      <c r="H47" s="6">
        <v>1</v>
      </c>
    </row>
    <row r="48" spans="1:17">
      <c r="A48" s="6" t="s">
        <v>12</v>
      </c>
      <c r="B48" s="7" t="s">
        <v>529</v>
      </c>
      <c r="C48" s="6"/>
      <c r="D48" s="6"/>
      <c r="E48" s="6"/>
      <c r="F48" s="6">
        <v>1</v>
      </c>
      <c r="G48" s="6" t="s">
        <v>5</v>
      </c>
      <c r="H48" s="6">
        <v>1</v>
      </c>
    </row>
    <row r="49" spans="1:8" ht="30">
      <c r="A49" s="6" t="s">
        <v>44</v>
      </c>
      <c r="B49" s="7" t="s">
        <v>530</v>
      </c>
      <c r="C49" s="6" t="s">
        <v>64</v>
      </c>
      <c r="D49" s="6"/>
      <c r="E49" s="6"/>
      <c r="F49" s="6">
        <v>1</v>
      </c>
      <c r="G49" s="6" t="s">
        <v>5</v>
      </c>
      <c r="H49" s="6">
        <v>1</v>
      </c>
    </row>
    <row r="50" spans="1:8" ht="30">
      <c r="A50" s="6" t="s">
        <v>153</v>
      </c>
      <c r="B50" s="7" t="s">
        <v>1092</v>
      </c>
      <c r="C50" s="6"/>
      <c r="D50" s="6"/>
      <c r="E50" s="6"/>
      <c r="F50" s="6">
        <v>1</v>
      </c>
      <c r="G50" s="6" t="s">
        <v>10</v>
      </c>
      <c r="H50" s="6">
        <v>1</v>
      </c>
    </row>
    <row r="51" spans="1:8">
      <c r="A51" s="6" t="s">
        <v>153</v>
      </c>
      <c r="B51" s="7" t="s">
        <v>595</v>
      </c>
      <c r="C51" s="6"/>
      <c r="D51" s="6"/>
      <c r="E51" s="6"/>
      <c r="F51" s="6">
        <v>1</v>
      </c>
      <c r="G51" s="6" t="s">
        <v>10</v>
      </c>
      <c r="H51" s="6">
        <v>1</v>
      </c>
    </row>
    <row r="52" spans="1:8">
      <c r="A52" s="6" t="s">
        <v>99</v>
      </c>
      <c r="B52" s="7" t="s">
        <v>100</v>
      </c>
      <c r="C52" s="6"/>
      <c r="D52" s="6" t="s">
        <v>96</v>
      </c>
      <c r="E52" s="6">
        <v>150181011</v>
      </c>
      <c r="F52" s="6">
        <v>2</v>
      </c>
      <c r="G52" s="6" t="s">
        <v>8</v>
      </c>
      <c r="H52" s="6">
        <v>2</v>
      </c>
    </row>
    <row r="53" spans="1:8">
      <c r="A53" s="6" t="s">
        <v>99</v>
      </c>
      <c r="B53" s="7" t="s">
        <v>101</v>
      </c>
      <c r="C53" s="6" t="s">
        <v>102</v>
      </c>
      <c r="D53" s="6"/>
      <c r="E53" s="6"/>
      <c r="F53" s="6">
        <v>1</v>
      </c>
      <c r="G53" s="6" t="s">
        <v>8</v>
      </c>
      <c r="H53" s="6">
        <v>2</v>
      </c>
    </row>
    <row r="54" spans="1:8">
      <c r="A54" s="6" t="s">
        <v>99</v>
      </c>
      <c r="B54" s="7" t="s">
        <v>101</v>
      </c>
      <c r="C54" s="6" t="s">
        <v>103</v>
      </c>
      <c r="D54" s="6"/>
      <c r="E54" s="6"/>
      <c r="F54" s="6">
        <v>1</v>
      </c>
      <c r="G54" s="6" t="s">
        <v>8</v>
      </c>
      <c r="H54" s="6">
        <v>2</v>
      </c>
    </row>
    <row r="55" spans="1:8">
      <c r="A55" s="6" t="s">
        <v>99</v>
      </c>
      <c r="B55" s="7" t="s">
        <v>112</v>
      </c>
      <c r="C55" s="6"/>
      <c r="D55" s="6" t="s">
        <v>96</v>
      </c>
      <c r="E55" s="6"/>
      <c r="F55" s="6">
        <v>2</v>
      </c>
      <c r="G55" s="6" t="s">
        <v>8</v>
      </c>
      <c r="H55" s="6">
        <v>2</v>
      </c>
    </row>
    <row r="56" spans="1:8">
      <c r="A56" s="6" t="s">
        <v>108</v>
      </c>
      <c r="B56" s="7" t="s">
        <v>109</v>
      </c>
      <c r="C56" s="6" t="s">
        <v>125</v>
      </c>
      <c r="D56" s="6"/>
      <c r="E56" s="6"/>
      <c r="F56" s="6">
        <v>2</v>
      </c>
      <c r="G56" s="6" t="s">
        <v>8</v>
      </c>
      <c r="H56" s="6">
        <v>2</v>
      </c>
    </row>
    <row r="57" spans="1:8">
      <c r="A57" s="6" t="s">
        <v>108</v>
      </c>
      <c r="B57" s="7" t="s">
        <v>113</v>
      </c>
      <c r="C57" s="6" t="s">
        <v>126</v>
      </c>
      <c r="D57" s="6"/>
      <c r="E57" s="6"/>
      <c r="F57" s="6">
        <v>1</v>
      </c>
      <c r="G57" s="6" t="s">
        <v>8</v>
      </c>
      <c r="H57" s="6">
        <v>2</v>
      </c>
    </row>
    <row r="58" spans="1:8">
      <c r="A58" s="6" t="s">
        <v>238</v>
      </c>
      <c r="B58" s="7"/>
      <c r="C58" s="6"/>
      <c r="D58" s="6" t="s">
        <v>96</v>
      </c>
      <c r="E58" s="6"/>
      <c r="F58" s="6">
        <v>1</v>
      </c>
      <c r="G58" s="6" t="s">
        <v>8</v>
      </c>
      <c r="H58" s="6">
        <v>2</v>
      </c>
    </row>
    <row r="59" spans="1:8">
      <c r="A59" s="6" t="s">
        <v>104</v>
      </c>
      <c r="B59" s="7"/>
      <c r="C59" s="6" t="s">
        <v>106</v>
      </c>
      <c r="D59" s="6"/>
      <c r="E59" s="6"/>
      <c r="F59" s="6">
        <v>5</v>
      </c>
      <c r="G59" s="6" t="s">
        <v>8</v>
      </c>
      <c r="H59" s="6">
        <v>2</v>
      </c>
    </row>
    <row r="60" spans="1:8">
      <c r="A60" s="6" t="s">
        <v>110</v>
      </c>
      <c r="B60" s="7" t="s">
        <v>111</v>
      </c>
      <c r="C60" s="6"/>
      <c r="D60" s="6"/>
      <c r="E60" s="6"/>
      <c r="F60" s="6">
        <v>1</v>
      </c>
      <c r="G60" s="6" t="s">
        <v>8</v>
      </c>
      <c r="H60" s="6">
        <v>2</v>
      </c>
    </row>
    <row r="61" spans="1:8">
      <c r="A61" s="6" t="s">
        <v>240</v>
      </c>
      <c r="B61" s="7" t="s">
        <v>98</v>
      </c>
      <c r="C61" s="6"/>
      <c r="D61" s="6" t="s">
        <v>1086</v>
      </c>
      <c r="E61" s="6"/>
      <c r="F61" s="6">
        <v>1</v>
      </c>
      <c r="G61" s="6" t="s">
        <v>8</v>
      </c>
      <c r="H61" s="6">
        <v>2</v>
      </c>
    </row>
    <row r="62" spans="1:8">
      <c r="A62" s="6" t="s">
        <v>136</v>
      </c>
      <c r="B62" s="7"/>
      <c r="C62" s="6"/>
      <c r="D62" s="6"/>
      <c r="E62" s="6"/>
      <c r="F62" s="6">
        <v>2</v>
      </c>
      <c r="G62" s="6" t="s">
        <v>10</v>
      </c>
      <c r="H62" s="6">
        <v>2</v>
      </c>
    </row>
    <row r="63" spans="1:8">
      <c r="A63" s="6" t="s">
        <v>92</v>
      </c>
      <c r="B63" s="7" t="str">
        <f>bolso("Caja de tacos",Table6[])</f>
        <v xml:space="preserve">Caja de tacos Contiene: </v>
      </c>
      <c r="C63" s="6"/>
      <c r="D63" s="6"/>
      <c r="E63" s="6"/>
      <c r="F63" s="6">
        <v>1</v>
      </c>
      <c r="G63" s="6" t="s">
        <v>10</v>
      </c>
      <c r="H63" s="6">
        <v>2</v>
      </c>
    </row>
    <row r="64" spans="1:8">
      <c r="A64" s="6" t="s">
        <v>140</v>
      </c>
      <c r="B64" s="7"/>
      <c r="C64" s="6"/>
      <c r="D64" s="6"/>
      <c r="E64" s="6"/>
      <c r="F64" s="6">
        <v>1</v>
      </c>
      <c r="G64" s="6" t="s">
        <v>10</v>
      </c>
      <c r="H64" s="6">
        <v>2</v>
      </c>
    </row>
    <row r="65" spans="1:8">
      <c r="A65" s="6" t="s">
        <v>151</v>
      </c>
      <c r="B65" s="7" t="s">
        <v>152</v>
      </c>
      <c r="C65" s="6"/>
      <c r="D65" s="6"/>
      <c r="E65" s="6"/>
      <c r="F65" s="6">
        <v>1</v>
      </c>
      <c r="G65" s="6" t="s">
        <v>10</v>
      </c>
      <c r="H65" s="6">
        <v>2</v>
      </c>
    </row>
    <row r="66" spans="1:8">
      <c r="A66" s="6" t="s">
        <v>153</v>
      </c>
      <c r="B66" s="7" t="s">
        <v>162</v>
      </c>
      <c r="C66" s="6" t="s">
        <v>163</v>
      </c>
      <c r="D66" s="6"/>
      <c r="E66" s="6"/>
      <c r="F66" s="6">
        <v>1</v>
      </c>
      <c r="G66" s="6" t="s">
        <v>10</v>
      </c>
      <c r="H66" s="6">
        <v>2</v>
      </c>
    </row>
    <row r="67" spans="1:8">
      <c r="A67" s="6" t="s">
        <v>153</v>
      </c>
      <c r="B67" s="7" t="s">
        <v>162</v>
      </c>
      <c r="C67" s="6" t="s">
        <v>164</v>
      </c>
      <c r="D67" s="6"/>
      <c r="E67" s="6"/>
      <c r="F67" s="6">
        <v>1</v>
      </c>
      <c r="G67" s="6" t="s">
        <v>10</v>
      </c>
      <c r="H67" s="6">
        <v>2</v>
      </c>
    </row>
    <row r="68" spans="1:8">
      <c r="A68" s="6" t="s">
        <v>153</v>
      </c>
      <c r="B68" s="7" t="s">
        <v>165</v>
      </c>
      <c r="C68" s="6" t="s">
        <v>155</v>
      </c>
      <c r="D68" s="6"/>
      <c r="E68" s="6"/>
      <c r="F68" s="6">
        <v>1</v>
      </c>
      <c r="G68" s="6" t="s">
        <v>10</v>
      </c>
      <c r="H68" s="6">
        <v>2</v>
      </c>
    </row>
    <row r="69" spans="1:8">
      <c r="A69" s="6" t="s">
        <v>153</v>
      </c>
      <c r="B69" s="7" t="s">
        <v>165</v>
      </c>
      <c r="C69" s="6" t="s">
        <v>163</v>
      </c>
      <c r="D69" s="6"/>
      <c r="E69" s="6"/>
      <c r="F69" s="6">
        <v>1</v>
      </c>
      <c r="G69" s="6" t="s">
        <v>10</v>
      </c>
      <c r="H69" s="6">
        <v>2</v>
      </c>
    </row>
    <row r="70" spans="1:8">
      <c r="A70" s="6" t="s">
        <v>153</v>
      </c>
      <c r="B70" s="7" t="s">
        <v>166</v>
      </c>
      <c r="C70" s="6"/>
      <c r="D70" s="6"/>
      <c r="E70" s="6"/>
      <c r="F70" s="6">
        <v>1</v>
      </c>
      <c r="G70" s="6" t="s">
        <v>10</v>
      </c>
      <c r="H70" s="6">
        <v>2</v>
      </c>
    </row>
    <row r="71" spans="1:8">
      <c r="A71" s="6" t="s">
        <v>153</v>
      </c>
      <c r="B71" s="7" t="s">
        <v>167</v>
      </c>
      <c r="C71" s="6"/>
      <c r="D71" s="6"/>
      <c r="E71" s="6"/>
      <c r="F71" s="6">
        <v>1</v>
      </c>
      <c r="G71" s="6" t="s">
        <v>10</v>
      </c>
      <c r="H71" s="6">
        <v>2</v>
      </c>
    </row>
    <row r="72" spans="1:8">
      <c r="A72" s="6" t="s">
        <v>153</v>
      </c>
      <c r="B72" s="7" t="s">
        <v>168</v>
      </c>
      <c r="C72" s="6"/>
      <c r="D72" s="6"/>
      <c r="E72" s="6"/>
      <c r="F72" s="6">
        <v>1</v>
      </c>
      <c r="G72" s="6" t="s">
        <v>10</v>
      </c>
      <c r="H72" s="6">
        <v>2</v>
      </c>
    </row>
    <row r="73" spans="1:8">
      <c r="A73" s="6" t="s">
        <v>153</v>
      </c>
      <c r="B73" s="7" t="s">
        <v>169</v>
      </c>
      <c r="C73" s="6" t="s">
        <v>163</v>
      </c>
      <c r="D73" s="6"/>
      <c r="E73" s="6"/>
      <c r="F73" s="6">
        <v>1</v>
      </c>
      <c r="G73" s="6" t="s">
        <v>10</v>
      </c>
      <c r="H73" s="6">
        <v>2</v>
      </c>
    </row>
    <row r="74" spans="1:8">
      <c r="A74" s="6" t="s">
        <v>137</v>
      </c>
      <c r="B74" s="7" t="s">
        <v>138</v>
      </c>
      <c r="C74" s="6" t="s">
        <v>139</v>
      </c>
      <c r="D74" s="6"/>
      <c r="E74" s="6"/>
      <c r="F74" s="6">
        <v>1</v>
      </c>
      <c r="G74" s="6" t="s">
        <v>10</v>
      </c>
      <c r="H74" s="6">
        <v>2</v>
      </c>
    </row>
    <row r="75" spans="1:8">
      <c r="A75" s="6" t="s">
        <v>148</v>
      </c>
      <c r="B75" s="7" t="s">
        <v>149</v>
      </c>
      <c r="C75" s="6" t="s">
        <v>150</v>
      </c>
      <c r="D75" s="6"/>
      <c r="E75" s="6"/>
      <c r="F75" s="6">
        <v>1</v>
      </c>
      <c r="G75" s="6" t="s">
        <v>10</v>
      </c>
      <c r="H75" s="6">
        <v>2</v>
      </c>
    </row>
    <row r="76" spans="1:8">
      <c r="A76" s="6" t="s">
        <v>141</v>
      </c>
      <c r="B76" s="7" t="s">
        <v>246</v>
      </c>
      <c r="C76" s="6"/>
      <c r="D76" s="6"/>
      <c r="E76" s="6"/>
      <c r="F76" s="6">
        <v>1</v>
      </c>
      <c r="G76" s="6" t="s">
        <v>10</v>
      </c>
      <c r="H76" s="6">
        <v>2</v>
      </c>
    </row>
    <row r="77" spans="1:8">
      <c r="A77" s="6" t="s">
        <v>141</v>
      </c>
      <c r="B77" s="7" t="s">
        <v>142</v>
      </c>
      <c r="C77" s="6"/>
      <c r="D77" s="6"/>
      <c r="E77" s="6"/>
      <c r="F77" s="6">
        <v>1</v>
      </c>
      <c r="G77" s="6" t="s">
        <v>10</v>
      </c>
      <c r="H77" s="6">
        <v>2</v>
      </c>
    </row>
    <row r="78" spans="1:8">
      <c r="A78" s="6" t="s">
        <v>141</v>
      </c>
      <c r="B78" s="7" t="s">
        <v>247</v>
      </c>
      <c r="C78" s="6"/>
      <c r="D78" s="6"/>
      <c r="E78" s="6"/>
      <c r="F78" s="6">
        <v>1</v>
      </c>
      <c r="G78" s="6" t="s">
        <v>10</v>
      </c>
      <c r="H78" s="6">
        <v>2</v>
      </c>
    </row>
    <row r="79" spans="1:8">
      <c r="A79" s="6" t="s">
        <v>153</v>
      </c>
      <c r="B79" s="7" t="s">
        <v>410</v>
      </c>
      <c r="C79" s="6"/>
      <c r="D79" s="6"/>
      <c r="E79" s="6"/>
      <c r="F79" s="6">
        <v>1</v>
      </c>
      <c r="G79" s="6" t="s">
        <v>10</v>
      </c>
      <c r="H79" s="6">
        <v>2</v>
      </c>
    </row>
    <row r="80" spans="1:8">
      <c r="A80" s="6" t="s">
        <v>87</v>
      </c>
      <c r="B80" s="7"/>
      <c r="C80" s="6"/>
      <c r="D80" s="6"/>
      <c r="E80" s="6"/>
      <c r="F80" s="6">
        <v>2</v>
      </c>
      <c r="G80" s="6" t="s">
        <v>10</v>
      </c>
      <c r="H80" s="6">
        <v>2</v>
      </c>
    </row>
    <row r="81" spans="1:8">
      <c r="A81" s="6" t="s">
        <v>12</v>
      </c>
      <c r="B81" s="7" t="s">
        <v>877</v>
      </c>
      <c r="C81" s="6"/>
      <c r="D81" s="6" t="s">
        <v>178</v>
      </c>
      <c r="E81" s="6">
        <v>701000481</v>
      </c>
      <c r="F81" s="6">
        <v>1</v>
      </c>
      <c r="G81" s="6" t="s">
        <v>10</v>
      </c>
      <c r="H81" s="6">
        <v>2</v>
      </c>
    </row>
    <row r="82" spans="1:8">
      <c r="A82" s="6" t="s">
        <v>114</v>
      </c>
      <c r="B82" s="7"/>
      <c r="C82" s="6" t="s">
        <v>115</v>
      </c>
      <c r="D82" s="6"/>
      <c r="E82" s="6"/>
      <c r="F82" s="6">
        <v>1</v>
      </c>
      <c r="G82" s="6" t="s">
        <v>8</v>
      </c>
      <c r="H82" s="6">
        <v>3</v>
      </c>
    </row>
    <row r="83" spans="1:8">
      <c r="A83" s="6" t="s">
        <v>114</v>
      </c>
      <c r="B83" s="7"/>
      <c r="C83" s="6" t="s">
        <v>38</v>
      </c>
      <c r="D83" s="6"/>
      <c r="E83" s="6"/>
      <c r="F83" s="6">
        <v>1</v>
      </c>
      <c r="G83" s="6" t="s">
        <v>8</v>
      </c>
      <c r="H83" s="6">
        <v>3</v>
      </c>
    </row>
    <row r="84" spans="1:8">
      <c r="A84" s="6" t="s">
        <v>89</v>
      </c>
      <c r="B84" s="7"/>
      <c r="C84" s="6"/>
      <c r="D84" s="6"/>
      <c r="E84" s="6"/>
      <c r="F84" s="6">
        <v>3</v>
      </c>
      <c r="G84" s="6" t="s">
        <v>8</v>
      </c>
      <c r="H84" s="6">
        <v>3</v>
      </c>
    </row>
    <row r="85" spans="1:8">
      <c r="A85" s="6" t="s">
        <v>86</v>
      </c>
      <c r="B85" s="7"/>
      <c r="C85" s="6" t="s">
        <v>52</v>
      </c>
      <c r="D85" s="6"/>
      <c r="E85" s="6"/>
      <c r="F85" s="6">
        <v>1</v>
      </c>
      <c r="G85" s="6" t="s">
        <v>8</v>
      </c>
      <c r="H85" s="6">
        <v>3</v>
      </c>
    </row>
    <row r="86" spans="1:8">
      <c r="A86" s="6" t="s">
        <v>88</v>
      </c>
      <c r="B86" s="7" t="s">
        <v>1087</v>
      </c>
      <c r="C86" s="6"/>
      <c r="D86" s="6"/>
      <c r="E86" s="6"/>
      <c r="F86" s="6">
        <v>5</v>
      </c>
      <c r="G86" s="6" t="s">
        <v>8</v>
      </c>
      <c r="H86" s="6">
        <v>3</v>
      </c>
    </row>
    <row r="87" spans="1:8">
      <c r="A87" s="6" t="s">
        <v>90</v>
      </c>
      <c r="B87" s="7" t="s">
        <v>91</v>
      </c>
      <c r="C87" s="6"/>
      <c r="D87" s="6"/>
      <c r="E87" s="6"/>
      <c r="F87" s="6">
        <v>1</v>
      </c>
      <c r="G87" s="6" t="s">
        <v>8</v>
      </c>
      <c r="H87" s="6">
        <v>3</v>
      </c>
    </row>
    <row r="88" spans="1:8">
      <c r="A88" s="6" t="s">
        <v>157</v>
      </c>
      <c r="B88" s="7" t="s">
        <v>158</v>
      </c>
      <c r="C88" s="6" t="s">
        <v>159</v>
      </c>
      <c r="D88" s="6" t="s">
        <v>160</v>
      </c>
      <c r="E88" s="6"/>
      <c r="F88" s="6">
        <v>2</v>
      </c>
      <c r="G88" s="6" t="s">
        <v>10</v>
      </c>
      <c r="H88" s="6">
        <v>3</v>
      </c>
    </row>
    <row r="89" spans="1:8">
      <c r="A89" s="6" t="s">
        <v>157</v>
      </c>
      <c r="B89" s="7" t="s">
        <v>161</v>
      </c>
      <c r="C89" s="6" t="s">
        <v>159</v>
      </c>
      <c r="D89" s="6" t="s">
        <v>160</v>
      </c>
      <c r="E89" s="6"/>
      <c r="F89" s="6">
        <v>1</v>
      </c>
      <c r="G89" s="6" t="s">
        <v>10</v>
      </c>
      <c r="H89" s="6">
        <v>3</v>
      </c>
    </row>
    <row r="90" spans="1:8">
      <c r="A90" s="6" t="s">
        <v>153</v>
      </c>
      <c r="B90" s="7" t="s">
        <v>154</v>
      </c>
      <c r="C90" s="6" t="s">
        <v>155</v>
      </c>
      <c r="D90" s="6"/>
      <c r="E90" s="6"/>
      <c r="F90" s="6">
        <v>1</v>
      </c>
      <c r="G90" s="6" t="s">
        <v>10</v>
      </c>
      <c r="H90" s="6">
        <v>3</v>
      </c>
    </row>
    <row r="91" spans="1:8">
      <c r="A91" s="6" t="s">
        <v>153</v>
      </c>
      <c r="B91" s="7" t="s">
        <v>154</v>
      </c>
      <c r="C91" s="6" t="s">
        <v>245</v>
      </c>
      <c r="D91" s="6"/>
      <c r="E91" s="6"/>
      <c r="F91" s="6">
        <v>1</v>
      </c>
      <c r="G91" s="6" t="s">
        <v>10</v>
      </c>
      <c r="H91" s="6">
        <v>3</v>
      </c>
    </row>
    <row r="92" spans="1:8">
      <c r="A92" s="6" t="s">
        <v>153</v>
      </c>
      <c r="B92" s="7" t="s">
        <v>244</v>
      </c>
      <c r="C92" s="6"/>
      <c r="D92" s="6"/>
      <c r="E92" s="6"/>
      <c r="F92" s="6">
        <v>1</v>
      </c>
      <c r="G92" s="6" t="s">
        <v>10</v>
      </c>
      <c r="H92" s="6">
        <v>3</v>
      </c>
    </row>
    <row r="93" spans="1:8">
      <c r="A93" s="6" t="s">
        <v>153</v>
      </c>
      <c r="B93" s="7" t="s">
        <v>156</v>
      </c>
      <c r="C93" s="6"/>
      <c r="D93" s="6"/>
      <c r="E93" s="6"/>
      <c r="F93" s="6">
        <v>1</v>
      </c>
      <c r="G93" s="6" t="s">
        <v>10</v>
      </c>
      <c r="H93" s="6">
        <v>3</v>
      </c>
    </row>
    <row r="94" spans="1:8" ht="30">
      <c r="A94" s="6" t="s">
        <v>92</v>
      </c>
      <c r="B94" s="7" t="str">
        <f>bolso("Caja de tacos 1",Table6[])</f>
        <v xml:space="preserve">Caja de tacos 1 Contiene:  Tacos varios pequeños x20, </v>
      </c>
      <c r="C94" s="6"/>
      <c r="D94" s="6"/>
      <c r="E94" s="6"/>
      <c r="F94" s="6">
        <v>1</v>
      </c>
      <c r="G94" s="6" t="s">
        <v>8</v>
      </c>
      <c r="H94" s="6">
        <v>3</v>
      </c>
    </row>
    <row r="95" spans="1:8" ht="60">
      <c r="A95" s="6" t="s">
        <v>92</v>
      </c>
      <c r="B95" s="7" t="str">
        <f>bolso("Bolso de collares",Table6[])</f>
        <v xml:space="preserve">Bolso de collares Contiene:  Collar cervical chico x2,  Collar cervical pediatrico x2,  Collar cervical mediano x3,  Collar cervical Grande x6, </v>
      </c>
      <c r="C95" s="6"/>
      <c r="D95" s="6"/>
      <c r="E95" s="6"/>
      <c r="F95" s="6"/>
      <c r="G95" s="6" t="s">
        <v>8</v>
      </c>
      <c r="H95" s="6">
        <v>3</v>
      </c>
    </row>
    <row r="96" spans="1:8">
      <c r="A96" s="6" t="s">
        <v>83</v>
      </c>
      <c r="B96" s="7" t="s">
        <v>241</v>
      </c>
      <c r="C96" s="6"/>
      <c r="D96" s="6"/>
      <c r="E96" s="6"/>
      <c r="F96" s="6">
        <v>1</v>
      </c>
      <c r="G96" s="6" t="s">
        <v>8</v>
      </c>
      <c r="H96" s="6">
        <v>4</v>
      </c>
    </row>
    <row r="97" spans="1:8">
      <c r="A97" s="6" t="s">
        <v>80</v>
      </c>
      <c r="B97" s="7" t="s">
        <v>81</v>
      </c>
      <c r="C97" s="6"/>
      <c r="D97" s="6" t="s">
        <v>82</v>
      </c>
      <c r="E97" s="6">
        <v>25</v>
      </c>
      <c r="F97" s="6">
        <v>1</v>
      </c>
      <c r="G97" s="6" t="s">
        <v>8</v>
      </c>
      <c r="H97" s="6">
        <v>4</v>
      </c>
    </row>
    <row r="98" spans="1:8" ht="30">
      <c r="A98" s="6" t="s">
        <v>80</v>
      </c>
      <c r="B98" s="7" t="s">
        <v>84</v>
      </c>
      <c r="C98" s="6"/>
      <c r="D98" s="6"/>
      <c r="E98" s="6"/>
      <c r="F98" s="6">
        <v>1</v>
      </c>
      <c r="G98" s="6" t="s">
        <v>8</v>
      </c>
      <c r="H98" s="6">
        <v>4</v>
      </c>
    </row>
    <row r="99" spans="1:8">
      <c r="A99" s="6" t="s">
        <v>237</v>
      </c>
      <c r="B99" s="7" t="s">
        <v>94</v>
      </c>
      <c r="C99" s="6"/>
      <c r="D99" s="6"/>
      <c r="E99" s="6"/>
      <c r="F99" s="6">
        <v>1</v>
      </c>
      <c r="G99" s="6" t="s">
        <v>8</v>
      </c>
      <c r="H99" s="6">
        <v>4</v>
      </c>
    </row>
    <row r="100" spans="1:8">
      <c r="A100" s="6" t="s">
        <v>187</v>
      </c>
      <c r="B100" s="7"/>
      <c r="C100" s="6"/>
      <c r="D100" s="6"/>
      <c r="E100" s="6"/>
      <c r="F100" s="6">
        <v>2</v>
      </c>
      <c r="G100" s="6" t="s">
        <v>7</v>
      </c>
      <c r="H100" s="6" t="s">
        <v>229</v>
      </c>
    </row>
    <row r="101" spans="1:8">
      <c r="A101" s="6" t="s">
        <v>153</v>
      </c>
      <c r="B101" s="7" t="s">
        <v>215</v>
      </c>
      <c r="C101" s="6"/>
      <c r="D101" s="6"/>
      <c r="E101" s="6"/>
      <c r="F101" s="6">
        <v>1</v>
      </c>
      <c r="G101" s="6" t="s">
        <v>7</v>
      </c>
      <c r="H101" s="6" t="s">
        <v>229</v>
      </c>
    </row>
    <row r="102" spans="1:8">
      <c r="A102" s="6" t="s">
        <v>217</v>
      </c>
      <c r="B102" s="7" t="s">
        <v>218</v>
      </c>
      <c r="C102" s="6"/>
      <c r="D102" s="6"/>
      <c r="E102" s="6"/>
      <c r="F102" s="6">
        <v>1</v>
      </c>
      <c r="G102" s="6" t="s">
        <v>7</v>
      </c>
      <c r="H102" s="6" t="s">
        <v>229</v>
      </c>
    </row>
    <row r="103" spans="1:8" ht="30">
      <c r="A103" s="6" t="s">
        <v>59</v>
      </c>
      <c r="B103" s="7" t="s">
        <v>248</v>
      </c>
      <c r="C103" s="6"/>
      <c r="D103" s="6"/>
      <c r="E103" s="6"/>
      <c r="F103" s="6">
        <v>1</v>
      </c>
      <c r="G103" s="6" t="s">
        <v>7</v>
      </c>
      <c r="H103" s="6" t="s">
        <v>229</v>
      </c>
    </row>
    <row r="104" spans="1:8">
      <c r="A104" s="6" t="s">
        <v>59</v>
      </c>
      <c r="B104" s="7" t="s">
        <v>216</v>
      </c>
      <c r="C104" s="6"/>
      <c r="D104" s="6"/>
      <c r="E104" s="6"/>
      <c r="F104" s="6">
        <v>1</v>
      </c>
      <c r="G104" s="6" t="s">
        <v>7</v>
      </c>
      <c r="H104" s="6" t="s">
        <v>229</v>
      </c>
    </row>
    <row r="105" spans="1:8">
      <c r="A105" s="6" t="s">
        <v>11</v>
      </c>
      <c r="B105" s="7" t="s">
        <v>219</v>
      </c>
      <c r="C105" s="6" t="s">
        <v>79</v>
      </c>
      <c r="D105" s="6"/>
      <c r="E105" s="6"/>
      <c r="F105" s="6">
        <v>5</v>
      </c>
      <c r="G105" s="6" t="s">
        <v>7</v>
      </c>
      <c r="H105" s="6" t="s">
        <v>229</v>
      </c>
    </row>
    <row r="106" spans="1:8">
      <c r="A106" s="6" t="s">
        <v>11</v>
      </c>
      <c r="B106" s="7" t="s">
        <v>220</v>
      </c>
      <c r="C106" s="6" t="s">
        <v>117</v>
      </c>
      <c r="D106" s="6"/>
      <c r="E106" s="6"/>
      <c r="F106" s="6">
        <v>1</v>
      </c>
      <c r="G106" s="6" t="s">
        <v>7</v>
      </c>
      <c r="H106" s="6" t="s">
        <v>229</v>
      </c>
    </row>
    <row r="107" spans="1:8">
      <c r="A107" s="6" t="s">
        <v>249</v>
      </c>
      <c r="B107" s="7"/>
      <c r="C107" s="6"/>
      <c r="D107" s="6"/>
      <c r="E107" s="6"/>
      <c r="F107" s="6">
        <v>2</v>
      </c>
      <c r="G107" s="6" t="s">
        <v>7</v>
      </c>
      <c r="H107" s="6" t="s">
        <v>229</v>
      </c>
    </row>
    <row r="108" spans="1:8">
      <c r="A108" s="6" t="s">
        <v>172</v>
      </c>
      <c r="B108" s="7"/>
      <c r="C108" s="6" t="s">
        <v>531</v>
      </c>
      <c r="D108" s="6"/>
      <c r="E108" s="6"/>
      <c r="F108" s="6">
        <v>1</v>
      </c>
      <c r="G108" s="6" t="s">
        <v>7</v>
      </c>
      <c r="H108" s="6" t="s">
        <v>229</v>
      </c>
    </row>
    <row r="109" spans="1:8">
      <c r="A109" s="6" t="s">
        <v>188</v>
      </c>
      <c r="B109" s="7"/>
      <c r="C109" s="6"/>
      <c r="D109" s="6"/>
      <c r="E109" s="6"/>
      <c r="F109" s="6">
        <v>1</v>
      </c>
      <c r="G109" s="6" t="s">
        <v>7</v>
      </c>
      <c r="H109" s="6" t="s">
        <v>230</v>
      </c>
    </row>
    <row r="110" spans="1:8">
      <c r="A110" s="6" t="s">
        <v>222</v>
      </c>
      <c r="B110" s="7"/>
      <c r="C110" s="6"/>
      <c r="D110" s="6"/>
      <c r="E110" s="6"/>
      <c r="F110" s="6">
        <v>1</v>
      </c>
      <c r="G110" s="6" t="s">
        <v>7</v>
      </c>
      <c r="H110" s="6" t="s">
        <v>230</v>
      </c>
    </row>
    <row r="111" spans="1:8">
      <c r="A111" s="6" t="s">
        <v>153</v>
      </c>
      <c r="B111" s="7" t="s">
        <v>223</v>
      </c>
      <c r="C111" s="6"/>
      <c r="D111" s="6"/>
      <c r="E111" s="6"/>
      <c r="F111" s="6">
        <v>1</v>
      </c>
      <c r="G111" s="6" t="s">
        <v>7</v>
      </c>
      <c r="H111" s="6" t="s">
        <v>230</v>
      </c>
    </row>
    <row r="112" spans="1:8">
      <c r="A112" s="6" t="s">
        <v>153</v>
      </c>
      <c r="B112" s="7" t="s">
        <v>224</v>
      </c>
      <c r="C112" s="6"/>
      <c r="D112" s="6"/>
      <c r="E112" s="6"/>
      <c r="F112" s="6">
        <v>1</v>
      </c>
      <c r="G112" s="6" t="s">
        <v>7</v>
      </c>
      <c r="H112" s="6" t="s">
        <v>230</v>
      </c>
    </row>
    <row r="113" spans="1:8">
      <c r="A113" s="6" t="s">
        <v>153</v>
      </c>
      <c r="B113" s="7" t="s">
        <v>235</v>
      </c>
      <c r="C113" s="6"/>
      <c r="D113" s="6"/>
      <c r="E113" s="6"/>
      <c r="F113" s="6">
        <v>1</v>
      </c>
      <c r="G113" s="6" t="s">
        <v>7</v>
      </c>
      <c r="H113" s="6" t="s">
        <v>230</v>
      </c>
    </row>
    <row r="114" spans="1:8">
      <c r="A114" s="6" t="s">
        <v>153</v>
      </c>
      <c r="B114" s="7" t="s">
        <v>225</v>
      </c>
      <c r="C114" s="6"/>
      <c r="D114" s="6"/>
      <c r="E114" s="6"/>
      <c r="F114" s="6">
        <v>1</v>
      </c>
      <c r="G114" s="6" t="s">
        <v>7</v>
      </c>
      <c r="H114" s="6" t="s">
        <v>230</v>
      </c>
    </row>
    <row r="115" spans="1:8">
      <c r="A115" s="6" t="s">
        <v>114</v>
      </c>
      <c r="B115" s="7"/>
      <c r="C115" s="7" t="s">
        <v>532</v>
      </c>
      <c r="D115" s="6"/>
      <c r="E115" s="6"/>
      <c r="F115" s="6">
        <v>1</v>
      </c>
      <c r="G115" s="6" t="s">
        <v>7</v>
      </c>
      <c r="H115" s="6" t="s">
        <v>230</v>
      </c>
    </row>
    <row r="116" spans="1:8" ht="165">
      <c r="A116" s="6" t="s">
        <v>92</v>
      </c>
      <c r="B116" s="7" t="str">
        <f>bolso("Bolso de corte",Table6[])</f>
        <v xml:space="preserve">Bolso de corte Contiene:  Guantes dielectricos x1,  Alfombra dielectrica x0,  Martillo de goma x0,  Pinza de punta dielectrica x2,  Cuña de madera para gas x0,  Pinza dielectrica x1,  Alicate dielectrico x1,  Llave union x0,  Destornillador x4,  Llave cruz para ascensor x1,  Cutter x1,  juego de llaves alem x1,  Extractor de fusibles NH x1,  saca bujia x2,  Llave fija 9/16 x1,  Corta cinturon x1, </v>
      </c>
      <c r="C116" s="6"/>
      <c r="D116" s="6"/>
      <c r="E116" s="6"/>
      <c r="F116" s="6">
        <v>1</v>
      </c>
      <c r="G116" s="6" t="s">
        <v>7</v>
      </c>
      <c r="H116" s="6" t="s">
        <v>231</v>
      </c>
    </row>
    <row r="117" spans="1:8">
      <c r="A117" s="6" t="s">
        <v>212</v>
      </c>
      <c r="B117" s="7"/>
      <c r="C117" s="6"/>
      <c r="D117" s="6" t="s">
        <v>213</v>
      </c>
      <c r="E117" s="6">
        <v>8321127</v>
      </c>
      <c r="F117" s="6">
        <v>1</v>
      </c>
      <c r="G117" s="6" t="s">
        <v>7</v>
      </c>
      <c r="H117" s="6" t="s">
        <v>231</v>
      </c>
    </row>
    <row r="118" spans="1:8">
      <c r="A118" s="6" t="s">
        <v>187</v>
      </c>
      <c r="B118" s="7"/>
      <c r="C118" s="6"/>
      <c r="D118" s="6"/>
      <c r="E118" s="6"/>
      <c r="F118" s="6">
        <v>5</v>
      </c>
      <c r="G118" s="6" t="s">
        <v>7</v>
      </c>
      <c r="H118" s="6" t="s">
        <v>231</v>
      </c>
    </row>
    <row r="119" spans="1:8">
      <c r="A119" s="6" t="s">
        <v>238</v>
      </c>
      <c r="B119" s="7"/>
      <c r="C119" s="6"/>
      <c r="D119" s="7"/>
      <c r="E119" s="6"/>
      <c r="F119" s="6">
        <v>4</v>
      </c>
      <c r="G119" s="6" t="s">
        <v>7</v>
      </c>
      <c r="H119" s="6" t="s">
        <v>231</v>
      </c>
    </row>
    <row r="120" spans="1:8">
      <c r="A120" s="6" t="s">
        <v>189</v>
      </c>
      <c r="B120" s="7"/>
      <c r="C120" s="6"/>
      <c r="D120" s="6"/>
      <c r="E120" s="6"/>
      <c r="F120" s="6">
        <v>1</v>
      </c>
      <c r="G120" s="6" t="s">
        <v>7</v>
      </c>
      <c r="H120" s="6" t="s">
        <v>231</v>
      </c>
    </row>
    <row r="121" spans="1:8">
      <c r="A121" s="6" t="s">
        <v>185</v>
      </c>
      <c r="B121" s="7" t="s">
        <v>186</v>
      </c>
      <c r="C121" s="6"/>
      <c r="D121" s="6" t="s">
        <v>48</v>
      </c>
      <c r="E121" s="6"/>
      <c r="F121" s="6">
        <v>5</v>
      </c>
      <c r="G121" s="6" t="s">
        <v>7</v>
      </c>
      <c r="H121" s="6" t="s">
        <v>231</v>
      </c>
    </row>
    <row r="122" spans="1:8">
      <c r="A122" s="6" t="s">
        <v>207</v>
      </c>
      <c r="B122" s="7" t="s">
        <v>250</v>
      </c>
      <c r="C122" s="6"/>
      <c r="D122" s="6"/>
      <c r="E122" s="6"/>
      <c r="F122" s="6">
        <v>1</v>
      </c>
      <c r="G122" s="6" t="s">
        <v>7</v>
      </c>
      <c r="H122" s="6" t="s">
        <v>231</v>
      </c>
    </row>
    <row r="123" spans="1:8">
      <c r="A123" s="6" t="s">
        <v>209</v>
      </c>
      <c r="B123" s="7" t="s">
        <v>163</v>
      </c>
      <c r="C123" s="6"/>
      <c r="D123" s="6" t="s">
        <v>210</v>
      </c>
      <c r="E123" s="6"/>
      <c r="F123" s="6">
        <v>1</v>
      </c>
      <c r="G123" s="6" t="s">
        <v>7</v>
      </c>
      <c r="H123" s="6" t="s">
        <v>231</v>
      </c>
    </row>
    <row r="124" spans="1:8">
      <c r="A124" s="6" t="s">
        <v>209</v>
      </c>
      <c r="B124" s="7" t="s">
        <v>155</v>
      </c>
      <c r="C124" s="6"/>
      <c r="D124" s="6" t="s">
        <v>211</v>
      </c>
      <c r="E124" s="6"/>
      <c r="F124" s="6">
        <v>1</v>
      </c>
      <c r="G124" s="6" t="s">
        <v>7</v>
      </c>
      <c r="H124" s="6" t="s">
        <v>231</v>
      </c>
    </row>
    <row r="125" spans="1:8" ht="30">
      <c r="A125" s="6" t="s">
        <v>190</v>
      </c>
      <c r="B125" s="7" t="s">
        <v>191</v>
      </c>
      <c r="C125" s="6"/>
      <c r="D125" s="6"/>
      <c r="E125" s="6"/>
      <c r="F125" s="6">
        <v>1</v>
      </c>
      <c r="G125" s="6" t="s">
        <v>7</v>
      </c>
      <c r="H125" s="6" t="s">
        <v>231</v>
      </c>
    </row>
    <row r="126" spans="1:8">
      <c r="A126" s="6" t="s">
        <v>390</v>
      </c>
      <c r="B126" s="7"/>
      <c r="C126" s="6" t="s">
        <v>627</v>
      </c>
      <c r="D126" s="6"/>
      <c r="E126" s="6"/>
      <c r="F126" s="6">
        <v>2</v>
      </c>
      <c r="G126" s="6" t="s">
        <v>7</v>
      </c>
      <c r="H126" s="6" t="s">
        <v>231</v>
      </c>
    </row>
    <row r="127" spans="1:8">
      <c r="A127" s="6" t="s">
        <v>35</v>
      </c>
      <c r="B127" s="7" t="s">
        <v>39</v>
      </c>
      <c r="C127" s="6" t="s">
        <v>37</v>
      </c>
      <c r="D127" s="6" t="s">
        <v>27</v>
      </c>
      <c r="E127" s="6" t="s">
        <v>27</v>
      </c>
      <c r="F127" s="6">
        <v>1</v>
      </c>
      <c r="G127" s="6" t="s">
        <v>36</v>
      </c>
      <c r="H127" s="6" t="s">
        <v>36</v>
      </c>
    </row>
    <row r="128" spans="1:8">
      <c r="A128" s="6" t="s">
        <v>35</v>
      </c>
      <c r="B128" s="7" t="s">
        <v>39</v>
      </c>
      <c r="C128" s="6" t="s">
        <v>38</v>
      </c>
      <c r="D128" s="6" t="s">
        <v>27</v>
      </c>
      <c r="E128" s="6" t="s">
        <v>27</v>
      </c>
      <c r="F128" s="6">
        <v>1</v>
      </c>
      <c r="G128" s="6" t="s">
        <v>36</v>
      </c>
      <c r="H128" s="6" t="s">
        <v>36</v>
      </c>
    </row>
    <row r="129" spans="1:8">
      <c r="A129" s="6" t="s">
        <v>40</v>
      </c>
      <c r="B129" s="7" t="s">
        <v>42</v>
      </c>
      <c r="C129" s="6" t="s">
        <v>41</v>
      </c>
      <c r="D129" s="6" t="s">
        <v>27</v>
      </c>
      <c r="E129" s="6" t="s">
        <v>27</v>
      </c>
      <c r="F129" s="6">
        <v>2</v>
      </c>
      <c r="G129" s="6" t="s">
        <v>36</v>
      </c>
      <c r="H129" s="6" t="s">
        <v>36</v>
      </c>
    </row>
    <row r="130" spans="1:8">
      <c r="A130" s="6" t="s">
        <v>214</v>
      </c>
      <c r="B130" s="7"/>
      <c r="C130" s="6"/>
      <c r="D130" s="6"/>
      <c r="E130" s="6"/>
      <c r="F130" s="6">
        <v>2</v>
      </c>
      <c r="G130" s="6" t="s">
        <v>7</v>
      </c>
      <c r="H130" s="6" t="s">
        <v>231</v>
      </c>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row r="137" spans="1:8">
      <c r="A137" s="6"/>
      <c r="B137" s="7"/>
      <c r="C137" s="6"/>
      <c r="D137" s="6"/>
      <c r="E137" s="6"/>
      <c r="F137" s="6"/>
      <c r="G137" s="6"/>
      <c r="H137" s="6"/>
    </row>
    <row r="138" spans="1:8">
      <c r="A138" s="6"/>
      <c r="B138" s="7"/>
      <c r="C138" s="6"/>
      <c r="D138" s="6"/>
      <c r="E138" s="6"/>
      <c r="F138" s="6"/>
      <c r="G138" s="6"/>
      <c r="H138" s="6"/>
    </row>
    <row r="139" spans="1:8">
      <c r="A139" s="6"/>
      <c r="B139" s="7"/>
      <c r="C139" s="6"/>
      <c r="D139" s="6"/>
      <c r="E139" s="6"/>
      <c r="F139" s="6"/>
      <c r="G139" s="6"/>
      <c r="H139" s="6"/>
    </row>
  </sheetData>
  <mergeCells count="1">
    <mergeCell ref="Y3:AD3"/>
  </mergeCells>
  <dataValidations count="7">
    <dataValidation type="list" allowBlank="1" showInputMessage="1" showErrorMessage="1" sqref="K4:K36 A1:A1048576">
      <formula1>categorias</formula1>
    </dataValidation>
    <dataValidation type="list" allowBlank="1" showInputMessage="1" showErrorMessage="1" sqref="C1 C7:C8 C11 C14">
      <formula1>Medidas</formula1>
    </dataValidation>
    <dataValidation type="list" allowBlank="1" showInputMessage="1" showErrorMessage="1" sqref="P47:P1048576 M47:M1048576 U47:U1048576 P1:P3 M1:M3 U1:U3 H1:H123 H125 H126:H1048576">
      <formula1>INDEX(Compartimientos,0,MATCH(OFFSET(INDIRECT(ADDRESS(ROW(), COLUMN())),0,-1),Cajoneras,0))</formula1>
    </dataValidation>
    <dataValidation type="list" allowBlank="1" showInputMessage="1" showErrorMessage="1" sqref="W14 P4:P36 U4:U32">
      <formula1>INDEX(Medidas,0,MATCH(OFFSET(INDIRECT(ADDRESS(ROW(), COLUMN())),0,-1),categoriasDeMedidas,0))</formula1>
    </dataValidation>
    <dataValidation type="list" allowBlank="1" showInputMessage="1" showErrorMessage="1" sqref="Q4:Q13 Q16:Q31">
      <formula1>Bolsos</formula1>
    </dataValidation>
    <dataValidation type="list" allowBlank="1" showInputMessage="1" showErrorMessage="1" sqref="G135:G1048576 G1:G130">
      <formula1>Cajoneras</formula1>
    </dataValidation>
    <dataValidation type="list" allowBlank="1" showInputMessage="1" showErrorMessage="1" sqref="M4:M36">
      <formula1>INDEX(Medidas,0,MATCH(OFFSET(INDIRECT(ADDRESS(ROW(), COLUMN())),0,-2),categoriasDeMedidas,0))</formula1>
    </dataValidation>
  </dataValidations>
  <pageMargins left="0.70866141732283472" right="0.70866141732283472" top="0.74803149606299213" bottom="0.74803149606299213" header="0.31496062992125984" footer="0.31496062992125984"/>
  <pageSetup paperSize="9" scale="92" fitToHeight="0" orientation="landscape"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6">
        <x14:dataValidation type="list" allowBlank="1" showInputMessage="1" showErrorMessage="1" xr:uid="{B8E31177-2A12-49ED-98E6-1D4326E95F43}">
          <x14:formula1>
            <xm:f>Configuracion!$G$2:$G$3</xm:f>
          </x14:formula1>
          <xm:sqref>C23 C110:C111</xm:sqref>
        </x14:dataValidation>
        <x14:dataValidation type="list" allowBlank="1" showInputMessage="1" showErrorMessage="1" xr:uid="{063FE316-2FCE-4EF0-9B6A-ACD523F3FCFB}">
          <x14:formula1>
            <xm:f>Configuracion!$F$2:$F$5</xm:f>
          </x14:formula1>
          <xm:sqref>C13 C24:C25</xm:sqref>
        </x14:dataValidation>
        <x14:dataValidation type="list" allowBlank="1" showInputMessage="1" showErrorMessage="1" xr:uid="{D75B5B5C-1EA7-4193-9C88-D415C9A5EC93}">
          <x14:formula1>
            <xm:f>Configuracion!$F$2:$F$3</xm:f>
          </x14:formula1>
          <xm:sqref>C16</xm:sqref>
        </x14:dataValidation>
        <x14:dataValidation type="list" allowBlank="1" showInputMessage="1" showErrorMessage="1" xr:uid="{56E52602-2194-4E3B-A180-C6A3E82D63E4}">
          <x14:formula1>
            <xm:f>Configuracion!$N$2:$N$6</xm:f>
          </x14:formula1>
          <xm:sqref>C5</xm:sqref>
        </x14:dataValidation>
        <x14:dataValidation type="list" allowBlank="1" showInputMessage="1" showErrorMessage="1" xr:uid="{038E3EAE-F895-4B47-9AAB-FAC660AFCCB9}">
          <x14:formula1>
            <xm:f>Configuracion!$F$2:$F$6</xm:f>
          </x14:formula1>
          <xm:sqref>C26</xm:sqref>
        </x14:dataValidation>
        <x14:dataValidation type="list" allowBlank="1" showInputMessage="1" showErrorMessage="1" xr:uid="{6457681C-60DB-4D20-AED2-86506039851F}">
          <x14:formula1>
            <xm:f>Configuracion!$F$2:$F$7</xm:f>
          </x14:formula1>
          <xm:sqref>C28</xm:sqref>
        </x14:dataValidation>
        <x14:dataValidation type="list" allowBlank="1" showInputMessage="1" showErrorMessage="1" xr:uid="{D92F6585-F7E1-409D-BFF5-6A89DACAE715}">
          <x14:formula1>
            <xm:f>Configuracion!$O$2:$O$7</xm:f>
          </x14:formula1>
          <xm:sqref>C34</xm:sqref>
        </x14:dataValidation>
        <x14:dataValidation type="list" allowBlank="1" showInputMessage="1" showErrorMessage="1" xr:uid="{8F00840D-84C8-4945-BB5B-E263E512F830}">
          <x14:formula1>
            <xm:f>Configuracion!$F$2:$F$8</xm:f>
          </x14:formula1>
          <xm:sqref>C52</xm:sqref>
        </x14:dataValidation>
        <x14:dataValidation type="list" allowBlank="1" showInputMessage="1" showErrorMessage="1" xr:uid="{ABB2D4F2-A513-4C3D-92C4-E645855FB826}">
          <x14:formula1>
            <xm:f>Configuracion!$F$2:$F$9</xm:f>
          </x14:formula1>
          <xm:sqref>C53</xm:sqref>
        </x14:dataValidation>
        <x14:dataValidation type="list" allowBlank="1" showInputMessage="1" showErrorMessage="1" xr:uid="{405E54D2-8B73-410C-B54C-5DDE41FB3F8F}">
          <x14:formula1>
            <xm:f>Configuracion!$F$2:$F$10</xm:f>
          </x14:formula1>
          <xm:sqref>C54:C55 C108:C109</xm:sqref>
        </x14:dataValidation>
        <x14:dataValidation type="list" allowBlank="1" showInputMessage="1" showErrorMessage="1" xr:uid="{6B2E7A2D-8245-4AF7-B53E-38C704284527}">
          <x14:formula1>
            <xm:f>Configuracion!$Q$2:$Q$7</xm:f>
          </x14:formula1>
          <xm:sqref>C56:C57 C43 C10</xm:sqref>
        </x14:dataValidation>
        <x14:dataValidation type="list" allowBlank="1" showInputMessage="1" showErrorMessage="1" xr:uid="{E160497B-A84F-4B61-826C-D9364B7125A0}">
          <x14:formula1>
            <xm:f>Configuracion!$H$2:$H$5</xm:f>
          </x14:formula1>
          <xm:sqref>C2</xm:sqref>
        </x14:dataValidation>
        <x14:dataValidation type="list" allowBlank="1" showInputMessage="1" showErrorMessage="1" xr:uid="{C722B0B8-C853-458B-9AF9-1273F6959871}">
          <x14:formula1>
            <xm:f>Configuracion!$H$2:$H$6</xm:f>
          </x14:formula1>
          <xm:sqref>C19</xm:sqref>
        </x14:dataValidation>
        <x14:dataValidation type="list" allowBlank="1" showInputMessage="1" showErrorMessage="1" xr:uid="{292BC257-E625-47CE-8892-ED8AD328A8D8}">
          <x14:formula1>
            <xm:f>Configuracion!$J$2:$J$5</xm:f>
          </x14:formula1>
          <xm:sqref>C21 C17:C18 C9</xm:sqref>
        </x14:dataValidation>
        <x14:dataValidation type="list" allowBlank="1" showInputMessage="1" showErrorMessage="1" xr:uid="{D355E91B-2C0A-4F51-9345-C3A03C47CA45}">
          <x14:formula1>
            <xm:f>Configuracion!$S$2:$S$10</xm:f>
          </x14:formula1>
          <xm:sqref>C83 C87:C88</xm:sqref>
        </x14:dataValidation>
        <x14:dataValidation type="list" allowBlank="1" showInputMessage="1" showErrorMessage="1" xr:uid="{A102BC78-8C56-4C8B-9D58-2B988B7443BF}">
          <x14:formula1>
            <xm:f>Configuracion!$N$2:$N$9</xm:f>
          </x14:formula1>
          <xm:sqref>C104</xm:sqref>
        </x14:dataValidation>
        <x14:dataValidation type="list" allowBlank="1" showInputMessage="1" showErrorMessage="1" xr:uid="{004357AF-9047-4B55-A787-377A96505853}">
          <x14:formula1>
            <xm:f>Configuracion!$G$2:$G$5</xm:f>
          </x14:formula1>
          <xm:sqref>C12 C22</xm:sqref>
        </x14:dataValidation>
        <x14:dataValidation type="list" allowBlank="1" showInputMessage="1" showErrorMessage="1" xr:uid="{D5F4CC4D-2109-41B3-99B4-CA98ED423092}">
          <x14:formula1>
            <xm:f>Configuracion!$K$2:$K$2</xm:f>
          </x14:formula1>
          <xm:sqref>C6</xm:sqref>
        </x14:dataValidation>
        <x14:dataValidation type="list" allowBlank="1" showInputMessage="1" showErrorMessage="1" xr:uid="{1D081A75-6EF4-4D4E-9A53-FA2DE8B0F5F6}">
          <x14:formula1>
            <xm:f>Configuracion!$K$2:$K$4</xm:f>
          </x14:formula1>
          <xm:sqref>C15 C20 C4</xm:sqref>
        </x14:dataValidation>
        <x14:dataValidation type="list" allowBlank="1" showInputMessage="1" showErrorMessage="1" xr:uid="{810A2963-8A49-4B5D-ACD1-84E627BA8624}">
          <x14:formula1>
            <xm:f>Configuracion!$G$2:$G$6</xm:f>
          </x14:formula1>
          <xm:sqref>C27</xm:sqref>
        </x14:dataValidation>
        <x14:dataValidation type="list" allowBlank="1" showInputMessage="1" showErrorMessage="1" xr:uid="{62FFF453-5FB4-40B7-B169-2402FCD44432}">
          <x14:formula1>
            <xm:f>Configuracion!$K$2:$K$7</xm:f>
          </x14:formula1>
          <xm:sqref>C120</xm:sqref>
        </x14:dataValidation>
        <x14:dataValidation type="list" allowBlank="1" showInputMessage="1" showErrorMessage="1" xr:uid="{413472A5-3201-4E98-9DD1-277EF3AF34E7}">
          <x14:formula1>
            <xm:f>Configuracion!$S$2:$S$11</xm:f>
          </x14:formula1>
          <xm:sqref>C122</xm:sqref>
        </x14:dataValidation>
        <x14:dataValidation type="list" allowBlank="1" showInputMessage="1" showErrorMessage="1" xr:uid="{D2AE4E04-1E8D-4836-A505-196224EFA28F}">
          <x14:formula1>
            <xm:f>Configuracion!$A$2:$A$72</xm:f>
          </x14:formula1>
          <xm:sqref>K1:K3 K47:K1048576</xm:sqref>
        </x14:dataValidation>
        <x14:dataValidation type="list" allowBlank="1" showInputMessage="1" showErrorMessage="1" xr:uid="{66CD50C1-DB6E-448F-AAA4-B1F5F8F5B10E}">
          <x14:formula1>
            <xm:f>Configuracion!$I$2:$I$5</xm:f>
          </x14:formula1>
          <xm:sqref>C3</xm:sqref>
        </x14:dataValidation>
        <x14:dataValidation type="list" allowBlank="1" showInputMessage="1" showErrorMessage="1" xr:uid="{822FC6E8-D884-44C4-8947-DF4C1E48FEBA}">
          <x14:formula1>
            <xm:f>Configuracion!$AC$2:$AC$18</xm:f>
          </x14:formula1>
          <xm:sqref>C51</xm:sqref>
        </x14:dataValidation>
        <x14:dataValidation type="list" allowBlank="1" showInputMessage="1" showErrorMessage="1" xr:uid="{6EE9B25F-E674-4BE7-AB89-93228E080AA7}">
          <x14:formula1>
            <xm:f>Configuracion!$T$2:$T$8</xm:f>
          </x14:formula1>
          <xm:sqref>C129</xm:sqref>
        </x14:dataValidation>
      </x14:dataValidations>
    </ext>
  </extLst>
</worksheet>
</file>

<file path=xl/worksheets/sheet2.xml><?xml version="1.0" encoding="utf-8"?>
<worksheet xmlns="http://schemas.openxmlformats.org/spreadsheetml/2006/main" xmlns:r="http://schemas.openxmlformats.org/officeDocument/2006/relationships">
  <sheetPr codeName="Sheet8"/>
  <dimension ref="A1:AD139"/>
  <sheetViews>
    <sheetView tabSelected="1" topLeftCell="A110" workbookViewId="0">
      <selection activeCell="A110" sqref="A110"/>
    </sheetView>
  </sheetViews>
  <sheetFormatPr baseColWidth="10" defaultColWidth="9.140625" defaultRowHeight="1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0.8554687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3" width="8.7109375" bestFit="1" customWidth="1"/>
    <col min="16" max="16" width="21.5703125" bestFit="1" customWidth="1"/>
    <col min="19" max="20" width="21.5703125" bestFit="1" customWidth="1"/>
    <col min="21" max="21" width="26" customWidth="1"/>
    <col min="23" max="27" width="12.42578125" customWidth="1"/>
    <col min="28" max="28" width="9.85546875" customWidth="1"/>
  </cols>
  <sheetData>
    <row r="1" spans="1:30">
      <c r="A1" s="4" t="s">
        <v>0</v>
      </c>
      <c r="B1" s="5" t="s">
        <v>1</v>
      </c>
      <c r="C1" s="4" t="s">
        <v>2</v>
      </c>
      <c r="D1" s="4" t="s">
        <v>3</v>
      </c>
      <c r="E1" s="4" t="s">
        <v>4</v>
      </c>
      <c r="F1" s="4" t="s">
        <v>236</v>
      </c>
      <c r="G1" s="4" t="s">
        <v>13</v>
      </c>
      <c r="H1" s="4" t="s">
        <v>228</v>
      </c>
    </row>
    <row r="2" spans="1:30">
      <c r="A2" s="6" t="s">
        <v>153</v>
      </c>
      <c r="B2" s="7" t="s">
        <v>591</v>
      </c>
      <c r="C2" s="6"/>
      <c r="D2" s="6"/>
      <c r="E2" s="6"/>
      <c r="F2" s="6">
        <v>1</v>
      </c>
      <c r="G2" s="6" t="s">
        <v>8</v>
      </c>
      <c r="H2" s="6">
        <v>1</v>
      </c>
    </row>
    <row r="3" spans="1:30">
      <c r="A3" s="6" t="s">
        <v>153</v>
      </c>
      <c r="B3" s="7" t="s">
        <v>592</v>
      </c>
      <c r="C3" s="6"/>
      <c r="D3" s="6"/>
      <c r="E3" s="6"/>
      <c r="F3" s="6">
        <v>1</v>
      </c>
      <c r="G3" s="6" t="s">
        <v>8</v>
      </c>
      <c r="H3" s="6">
        <v>1</v>
      </c>
      <c r="J3" t="s">
        <v>0</v>
      </c>
      <c r="K3" t="s">
        <v>1</v>
      </c>
      <c r="L3" t="s">
        <v>2</v>
      </c>
      <c r="M3" t="s">
        <v>652</v>
      </c>
      <c r="N3" s="4" t="s">
        <v>4</v>
      </c>
      <c r="O3" t="s">
        <v>18</v>
      </c>
      <c r="P3" t="s">
        <v>14</v>
      </c>
      <c r="T3" t="s">
        <v>28</v>
      </c>
      <c r="V3" s="26" t="s">
        <v>226</v>
      </c>
      <c r="W3" s="26"/>
      <c r="X3" s="26"/>
      <c r="Y3" s="26"/>
      <c r="Z3" s="26"/>
      <c r="AA3" s="26"/>
    </row>
    <row r="4" spans="1:30">
      <c r="A4" s="6" t="s">
        <v>153</v>
      </c>
      <c r="B4" s="7" t="s">
        <v>593</v>
      </c>
      <c r="C4" s="6"/>
      <c r="D4" s="6"/>
      <c r="E4" s="6"/>
      <c r="F4" s="6">
        <v>1</v>
      </c>
      <c r="G4" s="6" t="s">
        <v>8</v>
      </c>
      <c r="H4" s="6">
        <v>1</v>
      </c>
      <c r="J4" t="s">
        <v>153</v>
      </c>
      <c r="K4" t="s">
        <v>558</v>
      </c>
      <c r="O4">
        <v>2</v>
      </c>
      <c r="P4" t="s">
        <v>15</v>
      </c>
      <c r="T4" t="s">
        <v>15</v>
      </c>
      <c r="V4" t="s">
        <v>8</v>
      </c>
      <c r="W4" t="s">
        <v>5</v>
      </c>
      <c r="X4" t="s">
        <v>6</v>
      </c>
      <c r="Y4" t="s">
        <v>9</v>
      </c>
      <c r="Z4" t="s">
        <v>10</v>
      </c>
      <c r="AA4" t="s">
        <v>252</v>
      </c>
      <c r="AB4" t="s">
        <v>298</v>
      </c>
      <c r="AC4" t="s">
        <v>7</v>
      </c>
      <c r="AD4" t="s">
        <v>36</v>
      </c>
    </row>
    <row r="5" spans="1:30">
      <c r="A5" s="6" t="s">
        <v>153</v>
      </c>
      <c r="B5" s="7" t="s">
        <v>594</v>
      </c>
      <c r="C5" s="6"/>
      <c r="D5" s="6"/>
      <c r="E5" s="6"/>
      <c r="F5" s="6">
        <v>2</v>
      </c>
      <c r="G5" s="6" t="s">
        <v>8</v>
      </c>
      <c r="H5" s="6">
        <v>1</v>
      </c>
      <c r="J5" t="s">
        <v>153</v>
      </c>
      <c r="K5" t="s">
        <v>559</v>
      </c>
      <c r="O5">
        <v>1</v>
      </c>
      <c r="P5" t="s">
        <v>15</v>
      </c>
      <c r="T5" t="s">
        <v>564</v>
      </c>
      <c r="V5">
        <v>1</v>
      </c>
      <c r="W5">
        <v>1</v>
      </c>
      <c r="X5">
        <v>1</v>
      </c>
      <c r="Y5">
        <v>1</v>
      </c>
      <c r="Z5">
        <v>1</v>
      </c>
      <c r="AA5">
        <v>1</v>
      </c>
      <c r="AB5">
        <v>1</v>
      </c>
      <c r="AC5" t="s">
        <v>227</v>
      </c>
      <c r="AD5" t="s">
        <v>36</v>
      </c>
    </row>
    <row r="6" spans="1:30">
      <c r="A6" s="6" t="s">
        <v>153</v>
      </c>
      <c r="B6" s="7" t="s">
        <v>410</v>
      </c>
      <c r="C6" s="6"/>
      <c r="D6" s="6"/>
      <c r="E6" s="6"/>
      <c r="F6" s="6">
        <v>1</v>
      </c>
      <c r="G6" s="6" t="s">
        <v>8</v>
      </c>
      <c r="H6" s="6">
        <v>1</v>
      </c>
      <c r="J6" t="s">
        <v>153</v>
      </c>
      <c r="K6" t="s">
        <v>439</v>
      </c>
      <c r="O6">
        <v>3</v>
      </c>
      <c r="P6" t="s">
        <v>15</v>
      </c>
      <c r="T6" t="s">
        <v>567</v>
      </c>
      <c r="V6">
        <v>2</v>
      </c>
      <c r="Z6">
        <v>2</v>
      </c>
      <c r="AC6" t="s">
        <v>229</v>
      </c>
    </row>
    <row r="7" spans="1:30">
      <c r="A7" s="6" t="s">
        <v>153</v>
      </c>
      <c r="B7" s="7" t="s">
        <v>595</v>
      </c>
      <c r="C7" s="6"/>
      <c r="D7" s="6"/>
      <c r="E7" s="6"/>
      <c r="F7" s="6">
        <v>1</v>
      </c>
      <c r="G7" s="6" t="s">
        <v>8</v>
      </c>
      <c r="H7" s="6">
        <v>1</v>
      </c>
      <c r="J7" t="s">
        <v>153</v>
      </c>
      <c r="K7" t="s">
        <v>438</v>
      </c>
      <c r="O7">
        <v>4</v>
      </c>
      <c r="P7" t="s">
        <v>15</v>
      </c>
      <c r="T7" t="s">
        <v>382</v>
      </c>
      <c r="V7">
        <v>3</v>
      </c>
      <c r="Z7">
        <v>3</v>
      </c>
      <c r="AC7" t="s">
        <v>230</v>
      </c>
    </row>
    <row r="8" spans="1:30">
      <c r="A8" s="6" t="s">
        <v>153</v>
      </c>
      <c r="B8" s="7" t="s">
        <v>596</v>
      </c>
      <c r="C8" s="6"/>
      <c r="D8" s="6"/>
      <c r="E8" s="6"/>
      <c r="F8" s="6">
        <v>2</v>
      </c>
      <c r="G8" s="6" t="s">
        <v>8</v>
      </c>
      <c r="H8" s="6">
        <v>1</v>
      </c>
      <c r="J8" t="s">
        <v>153</v>
      </c>
      <c r="K8" t="s">
        <v>560</v>
      </c>
      <c r="O8">
        <v>1</v>
      </c>
      <c r="P8" t="s">
        <v>15</v>
      </c>
      <c r="T8" t="s">
        <v>607</v>
      </c>
      <c r="V8">
        <v>4</v>
      </c>
    </row>
    <row r="9" spans="1:30">
      <c r="A9" s="6" t="s">
        <v>153</v>
      </c>
      <c r="B9" s="7" t="s">
        <v>597</v>
      </c>
      <c r="C9" s="6"/>
      <c r="D9" s="6"/>
      <c r="E9" s="6"/>
      <c r="F9" s="6">
        <v>3</v>
      </c>
      <c r="G9" s="6" t="s">
        <v>8</v>
      </c>
      <c r="H9" s="6">
        <v>1</v>
      </c>
      <c r="J9" t="s">
        <v>153</v>
      </c>
      <c r="K9" t="s">
        <v>561</v>
      </c>
      <c r="O9">
        <v>1</v>
      </c>
      <c r="P9" t="s">
        <v>15</v>
      </c>
      <c r="T9" t="s">
        <v>610</v>
      </c>
    </row>
    <row r="10" spans="1:30">
      <c r="A10" s="6" t="s">
        <v>598</v>
      </c>
      <c r="B10" s="7"/>
      <c r="C10" s="6"/>
      <c r="D10" s="6"/>
      <c r="E10" s="6"/>
      <c r="F10" s="6">
        <v>1</v>
      </c>
      <c r="G10" s="6" t="s">
        <v>8</v>
      </c>
      <c r="H10" s="6">
        <v>1</v>
      </c>
      <c r="J10" t="s">
        <v>153</v>
      </c>
      <c r="K10" t="s">
        <v>23</v>
      </c>
      <c r="O10">
        <v>1</v>
      </c>
      <c r="P10" t="s">
        <v>15</v>
      </c>
      <c r="T10" t="s">
        <v>383</v>
      </c>
    </row>
    <row r="11" spans="1:30">
      <c r="A11" s="6" t="s">
        <v>153</v>
      </c>
      <c r="B11" s="7" t="s">
        <v>599</v>
      </c>
      <c r="C11" s="6"/>
      <c r="D11" s="6"/>
      <c r="E11" s="6"/>
      <c r="F11" s="6">
        <v>4</v>
      </c>
      <c r="G11" s="6" t="s">
        <v>8</v>
      </c>
      <c r="H11" s="6">
        <v>1</v>
      </c>
      <c r="J11" t="s">
        <v>153</v>
      </c>
      <c r="K11" t="s">
        <v>562</v>
      </c>
      <c r="O11">
        <v>1</v>
      </c>
      <c r="P11" t="s">
        <v>15</v>
      </c>
      <c r="T11" t="s">
        <v>363</v>
      </c>
    </row>
    <row r="12" spans="1:30">
      <c r="A12" s="6" t="s">
        <v>153</v>
      </c>
      <c r="B12" s="7" t="s">
        <v>600</v>
      </c>
      <c r="C12" s="6"/>
      <c r="D12" s="6"/>
      <c r="E12" s="6"/>
      <c r="F12" s="6">
        <v>1</v>
      </c>
      <c r="G12" s="6" t="s">
        <v>8</v>
      </c>
      <c r="H12" s="6">
        <v>1</v>
      </c>
      <c r="J12" t="s">
        <v>153</v>
      </c>
      <c r="K12" t="s">
        <v>563</v>
      </c>
      <c r="O12">
        <v>1</v>
      </c>
      <c r="P12" t="s">
        <v>15</v>
      </c>
      <c r="T12" t="s">
        <v>613</v>
      </c>
    </row>
    <row r="13" spans="1:30">
      <c r="A13" s="6" t="s">
        <v>153</v>
      </c>
      <c r="B13" s="7" t="s">
        <v>156</v>
      </c>
      <c r="C13" s="6"/>
      <c r="D13" s="6"/>
      <c r="E13" s="6"/>
      <c r="F13" s="6">
        <v>2</v>
      </c>
      <c r="G13" s="6" t="s">
        <v>8</v>
      </c>
      <c r="H13" s="6">
        <v>1</v>
      </c>
      <c r="J13" t="s">
        <v>90</v>
      </c>
      <c r="K13" t="s">
        <v>565</v>
      </c>
      <c r="O13">
        <v>3</v>
      </c>
      <c r="P13" t="s">
        <v>564</v>
      </c>
      <c r="T13" t="s">
        <v>29</v>
      </c>
    </row>
    <row r="14" spans="1:30">
      <c r="A14" s="6" t="s">
        <v>153</v>
      </c>
      <c r="B14" s="7" t="s">
        <v>601</v>
      </c>
      <c r="C14" s="6"/>
      <c r="D14" s="6"/>
      <c r="E14" s="6"/>
      <c r="F14" s="6">
        <v>1</v>
      </c>
      <c r="G14" s="6" t="s">
        <v>8</v>
      </c>
      <c r="H14" s="6">
        <v>1</v>
      </c>
      <c r="J14" t="s">
        <v>467</v>
      </c>
      <c r="K14" t="s">
        <v>566</v>
      </c>
      <c r="O14">
        <v>1</v>
      </c>
      <c r="P14" t="s">
        <v>564</v>
      </c>
      <c r="T14" t="s">
        <v>1072</v>
      </c>
    </row>
    <row r="15" spans="1:30">
      <c r="A15" s="6" t="s">
        <v>153</v>
      </c>
      <c r="B15" s="10" t="s">
        <v>602</v>
      </c>
      <c r="C15" s="6"/>
      <c r="D15" s="6"/>
      <c r="E15" s="6"/>
      <c r="F15" s="6">
        <v>2</v>
      </c>
      <c r="G15" s="6" t="s">
        <v>8</v>
      </c>
      <c r="H15" s="6">
        <v>1</v>
      </c>
      <c r="J15" t="s">
        <v>390</v>
      </c>
      <c r="K15" t="s">
        <v>390</v>
      </c>
      <c r="L15" t="s">
        <v>392</v>
      </c>
      <c r="O15">
        <v>2</v>
      </c>
      <c r="P15" t="s">
        <v>567</v>
      </c>
      <c r="T15" t="s">
        <v>1073</v>
      </c>
    </row>
    <row r="16" spans="1:30">
      <c r="A16" s="6" t="s">
        <v>108</v>
      </c>
      <c r="B16" s="7"/>
      <c r="C16" s="6" t="s">
        <v>123</v>
      </c>
      <c r="D16" s="6"/>
      <c r="E16" s="6"/>
      <c r="F16" s="6">
        <v>2</v>
      </c>
      <c r="G16" s="6" t="s">
        <v>8</v>
      </c>
      <c r="H16" s="6">
        <v>1</v>
      </c>
      <c r="J16" t="s">
        <v>390</v>
      </c>
      <c r="K16" t="s">
        <v>390</v>
      </c>
      <c r="L16" t="s">
        <v>568</v>
      </c>
      <c r="O16">
        <v>1</v>
      </c>
      <c r="P16" t="s">
        <v>567</v>
      </c>
    </row>
    <row r="17" spans="1:16" ht="60">
      <c r="A17" s="6" t="s">
        <v>92</v>
      </c>
      <c r="B17" s="7" t="str">
        <f>bolso("Cajon de hazmat 1",Table625[])</f>
        <v xml:space="preserve">Cajon de hazmat 1 Contiene:  Guantes para hazmat x2,  Traje de aprox. Clase B trelleborg x2,  Botas de hazmat phoenix x2, </v>
      </c>
      <c r="C17" s="6"/>
      <c r="D17" s="6"/>
      <c r="E17" s="6"/>
      <c r="F17" s="6">
        <v>1</v>
      </c>
      <c r="G17" s="6" t="s">
        <v>8</v>
      </c>
      <c r="H17" s="6">
        <v>1</v>
      </c>
      <c r="J17" t="s">
        <v>467</v>
      </c>
      <c r="K17" t="s">
        <v>463</v>
      </c>
      <c r="O17">
        <v>1</v>
      </c>
      <c r="P17" t="s">
        <v>567</v>
      </c>
    </row>
    <row r="18" spans="1:16" ht="45">
      <c r="A18" s="6" t="s">
        <v>92</v>
      </c>
      <c r="B18" s="7" t="str">
        <f>bolso("Cajon de seguridad en escena 1",Table625[])</f>
        <v xml:space="preserve">Cajon de seguridad en escena 1 Contiene:  Protector auditivo sthil x1,  chaleco vial x6, </v>
      </c>
      <c r="C18" s="6"/>
      <c r="D18" s="6"/>
      <c r="E18" s="6"/>
      <c r="F18" s="6">
        <v>1</v>
      </c>
      <c r="G18" s="6" t="s">
        <v>8</v>
      </c>
      <c r="H18" s="6">
        <v>1</v>
      </c>
      <c r="J18" t="s">
        <v>463</v>
      </c>
      <c r="K18" t="s">
        <v>569</v>
      </c>
      <c r="O18">
        <v>1</v>
      </c>
      <c r="P18" t="s">
        <v>567</v>
      </c>
    </row>
    <row r="19" spans="1:16" ht="30">
      <c r="A19" s="6" t="s">
        <v>92</v>
      </c>
      <c r="B19" s="7" t="str">
        <f>bolso("Cajon material nautico 1",Table625[])</f>
        <v xml:space="preserve">Cajon material nautico 1 Contiene:  Chaleco salvavidas secumar x5, </v>
      </c>
      <c r="C19" s="6"/>
      <c r="D19" s="6"/>
      <c r="E19" s="6"/>
      <c r="F19" s="6">
        <v>1</v>
      </c>
      <c r="G19" s="6" t="s">
        <v>8</v>
      </c>
      <c r="H19" s="6">
        <v>1</v>
      </c>
      <c r="J19" t="s">
        <v>464</v>
      </c>
      <c r="K19" t="s">
        <v>570</v>
      </c>
      <c r="O19">
        <v>1</v>
      </c>
      <c r="P19" t="s">
        <v>567</v>
      </c>
    </row>
    <row r="20" spans="1:16">
      <c r="A20" s="6" t="s">
        <v>153</v>
      </c>
      <c r="B20" s="7" t="s">
        <v>555</v>
      </c>
      <c r="C20" s="6"/>
      <c r="D20" s="6"/>
      <c r="E20" s="6"/>
      <c r="F20" s="6">
        <v>1</v>
      </c>
      <c r="G20" s="6" t="s">
        <v>5</v>
      </c>
      <c r="H20" s="6">
        <v>1</v>
      </c>
      <c r="J20" t="s">
        <v>603</v>
      </c>
      <c r="K20" t="s">
        <v>604</v>
      </c>
      <c r="O20">
        <v>2</v>
      </c>
      <c r="P20" t="s">
        <v>382</v>
      </c>
    </row>
    <row r="21" spans="1:16">
      <c r="A21" s="6" t="s">
        <v>153</v>
      </c>
      <c r="B21" s="7" t="s">
        <v>556</v>
      </c>
      <c r="C21" s="6"/>
      <c r="D21" s="6"/>
      <c r="E21" s="6"/>
      <c r="F21" s="6">
        <v>1</v>
      </c>
      <c r="G21" s="6" t="s">
        <v>5</v>
      </c>
      <c r="H21" s="6">
        <v>1</v>
      </c>
      <c r="J21" t="s">
        <v>90</v>
      </c>
      <c r="K21" t="s">
        <v>606</v>
      </c>
      <c r="O21">
        <v>2</v>
      </c>
      <c r="P21" t="s">
        <v>382</v>
      </c>
    </row>
    <row r="22" spans="1:16">
      <c r="A22" s="6" t="s">
        <v>153</v>
      </c>
      <c r="B22" s="7" t="s">
        <v>557</v>
      </c>
      <c r="C22" s="6"/>
      <c r="D22" s="6"/>
      <c r="E22" s="6"/>
      <c r="F22" s="6">
        <v>1</v>
      </c>
      <c r="G22" s="6" t="s">
        <v>5</v>
      </c>
      <c r="H22" s="6">
        <v>1</v>
      </c>
      <c r="J22" t="s">
        <v>603</v>
      </c>
      <c r="K22" t="s">
        <v>605</v>
      </c>
      <c r="O22">
        <v>2</v>
      </c>
      <c r="P22" t="s">
        <v>382</v>
      </c>
    </row>
    <row r="23" spans="1:16">
      <c r="A23" s="6" t="s">
        <v>151</v>
      </c>
      <c r="B23" s="7" t="s">
        <v>152</v>
      </c>
      <c r="C23" s="6"/>
      <c r="D23" s="6"/>
      <c r="E23" s="6"/>
      <c r="F23" s="6">
        <v>1</v>
      </c>
      <c r="G23" s="6" t="s">
        <v>5</v>
      </c>
      <c r="H23" s="6">
        <v>1</v>
      </c>
      <c r="J23" t="s">
        <v>679</v>
      </c>
      <c r="K23" t="s">
        <v>608</v>
      </c>
      <c r="O23">
        <v>1</v>
      </c>
      <c r="P23" t="s">
        <v>607</v>
      </c>
    </row>
    <row r="24" spans="1:16" ht="75">
      <c r="A24" s="6" t="s">
        <v>92</v>
      </c>
      <c r="B24" s="7" t="str">
        <f>bolso("Caja de herramientas 1",Table625[])</f>
        <v xml:space="preserve">Caja de herramientas 1 Contiene:  martillo x2,  llave francesa x1,  Destornillador phillips x3,  Destornillador plano x4,  llave union x1,  pico de loro x1,  pinza x1,  alicate x1,  llave 1/2 y 9/16 x1, </v>
      </c>
      <c r="C24" s="6"/>
      <c r="D24" s="6"/>
      <c r="E24" s="6"/>
      <c r="F24" s="6">
        <v>1</v>
      </c>
      <c r="G24" s="6" t="s">
        <v>5</v>
      </c>
      <c r="H24" s="6">
        <v>1</v>
      </c>
      <c r="J24" t="s">
        <v>395</v>
      </c>
      <c r="K24" t="s">
        <v>609</v>
      </c>
      <c r="O24">
        <v>6</v>
      </c>
      <c r="P24" t="s">
        <v>607</v>
      </c>
    </row>
    <row r="25" spans="1:16" ht="60">
      <c r="A25" s="6" t="s">
        <v>92</v>
      </c>
      <c r="B25" s="7" t="str">
        <f>bolso("Bolso de trauma 1",Table625[])</f>
        <v xml:space="preserve">Bolso de trauma 1 Contiene:  Collar cervical x2,  Collar cervical x1,  bolsa valvula mascara x1,  valvula-mascara  x1,  Disp. Succion manual x1, </v>
      </c>
      <c r="C25" s="6"/>
      <c r="D25" s="6"/>
      <c r="E25" s="6"/>
      <c r="F25" s="6">
        <v>1</v>
      </c>
      <c r="G25" s="6" t="s">
        <v>5</v>
      </c>
      <c r="H25" s="6">
        <v>1</v>
      </c>
      <c r="J25" t="s">
        <v>89</v>
      </c>
      <c r="K25" t="s">
        <v>611</v>
      </c>
      <c r="O25">
        <v>5</v>
      </c>
      <c r="P25" t="s">
        <v>610</v>
      </c>
    </row>
    <row r="26" spans="1:16" ht="30">
      <c r="A26" s="6" t="s">
        <v>92</v>
      </c>
      <c r="B26" s="7" t="str">
        <f>bolso("Bolso de cadaveres",Table625[])</f>
        <v xml:space="preserve">Bolso de cadaveres Contiene:  Traje de aprox. Clase C x3,  Guantes p cadaver x1, </v>
      </c>
      <c r="C26" s="6"/>
      <c r="D26" s="6"/>
      <c r="E26" s="6"/>
      <c r="F26" s="6">
        <v>1</v>
      </c>
      <c r="G26" s="6" t="s">
        <v>5</v>
      </c>
      <c r="H26" s="6">
        <v>1</v>
      </c>
      <c r="J26" t="s">
        <v>90</v>
      </c>
      <c r="K26" t="s">
        <v>378</v>
      </c>
      <c r="O26">
        <v>6</v>
      </c>
      <c r="P26" t="s">
        <v>383</v>
      </c>
    </row>
    <row r="27" spans="1:16">
      <c r="A27" s="6" t="s">
        <v>153</v>
      </c>
      <c r="B27" s="7" t="s">
        <v>571</v>
      </c>
      <c r="C27" s="6"/>
      <c r="D27" s="6"/>
      <c r="E27" s="6"/>
      <c r="F27" s="6">
        <v>1</v>
      </c>
      <c r="G27" s="6" t="s">
        <v>5</v>
      </c>
      <c r="H27" s="6">
        <v>1</v>
      </c>
      <c r="J27" t="s">
        <v>466</v>
      </c>
      <c r="K27" t="s">
        <v>612</v>
      </c>
      <c r="O27">
        <v>20</v>
      </c>
      <c r="P27" t="s">
        <v>363</v>
      </c>
    </row>
    <row r="28" spans="1:16" ht="30">
      <c r="A28" s="6" t="s">
        <v>32</v>
      </c>
      <c r="B28" s="7" t="s">
        <v>553</v>
      </c>
      <c r="C28" s="6" t="s">
        <v>52</v>
      </c>
      <c r="D28" s="6"/>
      <c r="E28" s="6"/>
      <c r="F28" s="6">
        <v>2</v>
      </c>
      <c r="G28" s="6" t="s">
        <v>6</v>
      </c>
      <c r="H28" s="6">
        <v>1</v>
      </c>
      <c r="J28" t="s">
        <v>615</v>
      </c>
      <c r="K28" t="s">
        <v>617</v>
      </c>
      <c r="L28" t="s">
        <v>616</v>
      </c>
      <c r="O28">
        <v>1</v>
      </c>
      <c r="P28" t="s">
        <v>613</v>
      </c>
    </row>
    <row r="29" spans="1:16">
      <c r="A29" s="6" t="s">
        <v>239</v>
      </c>
      <c r="B29" s="7"/>
      <c r="C29" s="6"/>
      <c r="D29" s="6" t="s">
        <v>581</v>
      </c>
      <c r="E29" s="6" t="s">
        <v>582</v>
      </c>
      <c r="F29" s="6">
        <v>1</v>
      </c>
      <c r="G29" s="6" t="s">
        <v>6</v>
      </c>
      <c r="H29" s="6">
        <v>1</v>
      </c>
      <c r="J29" t="s">
        <v>615</v>
      </c>
      <c r="K29" t="s">
        <v>618</v>
      </c>
      <c r="L29" t="s">
        <v>619</v>
      </c>
      <c r="O29">
        <v>1</v>
      </c>
      <c r="P29" t="s">
        <v>613</v>
      </c>
    </row>
    <row r="30" spans="1:16">
      <c r="A30" s="6" t="s">
        <v>583</v>
      </c>
      <c r="B30" s="7"/>
      <c r="C30" s="6"/>
      <c r="D30" s="6" t="s">
        <v>179</v>
      </c>
      <c r="E30" s="6" t="s">
        <v>584</v>
      </c>
      <c r="F30" s="6">
        <v>1</v>
      </c>
      <c r="G30" s="6" t="s">
        <v>6</v>
      </c>
      <c r="H30" s="6">
        <v>1</v>
      </c>
      <c r="J30" t="s">
        <v>615</v>
      </c>
      <c r="K30" t="s">
        <v>614</v>
      </c>
      <c r="L30" t="s">
        <v>620</v>
      </c>
      <c r="O30">
        <v>1</v>
      </c>
      <c r="P30" t="s">
        <v>613</v>
      </c>
    </row>
    <row r="31" spans="1:16">
      <c r="A31" s="6" t="s">
        <v>59</v>
      </c>
      <c r="B31" s="7" t="s">
        <v>585</v>
      </c>
      <c r="C31" s="6"/>
      <c r="D31" s="6"/>
      <c r="E31" s="6"/>
      <c r="F31" s="6">
        <v>1</v>
      </c>
      <c r="G31" s="6" t="s">
        <v>6</v>
      </c>
      <c r="H31" s="6">
        <v>1</v>
      </c>
      <c r="J31" t="s">
        <v>615</v>
      </c>
      <c r="K31" t="s">
        <v>622</v>
      </c>
      <c r="L31" t="s">
        <v>621</v>
      </c>
      <c r="O31">
        <v>1</v>
      </c>
      <c r="P31" t="s">
        <v>613</v>
      </c>
    </row>
    <row r="32" spans="1:16">
      <c r="A32" s="6" t="s">
        <v>11</v>
      </c>
      <c r="B32" s="7"/>
      <c r="C32" s="6" t="s">
        <v>79</v>
      </c>
      <c r="D32" s="6"/>
      <c r="E32" s="6"/>
      <c r="F32" s="6">
        <v>3</v>
      </c>
      <c r="G32" s="6" t="s">
        <v>6</v>
      </c>
      <c r="H32" s="6">
        <v>1</v>
      </c>
      <c r="J32" t="s">
        <v>615</v>
      </c>
      <c r="K32" t="s">
        <v>622</v>
      </c>
      <c r="L32" t="s">
        <v>623</v>
      </c>
      <c r="O32">
        <v>1</v>
      </c>
      <c r="P32" t="s">
        <v>613</v>
      </c>
    </row>
    <row r="33" spans="1:16">
      <c r="A33" s="6" t="s">
        <v>32</v>
      </c>
      <c r="B33" s="7" t="s">
        <v>551</v>
      </c>
      <c r="C33" s="6" t="s">
        <v>72</v>
      </c>
      <c r="D33" s="6"/>
      <c r="E33" s="6">
        <v>140700533</v>
      </c>
      <c r="F33" s="6">
        <v>1</v>
      </c>
      <c r="G33" s="6" t="s">
        <v>6</v>
      </c>
      <c r="H33" s="6">
        <v>1</v>
      </c>
      <c r="J33" t="s">
        <v>615</v>
      </c>
      <c r="K33" t="s">
        <v>625</v>
      </c>
      <c r="L33" t="s">
        <v>624</v>
      </c>
      <c r="O33">
        <v>1</v>
      </c>
      <c r="P33" t="s">
        <v>613</v>
      </c>
    </row>
    <row r="34" spans="1:16">
      <c r="A34" s="6" t="s">
        <v>11</v>
      </c>
      <c r="B34" s="7"/>
      <c r="C34" s="6" t="s">
        <v>121</v>
      </c>
      <c r="D34" s="6"/>
      <c r="E34" s="6"/>
      <c r="F34" s="6">
        <v>3</v>
      </c>
      <c r="G34" s="6" t="s">
        <v>6</v>
      </c>
      <c r="H34" s="6">
        <v>1</v>
      </c>
      <c r="J34" t="s">
        <v>639</v>
      </c>
      <c r="K34" t="s">
        <v>638</v>
      </c>
      <c r="O34">
        <v>1</v>
      </c>
      <c r="P34" t="s">
        <v>29</v>
      </c>
    </row>
    <row r="35" spans="1:16">
      <c r="A35" s="6" t="s">
        <v>11</v>
      </c>
      <c r="B35" s="7"/>
      <c r="C35" s="6" t="s">
        <v>119</v>
      </c>
      <c r="D35" s="6"/>
      <c r="E35" s="6"/>
      <c r="F35" s="6">
        <v>3</v>
      </c>
      <c r="G35" s="6" t="s">
        <v>6</v>
      </c>
      <c r="H35" s="6">
        <v>1</v>
      </c>
      <c r="J35" t="s">
        <v>153</v>
      </c>
      <c r="K35" t="s">
        <v>202</v>
      </c>
      <c r="O35">
        <v>1</v>
      </c>
      <c r="P35" t="s">
        <v>29</v>
      </c>
    </row>
    <row r="36" spans="1:16">
      <c r="A36" s="6" t="s">
        <v>11</v>
      </c>
      <c r="B36" s="7"/>
      <c r="C36" s="6" t="s">
        <v>79</v>
      </c>
      <c r="D36" s="6"/>
      <c r="E36" s="6"/>
      <c r="F36" s="6">
        <v>3</v>
      </c>
      <c r="G36" s="6" t="s">
        <v>6</v>
      </c>
      <c r="H36" s="6">
        <v>1</v>
      </c>
      <c r="J36" t="s">
        <v>153</v>
      </c>
      <c r="K36" t="s">
        <v>640</v>
      </c>
      <c r="O36">
        <v>2</v>
      </c>
      <c r="P36" t="s">
        <v>29</v>
      </c>
    </row>
    <row r="37" spans="1:16">
      <c r="A37" s="6" t="s">
        <v>11</v>
      </c>
      <c r="B37" s="7"/>
      <c r="C37" s="6" t="s">
        <v>77</v>
      </c>
      <c r="D37" s="6"/>
      <c r="E37" s="6"/>
      <c r="F37" s="6">
        <v>1</v>
      </c>
      <c r="G37" s="6" t="s">
        <v>6</v>
      </c>
      <c r="H37" s="6">
        <v>1</v>
      </c>
      <c r="J37" t="s">
        <v>153</v>
      </c>
      <c r="K37" t="s">
        <v>641</v>
      </c>
      <c r="O37">
        <v>1</v>
      </c>
      <c r="P37" t="s">
        <v>29</v>
      </c>
    </row>
    <row r="38" spans="1:16">
      <c r="A38" s="6" t="s">
        <v>572</v>
      </c>
      <c r="B38" s="7" t="s">
        <v>573</v>
      </c>
      <c r="C38" s="6" t="s">
        <v>52</v>
      </c>
      <c r="D38" s="6"/>
      <c r="E38" s="6">
        <v>27348635</v>
      </c>
      <c r="F38" s="6">
        <v>1</v>
      </c>
      <c r="G38" s="6" t="s">
        <v>9</v>
      </c>
      <c r="H38" s="6">
        <v>1</v>
      </c>
      <c r="J38" t="s">
        <v>153</v>
      </c>
      <c r="K38" t="s">
        <v>642</v>
      </c>
      <c r="O38">
        <v>1</v>
      </c>
      <c r="P38" t="s">
        <v>29</v>
      </c>
    </row>
    <row r="39" spans="1:16">
      <c r="A39" s="6" t="s">
        <v>59</v>
      </c>
      <c r="B39" s="7" t="s">
        <v>575</v>
      </c>
      <c r="C39" s="6" t="s">
        <v>52</v>
      </c>
      <c r="D39" s="6" t="s">
        <v>574</v>
      </c>
      <c r="E39" s="6"/>
      <c r="F39" s="6">
        <v>1</v>
      </c>
      <c r="G39" s="6" t="s">
        <v>9</v>
      </c>
      <c r="H39" s="6">
        <v>1</v>
      </c>
      <c r="J39" t="s">
        <v>148</v>
      </c>
      <c r="K39" t="s">
        <v>643</v>
      </c>
      <c r="O39">
        <v>1</v>
      </c>
      <c r="P39" t="s">
        <v>29</v>
      </c>
    </row>
    <row r="40" spans="1:16">
      <c r="A40" s="6" t="s">
        <v>53</v>
      </c>
      <c r="B40" s="7"/>
      <c r="C40" s="6"/>
      <c r="D40" s="6"/>
      <c r="E40" s="6"/>
      <c r="F40" s="6">
        <v>7</v>
      </c>
      <c r="G40" s="6" t="s">
        <v>9</v>
      </c>
      <c r="H40" s="6">
        <v>1</v>
      </c>
      <c r="J40" t="s">
        <v>644</v>
      </c>
      <c r="K40" t="s">
        <v>645</v>
      </c>
      <c r="O40">
        <v>3</v>
      </c>
      <c r="P40" t="s">
        <v>29</v>
      </c>
    </row>
    <row r="41" spans="1:16">
      <c r="A41" s="6" t="s">
        <v>172</v>
      </c>
      <c r="B41" s="7"/>
      <c r="C41" s="6" t="s">
        <v>233</v>
      </c>
      <c r="D41" s="6"/>
      <c r="E41" s="6"/>
      <c r="F41" s="6">
        <v>1</v>
      </c>
      <c r="G41" s="6" t="s">
        <v>9</v>
      </c>
      <c r="H41" s="6">
        <v>1</v>
      </c>
      <c r="J41" t="s">
        <v>153</v>
      </c>
      <c r="K41" t="s">
        <v>17</v>
      </c>
      <c r="O41">
        <v>1</v>
      </c>
      <c r="P41" t="s">
        <v>29</v>
      </c>
    </row>
    <row r="42" spans="1:16">
      <c r="A42" s="6" t="s">
        <v>44</v>
      </c>
      <c r="B42" s="7" t="s">
        <v>576</v>
      </c>
      <c r="C42" s="6" t="s">
        <v>45</v>
      </c>
      <c r="D42" s="6"/>
      <c r="E42" s="6"/>
      <c r="F42" s="6">
        <v>1</v>
      </c>
      <c r="G42" s="6" t="s">
        <v>9</v>
      </c>
      <c r="H42" s="6">
        <v>1</v>
      </c>
      <c r="J42" t="s">
        <v>153</v>
      </c>
      <c r="K42" t="s">
        <v>646</v>
      </c>
      <c r="O42">
        <v>1</v>
      </c>
      <c r="P42" t="s">
        <v>29</v>
      </c>
    </row>
    <row r="43" spans="1:16">
      <c r="A43" s="6" t="s">
        <v>11</v>
      </c>
      <c r="B43" s="7"/>
      <c r="C43" s="6" t="s">
        <v>121</v>
      </c>
      <c r="D43" s="6"/>
      <c r="E43" s="6"/>
      <c r="F43" s="6">
        <v>2</v>
      </c>
      <c r="G43" s="6" t="s">
        <v>9</v>
      </c>
      <c r="H43" s="6">
        <v>1</v>
      </c>
      <c r="J43" t="s">
        <v>153</v>
      </c>
      <c r="K43" t="s">
        <v>647</v>
      </c>
      <c r="O43">
        <v>3</v>
      </c>
      <c r="P43" t="s">
        <v>29</v>
      </c>
    </row>
    <row r="44" spans="1:16">
      <c r="A44" s="6" t="s">
        <v>157</v>
      </c>
      <c r="B44" s="7" t="s">
        <v>577</v>
      </c>
      <c r="C44" s="6" t="s">
        <v>683</v>
      </c>
      <c r="D44" s="6"/>
      <c r="E44" s="6"/>
      <c r="F44" s="6">
        <v>1</v>
      </c>
      <c r="G44" s="6" t="s">
        <v>9</v>
      </c>
      <c r="H44" s="6">
        <v>1</v>
      </c>
      <c r="J44" t="s">
        <v>153</v>
      </c>
      <c r="K44" t="s">
        <v>562</v>
      </c>
      <c r="O44">
        <v>2</v>
      </c>
      <c r="P44" t="s">
        <v>29</v>
      </c>
    </row>
    <row r="45" spans="1:16">
      <c r="A45" s="6" t="s">
        <v>54</v>
      </c>
      <c r="B45" s="7" t="s">
        <v>578</v>
      </c>
      <c r="C45" s="6" t="s">
        <v>221</v>
      </c>
      <c r="D45" s="6" t="s">
        <v>579</v>
      </c>
      <c r="E45" s="6"/>
      <c r="F45" s="6">
        <v>1</v>
      </c>
      <c r="G45" s="6" t="s">
        <v>9</v>
      </c>
      <c r="H45" s="6">
        <v>1</v>
      </c>
      <c r="J45" t="s">
        <v>153</v>
      </c>
      <c r="K45" t="s">
        <v>23</v>
      </c>
      <c r="O45">
        <v>1</v>
      </c>
      <c r="P45" t="s">
        <v>29</v>
      </c>
    </row>
    <row r="46" spans="1:16">
      <c r="A46" s="6" t="s">
        <v>170</v>
      </c>
      <c r="B46" s="7"/>
      <c r="C46" s="6" t="s">
        <v>66</v>
      </c>
      <c r="D46" s="6"/>
      <c r="E46" s="6"/>
      <c r="F46" s="6">
        <v>1</v>
      </c>
      <c r="G46" s="6" t="s">
        <v>9</v>
      </c>
      <c r="H46" s="6">
        <v>1</v>
      </c>
      <c r="J46" t="s">
        <v>153</v>
      </c>
      <c r="K46" t="s">
        <v>648</v>
      </c>
      <c r="O46">
        <v>1</v>
      </c>
      <c r="P46" t="s">
        <v>29</v>
      </c>
    </row>
    <row r="47" spans="1:16">
      <c r="A47" s="6" t="s">
        <v>153</v>
      </c>
      <c r="B47" s="7" t="s">
        <v>26</v>
      </c>
      <c r="C47" s="6"/>
      <c r="D47" s="6"/>
      <c r="E47" s="6"/>
      <c r="F47" s="6">
        <v>4</v>
      </c>
      <c r="G47" s="6" t="s">
        <v>9</v>
      </c>
      <c r="H47" s="6">
        <v>1</v>
      </c>
      <c r="J47" t="s">
        <v>860</v>
      </c>
      <c r="K47" t="s">
        <v>1074</v>
      </c>
      <c r="O47">
        <v>1</v>
      </c>
      <c r="P47" t="s">
        <v>1072</v>
      </c>
    </row>
    <row r="48" spans="1:16">
      <c r="A48" s="6" t="s">
        <v>171</v>
      </c>
      <c r="B48" s="7"/>
      <c r="C48" s="6" t="s">
        <v>232</v>
      </c>
      <c r="D48" s="6"/>
      <c r="E48" s="6"/>
      <c r="F48" s="6">
        <v>1</v>
      </c>
      <c r="G48" s="6" t="s">
        <v>9</v>
      </c>
      <c r="H48" s="6">
        <v>1</v>
      </c>
      <c r="J48" t="s">
        <v>302</v>
      </c>
      <c r="K48" t="s">
        <v>1075</v>
      </c>
      <c r="O48">
        <v>1</v>
      </c>
      <c r="P48" t="s">
        <v>1072</v>
      </c>
    </row>
    <row r="49" spans="1:16">
      <c r="A49" s="6" t="s">
        <v>44</v>
      </c>
      <c r="B49" s="7" t="s">
        <v>580</v>
      </c>
      <c r="C49" s="6" t="s">
        <v>45</v>
      </c>
      <c r="D49" s="6"/>
      <c r="E49" s="6"/>
      <c r="F49" s="6">
        <v>1</v>
      </c>
      <c r="G49" s="6" t="s">
        <v>9</v>
      </c>
      <c r="H49" s="6">
        <v>1</v>
      </c>
      <c r="J49" t="s">
        <v>865</v>
      </c>
      <c r="K49" t="s">
        <v>1076</v>
      </c>
      <c r="O49">
        <v>1</v>
      </c>
      <c r="P49" t="s">
        <v>1072</v>
      </c>
    </row>
    <row r="50" spans="1:16">
      <c r="A50" s="6" t="s">
        <v>546</v>
      </c>
      <c r="B50" s="7" t="s">
        <v>547</v>
      </c>
      <c r="C50" s="6"/>
      <c r="D50" s="6" t="s">
        <v>548</v>
      </c>
      <c r="E50" s="6"/>
      <c r="F50" s="6">
        <v>2</v>
      </c>
      <c r="G50" s="6" t="s">
        <v>10</v>
      </c>
      <c r="H50" s="6">
        <v>1</v>
      </c>
      <c r="J50" t="s">
        <v>865</v>
      </c>
      <c r="K50" t="s">
        <v>1077</v>
      </c>
      <c r="O50">
        <v>1</v>
      </c>
      <c r="P50" t="s">
        <v>1072</v>
      </c>
    </row>
    <row r="51" spans="1:16">
      <c r="A51" s="6" t="s">
        <v>148</v>
      </c>
      <c r="B51" s="7" t="s">
        <v>549</v>
      </c>
      <c r="C51" s="6"/>
      <c r="D51" s="6"/>
      <c r="E51" s="6"/>
      <c r="F51" s="6">
        <v>2</v>
      </c>
      <c r="G51" s="6" t="s">
        <v>10</v>
      </c>
      <c r="H51" s="6">
        <v>1</v>
      </c>
      <c r="J51" t="s">
        <v>865</v>
      </c>
      <c r="K51" t="s">
        <v>1078</v>
      </c>
      <c r="O51">
        <v>1</v>
      </c>
      <c r="P51" t="s">
        <v>1072</v>
      </c>
    </row>
    <row r="52" spans="1:16">
      <c r="A52" s="6" t="s">
        <v>11</v>
      </c>
      <c r="B52" s="7" t="s">
        <v>550</v>
      </c>
      <c r="C52" s="6" t="s">
        <v>121</v>
      </c>
      <c r="D52" s="6"/>
      <c r="E52" s="6"/>
      <c r="F52" s="6">
        <v>3</v>
      </c>
      <c r="G52" s="6" t="s">
        <v>10</v>
      </c>
      <c r="H52" s="6">
        <v>1</v>
      </c>
      <c r="J52" t="s">
        <v>912</v>
      </c>
      <c r="K52" t="s">
        <v>1079</v>
      </c>
      <c r="O52">
        <v>2</v>
      </c>
      <c r="P52" t="s">
        <v>1072</v>
      </c>
    </row>
    <row r="53" spans="1:16">
      <c r="A53" s="6" t="s">
        <v>32</v>
      </c>
      <c r="B53" s="7" t="s">
        <v>551</v>
      </c>
      <c r="C53" s="6" t="s">
        <v>52</v>
      </c>
      <c r="D53" s="6" t="s">
        <v>552</v>
      </c>
      <c r="E53" s="6"/>
      <c r="F53" s="6">
        <v>1</v>
      </c>
      <c r="G53" s="6" t="s">
        <v>10</v>
      </c>
      <c r="H53" s="6">
        <v>1</v>
      </c>
      <c r="J53" t="s">
        <v>904</v>
      </c>
      <c r="K53" t="s">
        <v>1080</v>
      </c>
      <c r="O53">
        <v>1</v>
      </c>
      <c r="P53" t="s">
        <v>1072</v>
      </c>
    </row>
    <row r="54" spans="1:16">
      <c r="A54" s="6" t="s">
        <v>11</v>
      </c>
      <c r="B54" s="7"/>
      <c r="C54" s="6" t="s">
        <v>119</v>
      </c>
      <c r="D54" s="6"/>
      <c r="E54" s="6"/>
      <c r="F54" s="6">
        <v>4</v>
      </c>
      <c r="G54" s="6" t="s">
        <v>10</v>
      </c>
      <c r="H54" s="6">
        <v>1</v>
      </c>
      <c r="J54" t="s">
        <v>904</v>
      </c>
      <c r="K54" t="s">
        <v>1081</v>
      </c>
      <c r="O54">
        <v>3</v>
      </c>
      <c r="P54" t="s">
        <v>1072</v>
      </c>
    </row>
    <row r="55" spans="1:16" ht="30">
      <c r="A55" s="6" t="s">
        <v>32</v>
      </c>
      <c r="B55" s="7" t="s">
        <v>553</v>
      </c>
      <c r="C55" s="6" t="s">
        <v>52</v>
      </c>
      <c r="D55" s="6" t="s">
        <v>554</v>
      </c>
      <c r="E55" s="6"/>
      <c r="F55" s="6">
        <v>3</v>
      </c>
      <c r="G55" s="6" t="s">
        <v>10</v>
      </c>
      <c r="H55" s="6">
        <v>1</v>
      </c>
      <c r="J55" t="s">
        <v>903</v>
      </c>
      <c r="K55" t="s">
        <v>1082</v>
      </c>
      <c r="O55">
        <v>4</v>
      </c>
      <c r="P55" t="s">
        <v>1072</v>
      </c>
    </row>
    <row r="56" spans="1:16">
      <c r="A56" s="6" t="s">
        <v>172</v>
      </c>
      <c r="B56" s="7"/>
      <c r="C56" s="6" t="s">
        <v>233</v>
      </c>
      <c r="D56" s="6" t="s">
        <v>293</v>
      </c>
      <c r="E56" s="6"/>
      <c r="F56" s="6">
        <v>1</v>
      </c>
      <c r="G56" s="6" t="s">
        <v>10</v>
      </c>
      <c r="H56" s="6">
        <v>1</v>
      </c>
      <c r="J56" t="s">
        <v>903</v>
      </c>
      <c r="K56" t="s">
        <v>1083</v>
      </c>
      <c r="O56">
        <v>1</v>
      </c>
      <c r="P56" t="s">
        <v>1072</v>
      </c>
    </row>
    <row r="57" spans="1:16">
      <c r="A57" s="6" t="s">
        <v>12</v>
      </c>
      <c r="B57" s="7" t="s">
        <v>540</v>
      </c>
      <c r="C57" s="6" t="s">
        <v>456</v>
      </c>
      <c r="D57" s="6" t="s">
        <v>541</v>
      </c>
      <c r="E57" s="6"/>
      <c r="F57" s="6">
        <v>1</v>
      </c>
      <c r="G57" s="6" t="s">
        <v>252</v>
      </c>
      <c r="H57" s="6">
        <v>1</v>
      </c>
      <c r="J57" t="s">
        <v>860</v>
      </c>
      <c r="K57" t="s">
        <v>1084</v>
      </c>
      <c r="O57">
        <v>1</v>
      </c>
      <c r="P57" t="s">
        <v>1073</v>
      </c>
    </row>
    <row r="58" spans="1:16">
      <c r="A58" s="6" t="s">
        <v>12</v>
      </c>
      <c r="B58" s="7" t="s">
        <v>542</v>
      </c>
      <c r="C58" s="6"/>
      <c r="D58" s="6" t="s">
        <v>179</v>
      </c>
      <c r="E58" s="6" t="s">
        <v>543</v>
      </c>
      <c r="F58" s="6">
        <v>1</v>
      </c>
      <c r="G58" s="6" t="s">
        <v>252</v>
      </c>
      <c r="H58" s="6">
        <v>1</v>
      </c>
    </row>
    <row r="59" spans="1:16">
      <c r="A59" s="6" t="s">
        <v>12</v>
      </c>
      <c r="B59" s="7" t="s">
        <v>544</v>
      </c>
      <c r="C59" s="6"/>
      <c r="D59" s="6" t="s">
        <v>178</v>
      </c>
      <c r="E59" s="6" t="s">
        <v>545</v>
      </c>
      <c r="F59" s="6">
        <v>1</v>
      </c>
      <c r="G59" s="6" t="s">
        <v>252</v>
      </c>
      <c r="H59" s="6">
        <v>1</v>
      </c>
    </row>
    <row r="60" spans="1:16">
      <c r="A60" s="4" t="s">
        <v>88</v>
      </c>
      <c r="B60" s="7" t="s">
        <v>533</v>
      </c>
      <c r="C60" s="6"/>
      <c r="D60" s="6"/>
      <c r="E60" s="6"/>
      <c r="F60" s="6">
        <v>1</v>
      </c>
      <c r="G60" s="6" t="s">
        <v>298</v>
      </c>
      <c r="H60" s="6">
        <v>1</v>
      </c>
      <c r="I60" s="6"/>
    </row>
    <row r="61" spans="1:16">
      <c r="A61" s="6" t="s">
        <v>88</v>
      </c>
      <c r="B61" s="7" t="s">
        <v>534</v>
      </c>
      <c r="C61" s="6"/>
      <c r="D61" s="6"/>
      <c r="E61" s="6"/>
      <c r="F61" s="6">
        <v>3</v>
      </c>
      <c r="G61" s="6" t="s">
        <v>298</v>
      </c>
      <c r="H61" s="6">
        <v>1</v>
      </c>
    </row>
    <row r="62" spans="1:16">
      <c r="A62" s="6" t="s">
        <v>238</v>
      </c>
      <c r="B62" s="7"/>
      <c r="C62" s="6"/>
      <c r="D62" s="6" t="s">
        <v>349</v>
      </c>
      <c r="E62" s="6"/>
      <c r="F62" s="6">
        <v>1</v>
      </c>
      <c r="G62" s="6" t="s">
        <v>298</v>
      </c>
      <c r="H62" s="6">
        <v>1</v>
      </c>
    </row>
    <row r="63" spans="1:16">
      <c r="A63" s="6" t="s">
        <v>99</v>
      </c>
      <c r="B63" s="7" t="s">
        <v>535</v>
      </c>
      <c r="C63" s="6"/>
      <c r="D63" s="6"/>
      <c r="E63" s="6"/>
      <c r="F63" s="6">
        <v>1</v>
      </c>
      <c r="G63" s="6" t="s">
        <v>298</v>
      </c>
      <c r="H63" s="6">
        <v>1</v>
      </c>
    </row>
    <row r="64" spans="1:16">
      <c r="A64" s="6" t="s">
        <v>83</v>
      </c>
      <c r="B64" s="7"/>
      <c r="C64" s="6"/>
      <c r="D64" s="6" t="s">
        <v>536</v>
      </c>
      <c r="E64" s="6">
        <v>1813</v>
      </c>
      <c r="F64" s="6">
        <v>1</v>
      </c>
      <c r="G64" s="6" t="s">
        <v>298</v>
      </c>
      <c r="H64" s="6">
        <v>1</v>
      </c>
    </row>
    <row r="65" spans="1:8">
      <c r="A65" s="6" t="s">
        <v>537</v>
      </c>
      <c r="B65" s="7" t="s">
        <v>111</v>
      </c>
      <c r="C65" s="6"/>
      <c r="D65" s="6"/>
      <c r="E65" s="6"/>
      <c r="F65" s="6">
        <v>1</v>
      </c>
      <c r="G65" s="6" t="s">
        <v>298</v>
      </c>
      <c r="H65" s="6">
        <v>1</v>
      </c>
    </row>
    <row r="66" spans="1:8">
      <c r="A66" s="6" t="s">
        <v>360</v>
      </c>
      <c r="B66" s="7"/>
      <c r="C66" s="6"/>
      <c r="D66" s="6" t="s">
        <v>536</v>
      </c>
      <c r="E66" s="6">
        <v>851</v>
      </c>
      <c r="F66" s="6">
        <v>1</v>
      </c>
      <c r="G66" s="6" t="s">
        <v>298</v>
      </c>
      <c r="H66" s="6">
        <v>1</v>
      </c>
    </row>
    <row r="67" spans="1:8">
      <c r="A67" s="6" t="s">
        <v>357</v>
      </c>
      <c r="B67" s="7"/>
      <c r="C67" s="6"/>
      <c r="D67" s="6" t="s">
        <v>536</v>
      </c>
      <c r="E67" s="6">
        <v>722</v>
      </c>
      <c r="F67" s="6">
        <v>1</v>
      </c>
      <c r="G67" s="6" t="s">
        <v>298</v>
      </c>
      <c r="H67" s="6">
        <v>1</v>
      </c>
    </row>
    <row r="68" spans="1:8">
      <c r="A68" s="6" t="s">
        <v>80</v>
      </c>
      <c r="B68" s="7"/>
      <c r="C68" s="6"/>
      <c r="D68" s="6" t="s">
        <v>536</v>
      </c>
      <c r="E68" s="6">
        <v>1626</v>
      </c>
      <c r="F68" s="6">
        <v>1</v>
      </c>
      <c r="G68" s="6" t="s">
        <v>298</v>
      </c>
      <c r="H68" s="6">
        <v>1</v>
      </c>
    </row>
    <row r="69" spans="1:8">
      <c r="A69" s="6" t="s">
        <v>95</v>
      </c>
      <c r="B69" s="7"/>
      <c r="C69" s="6"/>
      <c r="D69" s="6" t="s">
        <v>536</v>
      </c>
      <c r="E69" s="6">
        <v>1110</v>
      </c>
      <c r="F69" s="6">
        <v>1</v>
      </c>
      <c r="G69" s="6" t="s">
        <v>298</v>
      </c>
      <c r="H69" s="6">
        <v>1</v>
      </c>
    </row>
    <row r="70" spans="1:8">
      <c r="A70" s="6" t="s">
        <v>341</v>
      </c>
      <c r="B70" s="7" t="s">
        <v>538</v>
      </c>
      <c r="C70" s="6"/>
      <c r="D70" s="6" t="s">
        <v>539</v>
      </c>
      <c r="E70" s="6"/>
      <c r="F70" s="6">
        <v>1</v>
      </c>
      <c r="G70" s="6" t="s">
        <v>298</v>
      </c>
      <c r="H70" s="6">
        <v>1</v>
      </c>
    </row>
    <row r="71" spans="1:8" ht="45">
      <c r="A71" s="6" t="s">
        <v>466</v>
      </c>
      <c r="B71" s="7" t="s">
        <v>1097</v>
      </c>
      <c r="C71" s="6"/>
      <c r="D71" s="6"/>
      <c r="E71" s="6"/>
      <c r="F71" s="6">
        <v>2</v>
      </c>
      <c r="G71" s="6" t="s">
        <v>298</v>
      </c>
      <c r="H71" s="6">
        <v>1</v>
      </c>
    </row>
    <row r="72" spans="1:8">
      <c r="A72" s="6" t="s">
        <v>87</v>
      </c>
      <c r="B72" s="7"/>
      <c r="C72" s="6"/>
      <c r="D72" s="6"/>
      <c r="E72" s="6"/>
      <c r="F72" s="6">
        <v>4</v>
      </c>
      <c r="G72" s="6" t="s">
        <v>298</v>
      </c>
      <c r="H72" s="6">
        <v>1</v>
      </c>
    </row>
    <row r="73" spans="1:8">
      <c r="A73" s="6" t="s">
        <v>185</v>
      </c>
      <c r="B73" s="7"/>
      <c r="C73" s="6"/>
      <c r="D73" s="6"/>
      <c r="E73" s="6"/>
      <c r="F73" s="6">
        <v>6</v>
      </c>
      <c r="G73" s="6" t="s">
        <v>7</v>
      </c>
      <c r="H73" s="6" t="s">
        <v>227</v>
      </c>
    </row>
    <row r="74" spans="1:8">
      <c r="A74" s="6" t="s">
        <v>187</v>
      </c>
      <c r="B74" s="7"/>
      <c r="C74" s="6"/>
      <c r="D74" s="6"/>
      <c r="E74" s="6"/>
      <c r="F74" s="6">
        <v>10</v>
      </c>
      <c r="G74" s="6" t="s">
        <v>7</v>
      </c>
      <c r="H74" s="6" t="s">
        <v>227</v>
      </c>
    </row>
    <row r="75" spans="1:8">
      <c r="A75" s="6" t="s">
        <v>151</v>
      </c>
      <c r="B75" s="7" t="s">
        <v>626</v>
      </c>
      <c r="C75" s="6"/>
      <c r="D75" s="6"/>
      <c r="E75" s="6"/>
      <c r="F75" s="6">
        <v>1</v>
      </c>
      <c r="G75" s="6" t="s">
        <v>7</v>
      </c>
      <c r="H75" s="6" t="s">
        <v>227</v>
      </c>
    </row>
    <row r="76" spans="1:8">
      <c r="A76" s="6" t="s">
        <v>500</v>
      </c>
      <c r="B76" s="7"/>
      <c r="C76" s="6"/>
      <c r="D76" s="6"/>
      <c r="E76" s="6"/>
      <c r="F76" s="6">
        <v>4</v>
      </c>
      <c r="G76" s="6" t="s">
        <v>7</v>
      </c>
      <c r="H76" s="6" t="s">
        <v>227</v>
      </c>
    </row>
    <row r="77" spans="1:8">
      <c r="A77" s="6" t="s">
        <v>189</v>
      </c>
      <c r="B77" s="7"/>
      <c r="C77" s="6"/>
      <c r="D77" s="6"/>
      <c r="E77" s="6"/>
      <c r="F77" s="6">
        <v>1</v>
      </c>
      <c r="G77" s="6" t="s">
        <v>7</v>
      </c>
      <c r="H77" s="6" t="s">
        <v>227</v>
      </c>
    </row>
    <row r="78" spans="1:8" ht="39.75" customHeight="1">
      <c r="A78" s="6" t="s">
        <v>390</v>
      </c>
      <c r="B78" s="7"/>
      <c r="C78" s="6" t="s">
        <v>627</v>
      </c>
      <c r="D78" s="6"/>
      <c r="E78" s="6"/>
      <c r="F78" s="6">
        <v>6</v>
      </c>
      <c r="G78" s="6" t="s">
        <v>7</v>
      </c>
      <c r="H78" s="6" t="s">
        <v>227</v>
      </c>
    </row>
    <row r="79" spans="1:8">
      <c r="A79" s="6" t="s">
        <v>390</v>
      </c>
      <c r="B79" s="7"/>
      <c r="C79" s="6" t="s">
        <v>392</v>
      </c>
      <c r="D79" s="6"/>
      <c r="E79" s="6"/>
      <c r="F79" s="6">
        <v>1</v>
      </c>
      <c r="G79" s="6" t="s">
        <v>7</v>
      </c>
      <c r="H79" s="6" t="s">
        <v>227</v>
      </c>
    </row>
    <row r="80" spans="1:8">
      <c r="A80" s="6" t="s">
        <v>390</v>
      </c>
      <c r="B80" s="7"/>
      <c r="C80" s="6" t="s">
        <v>520</v>
      </c>
      <c r="D80" s="6"/>
      <c r="E80" s="6"/>
      <c r="F80" s="6">
        <v>1</v>
      </c>
      <c r="G80" s="6" t="s">
        <v>7</v>
      </c>
      <c r="H80" s="6" t="s">
        <v>227</v>
      </c>
    </row>
    <row r="81" spans="1:8">
      <c r="A81" s="6" t="s">
        <v>630</v>
      </c>
      <c r="B81" s="7"/>
      <c r="C81" s="6"/>
      <c r="D81" s="6"/>
      <c r="E81" s="6"/>
      <c r="F81" s="6">
        <v>2</v>
      </c>
      <c r="G81" s="6" t="s">
        <v>7</v>
      </c>
      <c r="H81" s="6" t="s">
        <v>227</v>
      </c>
    </row>
    <row r="82" spans="1:8">
      <c r="A82" s="6" t="s">
        <v>463</v>
      </c>
      <c r="B82" s="7" t="s">
        <v>485</v>
      </c>
      <c r="C82" s="6"/>
      <c r="D82" s="6"/>
      <c r="E82" s="6"/>
      <c r="F82" s="6">
        <v>1</v>
      </c>
      <c r="G82" s="6" t="s">
        <v>7</v>
      </c>
      <c r="H82" s="6" t="s">
        <v>227</v>
      </c>
    </row>
    <row r="83" spans="1:8">
      <c r="A83" s="6" t="s">
        <v>253</v>
      </c>
      <c r="B83" s="7" t="s">
        <v>631</v>
      </c>
      <c r="C83" s="6"/>
      <c r="D83" s="6"/>
      <c r="E83" s="6"/>
      <c r="F83" s="6">
        <v>1</v>
      </c>
      <c r="G83" s="6" t="s">
        <v>7</v>
      </c>
      <c r="H83" s="6" t="s">
        <v>227</v>
      </c>
    </row>
    <row r="84" spans="1:8">
      <c r="A84" s="6" t="s">
        <v>209</v>
      </c>
      <c r="B84" s="7"/>
      <c r="C84" s="6" t="s">
        <v>456</v>
      </c>
      <c r="D84" s="6"/>
      <c r="E84" s="6">
        <v>173865</v>
      </c>
      <c r="F84" s="6">
        <v>1</v>
      </c>
      <c r="G84" s="6" t="s">
        <v>7</v>
      </c>
      <c r="H84" s="6" t="s">
        <v>227</v>
      </c>
    </row>
    <row r="85" spans="1:8">
      <c r="A85" s="6" t="s">
        <v>190</v>
      </c>
      <c r="B85" s="7" t="s">
        <v>632</v>
      </c>
      <c r="C85" s="6"/>
      <c r="D85" s="6" t="s">
        <v>633</v>
      </c>
      <c r="E85" s="6">
        <v>27309</v>
      </c>
      <c r="F85" s="6">
        <v>1</v>
      </c>
      <c r="G85" s="6" t="s">
        <v>7</v>
      </c>
      <c r="H85" s="6" t="s">
        <v>227</v>
      </c>
    </row>
    <row r="86" spans="1:8">
      <c r="A86" s="6" t="s">
        <v>214</v>
      </c>
      <c r="B86" s="7"/>
      <c r="C86" s="6"/>
      <c r="D86" s="6"/>
      <c r="E86" s="6" t="s">
        <v>634</v>
      </c>
      <c r="F86" s="6">
        <v>1</v>
      </c>
      <c r="G86" s="6" t="s">
        <v>7</v>
      </c>
      <c r="H86" s="6" t="s">
        <v>227</v>
      </c>
    </row>
    <row r="87" spans="1:8">
      <c r="A87" s="6" t="s">
        <v>214</v>
      </c>
      <c r="B87" s="7"/>
      <c r="C87" s="6"/>
      <c r="D87" s="6"/>
      <c r="E87" s="6" t="s">
        <v>635</v>
      </c>
      <c r="F87" s="6">
        <v>1</v>
      </c>
      <c r="G87" s="6" t="s">
        <v>7</v>
      </c>
      <c r="H87" s="6" t="s">
        <v>227</v>
      </c>
    </row>
    <row r="88" spans="1:8">
      <c r="A88" s="6" t="s">
        <v>11</v>
      </c>
      <c r="B88" s="7"/>
      <c r="C88" s="6" t="s">
        <v>79</v>
      </c>
      <c r="D88" s="6"/>
      <c r="E88" s="6"/>
      <c r="F88" s="6">
        <v>1</v>
      </c>
      <c r="G88" s="6" t="s">
        <v>7</v>
      </c>
      <c r="H88" s="6" t="s">
        <v>230</v>
      </c>
    </row>
    <row r="89" spans="1:8">
      <c r="A89" s="6" t="s">
        <v>157</v>
      </c>
      <c r="B89" s="7" t="s">
        <v>577</v>
      </c>
      <c r="C89" s="6" t="s">
        <v>636</v>
      </c>
      <c r="D89" s="6"/>
      <c r="E89" s="6"/>
      <c r="F89" s="6">
        <v>3</v>
      </c>
      <c r="G89" s="6" t="s">
        <v>7</v>
      </c>
      <c r="H89" s="6" t="s">
        <v>230</v>
      </c>
    </row>
    <row r="90" spans="1:8">
      <c r="A90" s="6" t="s">
        <v>187</v>
      </c>
      <c r="B90" s="7"/>
      <c r="C90" s="6"/>
      <c r="D90" s="6"/>
      <c r="E90" s="6"/>
      <c r="F90" s="6">
        <v>2</v>
      </c>
      <c r="G90" s="6" t="s">
        <v>7</v>
      </c>
      <c r="H90" s="6" t="s">
        <v>229</v>
      </c>
    </row>
    <row r="91" spans="1:8">
      <c r="A91" s="6" t="s">
        <v>11</v>
      </c>
      <c r="B91" s="7"/>
      <c r="C91" s="6" t="s">
        <v>79</v>
      </c>
      <c r="D91" s="6"/>
      <c r="E91" s="6"/>
      <c r="F91" s="6">
        <v>1</v>
      </c>
      <c r="G91" s="6" t="s">
        <v>7</v>
      </c>
      <c r="H91" s="6" t="s">
        <v>229</v>
      </c>
    </row>
    <row r="92" spans="1:8">
      <c r="A92" s="6" t="s">
        <v>908</v>
      </c>
      <c r="B92" s="7" t="s">
        <v>1085</v>
      </c>
      <c r="C92" s="6"/>
      <c r="D92" s="6"/>
      <c r="E92" s="6"/>
      <c r="F92" s="6">
        <v>2</v>
      </c>
      <c r="G92" s="6" t="s">
        <v>7</v>
      </c>
      <c r="H92" s="6" t="s">
        <v>230</v>
      </c>
    </row>
    <row r="93" spans="1:8" ht="135">
      <c r="A93" s="6" t="s">
        <v>92</v>
      </c>
      <c r="B93" s="7" t="str">
        <f>bolso("Bolso de altura 1",Table625[])</f>
        <v xml:space="preserve">Bolso de altura 1 Contiene:   Cuerda semiestática (negra) de 40 metros x1,   Arnes Musitani x1,  Cinta tubular de 2 metros x1,  Cinta tubular de 4 metros x1,  Cinta tubular de 6,5 metros x1,  Descensores 8 (1 de aluminio y 1 de acero) x2,  Cordín de 8 mm x1,  Cordines de 7 mm x3,  Mosquetones X de acero x4,  Mosquetón B de acero x1, </v>
      </c>
      <c r="C93" s="6"/>
      <c r="D93" s="6"/>
      <c r="E93" s="6"/>
      <c r="F93" s="6">
        <v>1</v>
      </c>
      <c r="G93" s="6" t="s">
        <v>7</v>
      </c>
      <c r="H93" s="6" t="s">
        <v>230</v>
      </c>
    </row>
    <row r="94" spans="1:8" ht="30">
      <c r="A94" s="6" t="s">
        <v>92</v>
      </c>
      <c r="B94" s="7" t="str">
        <f>bolso("Bolso de altura 2",Table625[])</f>
        <v xml:space="preserve">Bolso de altura 2 Contiene:   Cuerda semiestática (negra) de 80 metros x1, </v>
      </c>
      <c r="C94" s="6"/>
      <c r="D94" s="6"/>
      <c r="E94" s="6"/>
      <c r="F94" s="6">
        <v>1</v>
      </c>
      <c r="G94" s="6" t="s">
        <v>7</v>
      </c>
      <c r="H94" s="6" t="s">
        <v>230</v>
      </c>
    </row>
    <row r="95" spans="1:8">
      <c r="A95" s="6" t="s">
        <v>35</v>
      </c>
      <c r="B95" s="7" t="s">
        <v>587</v>
      </c>
      <c r="C95" s="6" t="s">
        <v>102</v>
      </c>
      <c r="D95" s="6"/>
      <c r="E95" s="6"/>
      <c r="F95" s="6">
        <v>1</v>
      </c>
      <c r="G95" s="6" t="s">
        <v>36</v>
      </c>
      <c r="H95" s="6" t="s">
        <v>36</v>
      </c>
    </row>
    <row r="96" spans="1:8">
      <c r="A96" s="6" t="s">
        <v>35</v>
      </c>
      <c r="B96" s="7" t="s">
        <v>586</v>
      </c>
      <c r="C96" s="6" t="s">
        <v>37</v>
      </c>
      <c r="D96" s="6"/>
      <c r="E96" s="6"/>
      <c r="F96" s="6">
        <v>1</v>
      </c>
      <c r="G96" s="6" t="s">
        <v>36</v>
      </c>
      <c r="H96" s="6" t="s">
        <v>36</v>
      </c>
    </row>
    <row r="97" spans="1:8">
      <c r="A97" s="6" t="s">
        <v>40</v>
      </c>
      <c r="B97" s="7"/>
      <c r="C97" s="6" t="s">
        <v>41</v>
      </c>
      <c r="D97" s="6"/>
      <c r="E97" s="6"/>
      <c r="F97" s="6">
        <v>2</v>
      </c>
      <c r="G97" s="6" t="s">
        <v>36</v>
      </c>
      <c r="H97" s="6" t="s">
        <v>36</v>
      </c>
    </row>
    <row r="98" spans="1:8">
      <c r="A98" s="6" t="s">
        <v>61</v>
      </c>
      <c r="B98" s="7" t="s">
        <v>588</v>
      </c>
      <c r="C98" s="6" t="s">
        <v>589</v>
      </c>
      <c r="D98" s="6"/>
      <c r="E98" s="6"/>
      <c r="F98" s="6">
        <v>1</v>
      </c>
      <c r="G98" s="6" t="s">
        <v>36</v>
      </c>
      <c r="H98" s="6" t="s">
        <v>36</v>
      </c>
    </row>
    <row r="99" spans="1:8">
      <c r="A99" s="6" t="s">
        <v>153</v>
      </c>
      <c r="B99" s="7" t="s">
        <v>590</v>
      </c>
      <c r="C99" s="6" t="s">
        <v>532</v>
      </c>
      <c r="D99" s="6"/>
      <c r="E99" s="6"/>
      <c r="F99" s="6">
        <v>1</v>
      </c>
      <c r="G99" s="6" t="s">
        <v>36</v>
      </c>
      <c r="H99" s="6" t="s">
        <v>36</v>
      </c>
    </row>
    <row r="100" spans="1:8" ht="60">
      <c r="A100" s="27" t="s">
        <v>398</v>
      </c>
      <c r="B100" s="28" t="str">
        <f>bolso("Cajon de eslingas 1",Table625[])</f>
        <v xml:space="preserve">Cajon de eslingas 1 Contiene:  2T x1,  4,8T x1,  Eslinga ilegible x1,  Eslinga ilegible con cricket x1,  Eslinga ilegible con cricket x1,  10T x1, </v>
      </c>
      <c r="C100" s="27"/>
      <c r="D100" s="27"/>
      <c r="E100" s="27"/>
      <c r="F100" s="27">
        <v>1</v>
      </c>
      <c r="G100" s="27" t="s">
        <v>8</v>
      </c>
      <c r="H100" s="27">
        <v>1</v>
      </c>
    </row>
    <row r="101" spans="1:8">
      <c r="A101" s="27" t="s">
        <v>398</v>
      </c>
      <c r="B101" s="28" t="str">
        <f>bolso("Cajon de tacos 1",Table625[])</f>
        <v xml:space="preserve">Cajon de tacos 1 Contiene:  tacos x20, </v>
      </c>
      <c r="C101" s="27"/>
      <c r="D101" s="27"/>
      <c r="E101" s="27"/>
      <c r="F101" s="27">
        <v>1</v>
      </c>
      <c r="G101" s="27" t="s">
        <v>8</v>
      </c>
      <c r="H101" s="27">
        <v>1</v>
      </c>
    </row>
    <row r="102" spans="1:8" ht="30">
      <c r="A102" s="27" t="s">
        <v>398</v>
      </c>
      <c r="B102" s="28" t="str">
        <f>bolso("Cajon de hazmat 2",Table625[])</f>
        <v xml:space="preserve">Cajon de hazmat 2 Contiene:  Traje de aproximacion clase "C" x6, </v>
      </c>
      <c r="C102" s="27"/>
      <c r="D102" s="27"/>
      <c r="E102" s="27"/>
      <c r="F102" s="27">
        <v>1</v>
      </c>
      <c r="G102" s="27" t="s">
        <v>8</v>
      </c>
      <c r="H102" s="27">
        <v>1</v>
      </c>
    </row>
    <row r="103" spans="1:8" ht="30">
      <c r="A103" s="27" t="s">
        <v>398</v>
      </c>
      <c r="B103" s="28" t="str">
        <f>bolso("Cajon de hazmat 2",Table625[])</f>
        <v xml:space="preserve">Cajon de hazmat 2 Contiene:  Traje de aproximacion clase "C" x6, </v>
      </c>
      <c r="C103" s="27"/>
      <c r="D103" s="27"/>
      <c r="E103" s="27"/>
      <c r="F103" s="27">
        <v>1</v>
      </c>
      <c r="G103" s="27" t="s">
        <v>8</v>
      </c>
      <c r="H103" s="27">
        <v>1</v>
      </c>
    </row>
    <row r="104" spans="1:8">
      <c r="A104" s="27" t="s">
        <v>341</v>
      </c>
      <c r="B104" s="28" t="s">
        <v>1096</v>
      </c>
      <c r="C104" s="27"/>
      <c r="D104" s="27"/>
      <c r="E104" s="27"/>
      <c r="F104" s="27">
        <v>2</v>
      </c>
      <c r="G104" s="27" t="s">
        <v>8</v>
      </c>
      <c r="H104" s="27">
        <v>1</v>
      </c>
    </row>
    <row r="105" spans="1:8">
      <c r="A105" s="27" t="s">
        <v>773</v>
      </c>
      <c r="B105" s="28"/>
      <c r="C105" s="27"/>
      <c r="D105" s="27"/>
      <c r="E105" s="27"/>
      <c r="F105" s="27">
        <v>5</v>
      </c>
      <c r="G105" s="27" t="s">
        <v>5</v>
      </c>
      <c r="H105" s="27">
        <v>1</v>
      </c>
    </row>
    <row r="106" spans="1:8">
      <c r="A106" s="27" t="s">
        <v>108</v>
      </c>
      <c r="B106" s="28"/>
      <c r="C106" s="27" t="s">
        <v>125</v>
      </c>
      <c r="D106" s="27"/>
      <c r="E106" s="27"/>
      <c r="F106" s="27">
        <v>1</v>
      </c>
      <c r="G106" s="27" t="s">
        <v>6</v>
      </c>
      <c r="H106" s="27">
        <v>1</v>
      </c>
    </row>
    <row r="107" spans="1:8" ht="60">
      <c r="A107" s="27" t="s">
        <v>398</v>
      </c>
      <c r="B107" s="28" t="str">
        <f>bolso("Bolso de trauma 1",Table625[])</f>
        <v xml:space="preserve">Bolso de trauma 1 Contiene:  Collar cervical x2,  Collar cervical x1,  bolsa valvula mascara x1,  valvula-mascara  x1,  Disp. Succion manual x1, </v>
      </c>
      <c r="C107" s="27"/>
      <c r="D107" s="27"/>
      <c r="E107" s="27"/>
      <c r="F107" s="27">
        <v>1</v>
      </c>
      <c r="G107" s="27" t="s">
        <v>252</v>
      </c>
      <c r="H107" s="27">
        <v>1</v>
      </c>
    </row>
    <row r="108" spans="1:8" ht="30">
      <c r="A108" s="27" t="s">
        <v>398</v>
      </c>
      <c r="B108" s="28" t="str">
        <f>bolso("Bolso de cadaveres",Table625[])</f>
        <v xml:space="preserve">Bolso de cadaveres Contiene:  Traje de aprox. Clase C x3,  Guantes p cadaver x1, </v>
      </c>
      <c r="C108" s="27"/>
      <c r="D108" s="27"/>
      <c r="E108" s="27"/>
      <c r="F108" s="27">
        <v>1</v>
      </c>
      <c r="G108" s="27" t="s">
        <v>252</v>
      </c>
      <c r="H108" s="27">
        <v>1</v>
      </c>
    </row>
    <row r="109" spans="1:8">
      <c r="A109" s="27" t="s">
        <v>153</v>
      </c>
      <c r="B109" s="28" t="s">
        <v>1098</v>
      </c>
      <c r="C109" s="27"/>
      <c r="D109" s="27"/>
      <c r="E109" s="27"/>
      <c r="F109" s="27">
        <v>1</v>
      </c>
      <c r="G109" s="27" t="s">
        <v>298</v>
      </c>
      <c r="H109" s="27">
        <v>1</v>
      </c>
    </row>
    <row r="110" spans="1:8">
      <c r="A110" s="27" t="s">
        <v>148</v>
      </c>
      <c r="B110" s="28" t="s">
        <v>1099</v>
      </c>
      <c r="C110" s="27"/>
      <c r="D110" s="27"/>
      <c r="E110" s="27"/>
      <c r="F110" s="27">
        <v>1</v>
      </c>
      <c r="G110" s="27" t="s">
        <v>298</v>
      </c>
      <c r="H110" s="27">
        <v>1</v>
      </c>
    </row>
    <row r="111" spans="1:8">
      <c r="A111" s="6" t="s">
        <v>499</v>
      </c>
      <c r="B111" s="7"/>
      <c r="C111" s="6"/>
      <c r="D111" s="6"/>
      <c r="E111" s="6"/>
      <c r="F111" s="6">
        <v>3</v>
      </c>
      <c r="G111" s="6" t="s">
        <v>7</v>
      </c>
      <c r="H111" s="6" t="s">
        <v>227</v>
      </c>
    </row>
    <row r="112" spans="1:8">
      <c r="A112" s="27" t="s">
        <v>754</v>
      </c>
      <c r="B112" s="28" t="s">
        <v>1100</v>
      </c>
      <c r="C112" s="27"/>
      <c r="D112" s="27"/>
      <c r="E112" s="27"/>
      <c r="F112" s="27">
        <v>1</v>
      </c>
      <c r="G112" s="29" t="s">
        <v>7</v>
      </c>
      <c r="H112" s="29" t="s">
        <v>227</v>
      </c>
    </row>
    <row r="113" spans="1:8">
      <c r="A113" s="30" t="s">
        <v>212</v>
      </c>
      <c r="B113" s="28" t="s">
        <v>1101</v>
      </c>
      <c r="C113" s="27"/>
      <c r="D113" s="27" t="s">
        <v>48</v>
      </c>
      <c r="E113" s="27"/>
      <c r="F113" s="27">
        <v>1</v>
      </c>
      <c r="G113" s="29" t="s">
        <v>7</v>
      </c>
      <c r="H113" s="29" t="s">
        <v>227</v>
      </c>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6"/>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6"/>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row r="137" spans="1:8">
      <c r="A137" s="6"/>
      <c r="B137" s="7"/>
      <c r="C137" s="6"/>
      <c r="D137" s="6"/>
      <c r="E137" s="6"/>
      <c r="F137" s="6"/>
      <c r="G137" s="6"/>
      <c r="H137" s="6"/>
    </row>
    <row r="138" spans="1:8">
      <c r="A138" s="6"/>
      <c r="B138" s="7"/>
      <c r="C138" s="6"/>
      <c r="D138" s="6"/>
      <c r="E138" s="6"/>
      <c r="F138" s="6"/>
      <c r="G138" s="6"/>
      <c r="H138" s="6"/>
    </row>
    <row r="139" spans="1:8">
      <c r="A139" s="6"/>
      <c r="B139" s="7"/>
      <c r="C139" s="6"/>
      <c r="D139" s="6"/>
      <c r="E139" s="6"/>
      <c r="F139" s="6"/>
      <c r="G139" s="6"/>
      <c r="H139" s="6"/>
    </row>
  </sheetData>
  <mergeCells count="1">
    <mergeCell ref="V3:AA3"/>
  </mergeCells>
  <dataValidations count="10">
    <dataValidation type="list" allowBlank="1" showInputMessage="1" showErrorMessage="1" sqref="A1:A1048576">
      <formula1>categorias</formula1>
    </dataValidation>
    <dataValidation type="list" allowBlank="1" showInputMessage="1" showErrorMessage="1" sqref="C106">
      <formula1>Configuracion!$Q$2:$Q$9</formula1>
    </dataValidation>
    <dataValidation type="list" allowBlank="1" showInputMessage="1" showErrorMessage="1" sqref="T14:T15 P47:P57 O34:O46 O31:O32 K33 O4:O28 K28:K29">
      <formula1>INDEX(Medidas,0,MATCH(OFFSET(INDIRECT(ADDRESS(ROW(), COLUMN())),0,-1),categoriasDeMedidas,0))</formula1>
    </dataValidation>
    <dataValidation type="list" allowBlank="1" showInputMessage="1" showErrorMessage="1" sqref="L1:N3 H132:H1048576 H60:H110 H3:H54 L47:N1048576 H1 H114:H126">
      <formula1>INDEX(Compartimientos,0,MATCH(OFFSET(INDIRECT(ADDRESS(ROW(), COLUMN())),0,-1),Cajoneras,0))</formula1>
    </dataValidation>
    <dataValidation type="list" allowBlank="1" showInputMessage="1" showErrorMessage="1" sqref="C1">
      <formula1>Medidas</formula1>
    </dataValidation>
    <dataValidation type="list" allowBlank="1" showInputMessage="1" showErrorMessage="1" sqref="I60 H55:H59 G1:G110 G114:G1048576">
      <formula1>$V$4:$AD$4</formula1>
    </dataValidation>
    <dataValidation type="list" allowBlank="1" showInputMessage="1" showErrorMessage="1" sqref="H2">
      <formula1>INDEX($V$5:$AD$8,0,MATCH(OFFSET(INDIRECT(ADDRESS(ROW(), COLUMN())),0,-1),$V$4:$AD$4,0))</formula1>
    </dataValidation>
    <dataValidation type="list" allowBlank="1" showInputMessage="1" showErrorMessage="1" sqref="L4:L46">
      <formula1>INDEX(Medidas,0,MATCH(OFFSET(INDIRECT(ADDRESS(ROW(), COLUMN())),0,-2),categoriasDeMedidas,0))</formula1>
    </dataValidation>
    <dataValidation type="list" allowBlank="1" showInputMessage="1" showErrorMessage="1" sqref="P1:P25 P58:P1048576">
      <formula1>$T:$T</formula1>
    </dataValidation>
    <dataValidation type="list" allowBlank="1" showInputMessage="1" showErrorMessage="1" sqref="C112">
      <formula1>Configuracion!$AC$2:$AC$18</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7">
        <x14:dataValidation type="list" allowBlank="1" showInputMessage="1" showErrorMessage="1" xr:uid="{54A2A25E-FF4E-49C1-AC80-DA2455C8FD26}">
          <x14:formula1>
            <xm:f>Configuracion!$S$2:$S$11</xm:f>
          </x14:formula1>
          <xm:sqref>C125</xm:sqref>
        </x14:dataValidation>
        <x14:dataValidation type="list" allowBlank="1" showInputMessage="1" showErrorMessage="1" xr:uid="{003D68D8-598A-483F-86A2-B3F17DF4F47F}">
          <x14:formula1>
            <xm:f>Configuracion!$K$2:$K$7</xm:f>
          </x14:formula1>
          <xm:sqref>C123 C37 C44</xm:sqref>
        </x14:dataValidation>
        <x14:dataValidation type="list" allowBlank="1" showInputMessage="1" showErrorMessage="1" xr:uid="{3352AEF2-6B4D-436E-8D18-C6B61B85EE91}">
          <x14:formula1>
            <xm:f>Configuracion!$G$2:$G$6</xm:f>
          </x14:formula1>
          <xm:sqref>C28 C21 C23 C50 C45</xm:sqref>
        </x14:dataValidation>
        <x14:dataValidation type="list" allowBlank="1" showInputMessage="1" showErrorMessage="1" xr:uid="{56AE141D-C1DB-4CA5-8260-6939D05750E8}">
          <x14:formula1>
            <xm:f>Configuracion!$N$2:$N$9</xm:f>
          </x14:formula1>
          <xm:sqref>C106 C34 C48</xm:sqref>
        </x14:dataValidation>
        <x14:dataValidation type="list" allowBlank="1" showInputMessage="1" showErrorMessage="1" xr:uid="{C99F6371-3865-424E-82F7-189F28463BA7}">
          <x14:formula1>
            <xm:f>Configuracion!$S$2:$S$10</xm:f>
          </x14:formula1>
          <xm:sqref>C88</xm:sqref>
        </x14:dataValidation>
        <x14:dataValidation type="list" allowBlank="1" showInputMessage="1" showErrorMessage="1" xr:uid="{9A3A1EEB-8672-4423-9C3E-E597542E146E}">
          <x14:formula1>
            <xm:f>Configuracion!$H$2:$H$6</xm:f>
          </x14:formula1>
          <xm:sqref>C19</xm:sqref>
        </x14:dataValidation>
        <x14:dataValidation type="list" allowBlank="1" showInputMessage="1" showErrorMessage="1" xr:uid="{F2554EA9-6B37-4803-B42F-1F18DD1628E5}">
          <x14:formula1>
            <xm:f>Configuracion!$F$2:$F$10</xm:f>
          </x14:formula1>
          <xm:sqref>C110:C111</xm:sqref>
        </x14:dataValidation>
        <x14:dataValidation type="list" allowBlank="1" showInputMessage="1" showErrorMessage="1" xr:uid="{19F3B1B5-EAC7-442F-8EFB-6335E3FB20D1}">
          <x14:formula1>
            <xm:f>Configuracion!$O$2:$O$7</xm:f>
          </x14:formula1>
          <xm:sqref>C35</xm:sqref>
        </x14:dataValidation>
        <x14:dataValidation type="list" allowBlank="1" showInputMessage="1" showErrorMessage="1" xr:uid="{63DD7291-1D5B-46CA-BC6E-C5AE9BFBD9FF}">
          <x14:formula1>
            <xm:f>Configuracion!$F$2:$F$7</xm:f>
          </x14:formula1>
          <xm:sqref>C29</xm:sqref>
        </x14:dataValidation>
        <x14:dataValidation type="list" allowBlank="1" showInputMessage="1" showErrorMessage="1" xr:uid="{056C640A-D8FE-4544-90EF-CADFD351A88C}">
          <x14:formula1>
            <xm:f>Configuracion!$F$2:$F$6</xm:f>
          </x14:formula1>
          <xm:sqref>C27</xm:sqref>
        </x14:dataValidation>
        <x14:dataValidation type="list" allowBlank="1" showInputMessage="1" showErrorMessage="1" xr:uid="{86853C23-88D7-4CA4-9748-F8EFA7D5F8EE}">
          <x14:formula1>
            <xm:f>Configuracion!$F$2:$F$3</xm:f>
          </x14:formula1>
          <xm:sqref>C17</xm:sqref>
        </x14:dataValidation>
        <x14:dataValidation type="list" allowBlank="1" showInputMessage="1" showErrorMessage="1" xr:uid="{4FC089C8-42D0-4262-B79F-9104DFB966A5}">
          <x14:formula1>
            <xm:f>Configuracion!$F$2:$F$5</xm:f>
          </x14:formula1>
          <xm:sqref>C26</xm:sqref>
        </x14:dataValidation>
        <x14:dataValidation type="list" allowBlank="1" showInputMessage="1" showErrorMessage="1" xr:uid="{4CC47CAD-D505-4C2D-9168-71740D9F4D9F}">
          <x14:formula1>
            <xm:f>Configuracion!$G$2:$G$3</xm:f>
          </x14:formula1>
          <xm:sqref>C112:C113</xm:sqref>
        </x14:dataValidation>
        <x14:dataValidation type="list" allowBlank="1" showInputMessage="1" showErrorMessage="1" xr:uid="{1625E478-E57F-4FEF-A485-6B94E9D5A17D}">
          <x14:formula1>
            <xm:f>Configuracion!$M$2:$M$9</xm:f>
          </x14:formula1>
          <xm:sqref>C58</xm:sqref>
        </x14:dataValidation>
        <x14:dataValidation type="list" allowBlank="1" showInputMessage="1" showErrorMessage="1" xr:uid="{6BE9BFCA-60D6-4686-90B6-AC87D6E4E840}">
          <x14:formula1>
            <xm:f>Configuracion!$R$2:$R$11</xm:f>
          </x14:formula1>
          <xm:sqref>C43</xm:sqref>
        </x14:dataValidation>
        <x14:dataValidation type="list" allowBlank="1" showInputMessage="1" showErrorMessage="1" xr:uid="{56DA4212-63F8-4963-BCA2-9B1E6B6A4870}">
          <x14:formula1>
            <xm:f>Configuracion!$S$2:$S$3</xm:f>
          </x14:formula1>
          <xm:sqref>C16 C24:C25 C80 C60 C36</xm:sqref>
        </x14:dataValidation>
        <x14:dataValidation type="list" allowBlank="1" showInputMessage="1" showErrorMessage="1" xr:uid="{08CB4ED5-E198-432A-97E3-44D7BF3370BC}">
          <x14:formula1>
            <xm:f>Configuracion!$F$2:$F$11</xm:f>
          </x14:formula1>
          <xm:sqref>C20 C22 C38 C49 C51:C54 C94 C97</xm:sqref>
        </x14:dataValidation>
        <x14:dataValidation type="list" allowBlank="1" showInputMessage="1" showErrorMessage="1" xr:uid="{A4841112-B0C8-4BCC-AA67-F77AAD154CF9}">
          <x14:formula1>
            <xm:f>Configuracion!$H$2:$H$4</xm:f>
          </x14:formula1>
          <xm:sqref>C55:C56</xm:sqref>
        </x14:dataValidation>
        <x14:dataValidation type="list" allowBlank="1" showInputMessage="1" showErrorMessage="1" xr:uid="{505F4BB1-84F4-4B28-8160-F2BC7030A567}">
          <x14:formula1>
            <xm:f>Configuracion!$Q$2:$Q$7</xm:f>
          </x14:formula1>
          <xm:sqref>C74</xm:sqref>
        </x14:dataValidation>
        <x14:dataValidation type="list" allowBlank="1" showInputMessage="1" showErrorMessage="1" xr:uid="{C84D1130-3CCC-43B6-92AD-E149D538F25B}">
          <x14:formula1>
            <xm:f>Configuracion!$T$2:$T$5</xm:f>
          </x14:formula1>
          <xm:sqref>C83:C85</xm:sqref>
        </x14:dataValidation>
        <x14:dataValidation type="list" allowBlank="1" showInputMessage="1" showErrorMessage="1" xr:uid="{23593576-8715-46C2-ABA0-525391393C83}">
          <x14:formula1>
            <xm:f>Configuracion!$U$2:$U$3</xm:f>
          </x14:formula1>
          <xm:sqref>C89</xm:sqref>
        </x14:dataValidation>
        <x14:dataValidation type="list" allowBlank="1" showInputMessage="1" showErrorMessage="1" xr:uid="{431628FC-0037-4782-B4B4-494F954DB4BA}">
          <x14:formula1>
            <xm:f>Configuracion!$V$2:$V$3</xm:f>
          </x14:formula1>
          <xm:sqref>C95</xm:sqref>
        </x14:dataValidation>
        <x14:dataValidation type="list" allowBlank="1" showInputMessage="1" showErrorMessage="1" xr:uid="{59F47AB2-3B48-4747-A611-60C1B0094219}">
          <x14:formula1>
            <xm:f>Configuracion!$L$2:$L$9</xm:f>
          </x14:formula1>
          <xm:sqref>C40</xm:sqref>
        </x14:dataValidation>
        <x14:dataValidation type="list" allowBlank="1" showInputMessage="1" showErrorMessage="1" xr:uid="{4DBE5F52-883E-46EF-A294-C91B02CC8D17}">
          <x14:formula1>
            <xm:f>Configuracion!$J$2:$J$5</xm:f>
          </x14:formula1>
          <xm:sqref>C18</xm:sqref>
        </x14:dataValidation>
        <x14:dataValidation type="list" allowBlank="1" showInputMessage="1" showErrorMessage="1" xr:uid="{CC19D81C-26B7-4A5E-91B9-CE0CECAC3715}">
          <x14:formula1>
            <xm:f>Configuracion!$V$2:$V$4</xm:f>
          </x14:formula1>
          <xm:sqref>C39</xm:sqref>
        </x14:dataValidation>
        <x14:dataValidation type="list" allowBlank="1" showInputMessage="1" showErrorMessage="1" xr:uid="{5D9CFBB2-B4D8-4C31-B989-AE13787D42CF}">
          <x14:formula1>
            <xm:f>Configuracion!$I$2:$I$6</xm:f>
          </x14:formula1>
          <xm:sqref>C118 C57</xm:sqref>
        </x14:dataValidation>
        <x14:dataValidation type="list" allowBlank="1" showInputMessage="1" showErrorMessage="1" xr:uid="{14A3BCEF-3DC8-4C4C-A3DE-EC553E18ABDD}">
          <x14:formula1>
            <xm:f>Configuracion!$A:$A</xm:f>
          </x14:formula1>
          <xm:sqref>J1:J1048576</xm:sqref>
        </x14:dataValidation>
      </x14:dataValidations>
    </ext>
  </extLst>
</worksheet>
</file>

<file path=xl/worksheets/sheet3.xml><?xml version="1.0" encoding="utf-8"?>
<worksheet xmlns="http://schemas.openxmlformats.org/spreadsheetml/2006/main" xmlns:r="http://schemas.openxmlformats.org/officeDocument/2006/relationships">
  <sheetPr codeName="Sheet4"/>
  <dimension ref="A1:Z147"/>
  <sheetViews>
    <sheetView topLeftCell="A112" zoomScale="85" zoomScaleNormal="85" workbookViewId="0">
      <selection activeCell="D114" sqref="D114"/>
    </sheetView>
  </sheetViews>
  <sheetFormatPr baseColWidth="10" defaultColWidth="9.140625" defaultRowHeight="15"/>
  <cols>
    <col min="1" max="1" width="26.42578125" bestFit="1" customWidth="1"/>
    <col min="2" max="2" width="37.42578125" style="8"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22.28515625" bestFit="1" customWidth="1"/>
    <col min="11" max="11" width="44.7109375" bestFit="1" customWidth="1"/>
    <col min="12" max="12" width="11" bestFit="1" customWidth="1"/>
    <col min="13" max="13" width="8.5703125" bestFit="1" customWidth="1"/>
    <col min="14" max="14" width="13.140625" bestFit="1" customWidth="1"/>
    <col min="15" max="15" width="11.140625" bestFit="1" customWidth="1"/>
    <col min="16" max="16" width="26.85546875" bestFit="1" customWidth="1"/>
    <col min="18" max="18" width="26.85546875" bestFit="1" customWidth="1"/>
    <col min="20" max="25" width="12.5703125" bestFit="1" customWidth="1"/>
  </cols>
  <sheetData>
    <row r="1" spans="1:26">
      <c r="A1" s="4" t="s">
        <v>0</v>
      </c>
      <c r="B1" s="5" t="s">
        <v>1</v>
      </c>
      <c r="C1" s="4" t="s">
        <v>2</v>
      </c>
      <c r="D1" s="4" t="s">
        <v>3</v>
      </c>
      <c r="E1" s="4" t="s">
        <v>4</v>
      </c>
      <c r="F1" s="4" t="s">
        <v>236</v>
      </c>
      <c r="G1" s="4" t="s">
        <v>13</v>
      </c>
      <c r="H1" s="4" t="s">
        <v>228</v>
      </c>
    </row>
    <row r="2" spans="1:26">
      <c r="A2" s="6" t="s">
        <v>114</v>
      </c>
      <c r="B2" s="7"/>
      <c r="C2" s="6" t="s">
        <v>385</v>
      </c>
      <c r="D2" s="6"/>
      <c r="E2" s="6"/>
      <c r="F2" s="6">
        <v>1</v>
      </c>
      <c r="G2" s="6" t="s">
        <v>8</v>
      </c>
      <c r="H2" s="6">
        <v>1</v>
      </c>
    </row>
    <row r="3" spans="1:26">
      <c r="A3" s="6" t="s">
        <v>370</v>
      </c>
      <c r="B3" s="7" t="s">
        <v>371</v>
      </c>
      <c r="C3" s="6"/>
      <c r="D3" s="6"/>
      <c r="E3" s="6"/>
      <c r="F3" s="6">
        <v>4</v>
      </c>
      <c r="G3" s="6" t="s">
        <v>8</v>
      </c>
      <c r="H3" s="6">
        <v>1</v>
      </c>
      <c r="J3" t="s">
        <v>0</v>
      </c>
      <c r="K3" t="s">
        <v>16</v>
      </c>
      <c r="L3" t="s">
        <v>2</v>
      </c>
      <c r="M3" s="4" t="s">
        <v>3</v>
      </c>
      <c r="N3" s="4" t="s">
        <v>4</v>
      </c>
      <c r="O3" t="s">
        <v>18</v>
      </c>
      <c r="P3" t="s">
        <v>14</v>
      </c>
      <c r="R3" t="s">
        <v>28</v>
      </c>
      <c r="T3" s="26" t="s">
        <v>226</v>
      </c>
      <c r="U3" s="26"/>
      <c r="V3" s="26"/>
      <c r="W3" s="26"/>
      <c r="X3" s="26"/>
      <c r="Y3" s="26"/>
    </row>
    <row r="4" spans="1:26">
      <c r="A4" s="6" t="s">
        <v>370</v>
      </c>
      <c r="B4" s="7" t="s">
        <v>372</v>
      </c>
      <c r="C4" s="6"/>
      <c r="D4" s="6"/>
      <c r="E4" s="6"/>
      <c r="F4" s="6">
        <v>1</v>
      </c>
      <c r="G4" s="6" t="s">
        <v>8</v>
      </c>
      <c r="H4" s="6">
        <v>1</v>
      </c>
      <c r="J4" t="s">
        <v>12</v>
      </c>
      <c r="K4" t="s">
        <v>654</v>
      </c>
      <c r="M4" t="s">
        <v>653</v>
      </c>
      <c r="N4" t="s">
        <v>655</v>
      </c>
      <c r="O4">
        <v>1</v>
      </c>
      <c r="P4" t="s">
        <v>256</v>
      </c>
      <c r="R4" t="s">
        <v>263</v>
      </c>
      <c r="T4" t="s">
        <v>8</v>
      </c>
      <c r="U4" t="s">
        <v>5</v>
      </c>
      <c r="V4" t="s">
        <v>6</v>
      </c>
      <c r="W4" t="s">
        <v>9</v>
      </c>
      <c r="X4" t="s">
        <v>10</v>
      </c>
      <c r="Y4" t="s">
        <v>252</v>
      </c>
      <c r="Z4" t="s">
        <v>7</v>
      </c>
    </row>
    <row r="5" spans="1:26">
      <c r="A5" s="6" t="s">
        <v>373</v>
      </c>
      <c r="B5" s="7" t="s">
        <v>374</v>
      </c>
      <c r="C5" s="6"/>
      <c r="D5" s="6"/>
      <c r="E5" s="6"/>
      <c r="F5" s="6">
        <v>7</v>
      </c>
      <c r="G5" s="6" t="s">
        <v>8</v>
      </c>
      <c r="H5" s="6">
        <v>1</v>
      </c>
      <c r="J5" t="s">
        <v>656</v>
      </c>
      <c r="K5" t="s">
        <v>257</v>
      </c>
      <c r="O5">
        <v>2</v>
      </c>
      <c r="P5" t="s">
        <v>256</v>
      </c>
      <c r="R5" t="s">
        <v>267</v>
      </c>
      <c r="T5">
        <v>1</v>
      </c>
      <c r="U5">
        <v>1</v>
      </c>
      <c r="V5">
        <v>1</v>
      </c>
      <c r="W5">
        <v>1</v>
      </c>
      <c r="X5">
        <v>1</v>
      </c>
      <c r="Y5">
        <v>1</v>
      </c>
      <c r="Z5">
        <v>1</v>
      </c>
    </row>
    <row r="6" spans="1:26">
      <c r="A6" s="6" t="s">
        <v>151</v>
      </c>
      <c r="B6" s="7" t="s">
        <v>152</v>
      </c>
      <c r="C6" s="6"/>
      <c r="D6" s="6"/>
      <c r="E6" s="6"/>
      <c r="F6" s="6">
        <v>1</v>
      </c>
      <c r="G6" s="6" t="s">
        <v>8</v>
      </c>
      <c r="H6" s="6">
        <v>1</v>
      </c>
      <c r="J6" t="s">
        <v>12</v>
      </c>
      <c r="K6" t="s">
        <v>657</v>
      </c>
      <c r="M6" t="s">
        <v>653</v>
      </c>
      <c r="N6" t="s">
        <v>658</v>
      </c>
      <c r="O6">
        <v>1</v>
      </c>
      <c r="P6" t="s">
        <v>258</v>
      </c>
      <c r="R6" t="s">
        <v>269</v>
      </c>
      <c r="T6">
        <v>2</v>
      </c>
      <c r="U6">
        <v>2</v>
      </c>
      <c r="X6" t="s">
        <v>396</v>
      </c>
    </row>
    <row r="7" spans="1:26">
      <c r="A7" s="6" t="s">
        <v>53</v>
      </c>
      <c r="B7" s="7" t="s">
        <v>234</v>
      </c>
      <c r="C7" s="6"/>
      <c r="D7" s="6"/>
      <c r="E7" s="6"/>
      <c r="F7" s="6">
        <v>8</v>
      </c>
      <c r="G7" s="6" t="s">
        <v>8</v>
      </c>
      <c r="H7" s="6">
        <v>2</v>
      </c>
      <c r="J7" t="s">
        <v>656</v>
      </c>
      <c r="K7" t="s">
        <v>259</v>
      </c>
      <c r="O7">
        <v>2</v>
      </c>
      <c r="P7" t="s">
        <v>258</v>
      </c>
      <c r="R7" t="s">
        <v>347</v>
      </c>
      <c r="T7">
        <v>3</v>
      </c>
    </row>
    <row r="8" spans="1:26">
      <c r="A8" s="6" t="s">
        <v>376</v>
      </c>
      <c r="B8" s="7" t="s">
        <v>377</v>
      </c>
      <c r="C8" s="6"/>
      <c r="D8" s="6"/>
      <c r="E8" s="6">
        <v>10023961</v>
      </c>
      <c r="F8" s="6">
        <v>1</v>
      </c>
      <c r="G8" s="6" t="s">
        <v>8</v>
      </c>
      <c r="H8" s="6">
        <v>2</v>
      </c>
      <c r="J8" t="s">
        <v>656</v>
      </c>
      <c r="K8" t="s">
        <v>257</v>
      </c>
      <c r="O8">
        <v>2</v>
      </c>
      <c r="P8" t="s">
        <v>258</v>
      </c>
      <c r="R8" t="s">
        <v>348</v>
      </c>
    </row>
    <row r="9" spans="1:26">
      <c r="A9" s="6" t="s">
        <v>389</v>
      </c>
      <c r="B9" s="7"/>
      <c r="C9" s="6"/>
      <c r="D9" s="6"/>
      <c r="E9" s="6"/>
      <c r="F9" s="6">
        <v>1</v>
      </c>
      <c r="G9" s="6" t="s">
        <v>8</v>
      </c>
      <c r="H9" s="6">
        <v>2</v>
      </c>
      <c r="J9" t="s">
        <v>12</v>
      </c>
      <c r="K9" t="s">
        <v>660</v>
      </c>
      <c r="M9" t="s">
        <v>659</v>
      </c>
      <c r="N9">
        <v>580426</v>
      </c>
      <c r="O9">
        <v>1</v>
      </c>
      <c r="P9" t="s">
        <v>263</v>
      </c>
      <c r="R9" t="s">
        <v>343</v>
      </c>
    </row>
    <row r="10" spans="1:26" ht="45">
      <c r="A10" s="6" t="s">
        <v>92</v>
      </c>
      <c r="B10" s="7" t="str">
        <f>bolso("Cajon de hazmat 1",Table69[] )</f>
        <v xml:space="preserve">Cajon de hazmat 1 Contiene:  Traje de aproximacion clase "C" x8,  Traje de aproximacion clase "A" x3, </v>
      </c>
      <c r="C10" s="6"/>
      <c r="D10" s="6"/>
      <c r="E10" s="6"/>
      <c r="F10" s="6">
        <v>1</v>
      </c>
      <c r="G10" s="6" t="s">
        <v>8</v>
      </c>
      <c r="H10" s="6">
        <v>3</v>
      </c>
      <c r="J10" t="s">
        <v>663</v>
      </c>
      <c r="K10" t="s">
        <v>661</v>
      </c>
      <c r="M10" t="s">
        <v>662</v>
      </c>
      <c r="O10">
        <v>2</v>
      </c>
      <c r="P10" t="s">
        <v>263</v>
      </c>
      <c r="R10" t="s">
        <v>256</v>
      </c>
    </row>
    <row r="11" spans="1:26" ht="45">
      <c r="A11" s="6" t="s">
        <v>92</v>
      </c>
      <c r="B11" s="7" t="str">
        <f>bolso("Cajon de hazmat 2",Table69[] )</f>
        <v xml:space="preserve">Cajon de hazmat 2 Contiene:  Traje de aproximacion clase "A" x1,  Traje de aproximacion clase "C" x2, </v>
      </c>
      <c r="C11" s="6"/>
      <c r="D11" s="6"/>
      <c r="E11" s="6"/>
      <c r="F11" s="6">
        <v>1</v>
      </c>
      <c r="G11" s="6" t="s">
        <v>8</v>
      </c>
      <c r="H11" s="6">
        <v>3</v>
      </c>
      <c r="J11" t="s">
        <v>664</v>
      </c>
      <c r="K11" t="s">
        <v>666</v>
      </c>
      <c r="M11" t="s">
        <v>665</v>
      </c>
      <c r="N11" t="s">
        <v>667</v>
      </c>
      <c r="O11">
        <v>2</v>
      </c>
      <c r="P11" t="s">
        <v>263</v>
      </c>
      <c r="R11" t="s">
        <v>258</v>
      </c>
    </row>
    <row r="12" spans="1:26" ht="30">
      <c r="A12" s="6" t="s">
        <v>92</v>
      </c>
      <c r="B12" s="7" t="str">
        <f>bolso("Cajon de hazmat 3",Table69[] )</f>
        <v xml:space="preserve">Cajon de hazmat 3 Contiene:  Traje de aproximacion clase "A" x1, </v>
      </c>
      <c r="C12" s="6"/>
      <c r="D12" s="6"/>
      <c r="E12" s="6"/>
      <c r="F12" s="6">
        <v>1</v>
      </c>
      <c r="G12" s="6" t="s">
        <v>8</v>
      </c>
      <c r="H12" s="6">
        <v>3</v>
      </c>
      <c r="J12" t="s">
        <v>153</v>
      </c>
      <c r="K12" t="s">
        <v>264</v>
      </c>
      <c r="O12">
        <v>2</v>
      </c>
      <c r="P12" t="s">
        <v>263</v>
      </c>
      <c r="R12" t="s">
        <v>265</v>
      </c>
    </row>
    <row r="13" spans="1:26">
      <c r="A13" s="6" t="s">
        <v>387</v>
      </c>
      <c r="B13" s="7" t="s">
        <v>388</v>
      </c>
      <c r="C13" s="6"/>
      <c r="D13" s="6"/>
      <c r="E13" s="6"/>
      <c r="F13" s="6">
        <v>1</v>
      </c>
      <c r="G13" s="6" t="s">
        <v>8</v>
      </c>
      <c r="H13" s="6">
        <v>3</v>
      </c>
      <c r="J13" t="s">
        <v>12</v>
      </c>
      <c r="K13" t="s">
        <v>668</v>
      </c>
      <c r="M13" t="s">
        <v>659</v>
      </c>
      <c r="N13">
        <v>959421</v>
      </c>
      <c r="O13">
        <v>1</v>
      </c>
      <c r="P13" t="s">
        <v>265</v>
      </c>
      <c r="R13" t="s">
        <v>352</v>
      </c>
    </row>
    <row r="14" spans="1:26">
      <c r="A14" s="6" t="s">
        <v>387</v>
      </c>
      <c r="B14" s="7"/>
      <c r="C14" s="6"/>
      <c r="D14" s="6"/>
      <c r="E14" s="6"/>
      <c r="F14" s="6">
        <v>2</v>
      </c>
      <c r="G14" s="6" t="s">
        <v>8</v>
      </c>
      <c r="H14" s="6">
        <v>3</v>
      </c>
      <c r="J14" t="s">
        <v>663</v>
      </c>
      <c r="K14" t="s">
        <v>661</v>
      </c>
      <c r="M14" t="s">
        <v>662</v>
      </c>
      <c r="O14">
        <v>1</v>
      </c>
      <c r="P14" t="s">
        <v>265</v>
      </c>
      <c r="R14" t="s">
        <v>270</v>
      </c>
    </row>
    <row r="15" spans="1:26">
      <c r="A15" t="s">
        <v>381</v>
      </c>
      <c r="B15" s="7"/>
      <c r="C15" s="6"/>
      <c r="D15" s="6"/>
      <c r="E15" s="6"/>
      <c r="F15" s="6">
        <v>2</v>
      </c>
      <c r="G15" s="6" t="s">
        <v>8</v>
      </c>
      <c r="H15" s="6">
        <v>3</v>
      </c>
      <c r="J15" t="s">
        <v>153</v>
      </c>
      <c r="K15" t="s">
        <v>19</v>
      </c>
      <c r="O15">
        <v>1</v>
      </c>
      <c r="P15" t="s">
        <v>267</v>
      </c>
      <c r="R15" t="s">
        <v>275</v>
      </c>
    </row>
    <row r="16" spans="1:26">
      <c r="A16" t="s">
        <v>90</v>
      </c>
      <c r="B16" s="7" t="s">
        <v>380</v>
      </c>
      <c r="C16" s="6"/>
      <c r="D16" s="6"/>
      <c r="E16" s="6"/>
      <c r="F16" s="6">
        <v>2</v>
      </c>
      <c r="G16" s="6" t="s">
        <v>8</v>
      </c>
      <c r="H16" s="6">
        <v>3</v>
      </c>
      <c r="J16" t="s">
        <v>153</v>
      </c>
      <c r="K16" t="s">
        <v>268</v>
      </c>
      <c r="O16">
        <v>1</v>
      </c>
      <c r="P16" t="s">
        <v>267</v>
      </c>
      <c r="R16" t="s">
        <v>362</v>
      </c>
    </row>
    <row r="17" spans="1:18">
      <c r="A17" s="6" t="s">
        <v>413</v>
      </c>
      <c r="B17" s="7" t="s">
        <v>415</v>
      </c>
      <c r="C17" s="6"/>
      <c r="D17" s="6"/>
      <c r="E17" s="6" t="s">
        <v>414</v>
      </c>
      <c r="F17" s="6">
        <v>1</v>
      </c>
      <c r="G17" s="6" t="s">
        <v>9</v>
      </c>
      <c r="H17" s="6">
        <v>1</v>
      </c>
      <c r="J17" t="s">
        <v>153</v>
      </c>
      <c r="K17" t="s">
        <v>20</v>
      </c>
      <c r="O17">
        <v>1</v>
      </c>
      <c r="P17" t="s">
        <v>267</v>
      </c>
      <c r="R17" t="s">
        <v>382</v>
      </c>
    </row>
    <row r="18" spans="1:18" ht="30">
      <c r="A18" s="6" t="s">
        <v>148</v>
      </c>
      <c r="B18" s="7" t="s">
        <v>325</v>
      </c>
      <c r="C18" s="6" t="s">
        <v>327</v>
      </c>
      <c r="D18" s="6"/>
      <c r="E18" s="6"/>
      <c r="F18" s="6">
        <v>1</v>
      </c>
      <c r="G18" s="6" t="s">
        <v>9</v>
      </c>
      <c r="H18" s="6">
        <v>1</v>
      </c>
      <c r="J18" t="s">
        <v>153</v>
      </c>
      <c r="K18" t="s">
        <v>19</v>
      </c>
      <c r="O18">
        <v>1</v>
      </c>
      <c r="P18" t="s">
        <v>269</v>
      </c>
      <c r="R18" t="s">
        <v>383</v>
      </c>
    </row>
    <row r="19" spans="1:18" ht="30">
      <c r="A19" s="6" t="s">
        <v>148</v>
      </c>
      <c r="B19" s="7" t="s">
        <v>326</v>
      </c>
      <c r="C19" s="6" t="s">
        <v>328</v>
      </c>
      <c r="D19" s="6"/>
      <c r="E19" s="6"/>
      <c r="F19" s="6">
        <v>1</v>
      </c>
      <c r="G19" s="6" t="s">
        <v>9</v>
      </c>
      <c r="H19" s="6">
        <v>1</v>
      </c>
      <c r="J19" t="s">
        <v>153</v>
      </c>
      <c r="K19" t="s">
        <v>20</v>
      </c>
      <c r="O19">
        <v>1</v>
      </c>
      <c r="P19" t="s">
        <v>269</v>
      </c>
      <c r="R19" t="s">
        <v>384</v>
      </c>
    </row>
    <row r="20" spans="1:18" ht="45">
      <c r="A20" s="6" t="s">
        <v>148</v>
      </c>
      <c r="B20" s="7" t="s">
        <v>329</v>
      </c>
      <c r="C20" s="6" t="s">
        <v>330</v>
      </c>
      <c r="D20" s="6"/>
      <c r="E20" s="6"/>
      <c r="F20" s="6">
        <v>1</v>
      </c>
      <c r="G20" s="6" t="s">
        <v>9</v>
      </c>
      <c r="H20" s="6">
        <v>1</v>
      </c>
      <c r="J20" t="s">
        <v>669</v>
      </c>
      <c r="K20" t="s">
        <v>271</v>
      </c>
      <c r="O20">
        <v>1</v>
      </c>
      <c r="P20" t="s">
        <v>270</v>
      </c>
      <c r="R20" t="s">
        <v>363</v>
      </c>
    </row>
    <row r="21" spans="1:18" ht="30">
      <c r="A21" s="6" t="s">
        <v>148</v>
      </c>
      <c r="B21" s="7" t="s">
        <v>331</v>
      </c>
      <c r="C21" s="6" t="s">
        <v>332</v>
      </c>
      <c r="D21" s="6"/>
      <c r="E21" s="6"/>
      <c r="F21" s="6">
        <v>1</v>
      </c>
      <c r="G21" s="6" t="s">
        <v>9</v>
      </c>
      <c r="H21" s="6">
        <v>1</v>
      </c>
      <c r="J21" t="s">
        <v>669</v>
      </c>
      <c r="K21" t="s">
        <v>272</v>
      </c>
      <c r="O21">
        <v>1</v>
      </c>
      <c r="P21" t="s">
        <v>270</v>
      </c>
      <c r="R21" t="s">
        <v>365</v>
      </c>
    </row>
    <row r="22" spans="1:18" ht="30">
      <c r="A22" s="6" t="s">
        <v>148</v>
      </c>
      <c r="B22" s="7" t="s">
        <v>333</v>
      </c>
      <c r="C22" s="6" t="s">
        <v>334</v>
      </c>
      <c r="D22" s="6"/>
      <c r="E22" s="6"/>
      <c r="F22" s="6">
        <v>1</v>
      </c>
      <c r="G22" s="6" t="s">
        <v>9</v>
      </c>
      <c r="H22" s="6">
        <v>1</v>
      </c>
      <c r="J22" t="s">
        <v>669</v>
      </c>
      <c r="K22" t="s">
        <v>273</v>
      </c>
      <c r="O22">
        <v>1</v>
      </c>
      <c r="P22" t="s">
        <v>270</v>
      </c>
      <c r="R22" t="s">
        <v>399</v>
      </c>
    </row>
    <row r="23" spans="1:18" ht="45">
      <c r="A23" s="6" t="s">
        <v>148</v>
      </c>
      <c r="B23" s="7" t="s">
        <v>335</v>
      </c>
      <c r="C23" s="6" t="s">
        <v>336</v>
      </c>
      <c r="D23" s="6"/>
      <c r="E23" s="6"/>
      <c r="F23" s="6">
        <v>1</v>
      </c>
      <c r="G23" s="6" t="s">
        <v>9</v>
      </c>
      <c r="H23" s="6">
        <v>1</v>
      </c>
      <c r="J23" t="s">
        <v>669</v>
      </c>
      <c r="K23" t="s">
        <v>274</v>
      </c>
      <c r="O23">
        <v>1</v>
      </c>
      <c r="P23" t="s">
        <v>270</v>
      </c>
      <c r="R23" t="s">
        <v>425</v>
      </c>
    </row>
    <row r="24" spans="1:18">
      <c r="A24" s="6" t="s">
        <v>148</v>
      </c>
      <c r="B24" s="7" t="s">
        <v>339</v>
      </c>
      <c r="C24" s="6" t="s">
        <v>340</v>
      </c>
      <c r="D24" s="6"/>
      <c r="E24" s="6"/>
      <c r="F24" s="6">
        <v>1</v>
      </c>
      <c r="G24" s="6" t="s">
        <v>9</v>
      </c>
      <c r="H24" s="6">
        <v>1</v>
      </c>
      <c r="J24" t="s">
        <v>669</v>
      </c>
      <c r="K24" t="s">
        <v>276</v>
      </c>
      <c r="O24">
        <v>1</v>
      </c>
      <c r="P24" t="s">
        <v>275</v>
      </c>
      <c r="R24" t="s">
        <v>427</v>
      </c>
    </row>
    <row r="25" spans="1:18">
      <c r="A25" s="6" t="s">
        <v>11</v>
      </c>
      <c r="B25" s="7" t="s">
        <v>412</v>
      </c>
      <c r="C25" s="6" t="s">
        <v>121</v>
      </c>
      <c r="D25" s="6"/>
      <c r="E25" s="6"/>
      <c r="F25" s="6">
        <v>2</v>
      </c>
      <c r="G25" s="6" t="s">
        <v>9</v>
      </c>
      <c r="H25" s="6">
        <v>1</v>
      </c>
      <c r="J25" t="s">
        <v>669</v>
      </c>
      <c r="K25" t="s">
        <v>277</v>
      </c>
      <c r="O25">
        <v>1</v>
      </c>
      <c r="P25" t="s">
        <v>275</v>
      </c>
      <c r="R25" t="s">
        <v>430</v>
      </c>
    </row>
    <row r="26" spans="1:18" ht="30">
      <c r="A26" s="6" t="s">
        <v>148</v>
      </c>
      <c r="B26" s="7" t="s">
        <v>337</v>
      </c>
      <c r="C26" s="6"/>
      <c r="D26" s="6"/>
      <c r="E26" s="6"/>
      <c r="F26" s="6">
        <v>1</v>
      </c>
      <c r="G26" s="6" t="s">
        <v>9</v>
      </c>
      <c r="H26" s="6">
        <v>2</v>
      </c>
      <c r="J26" t="s">
        <v>669</v>
      </c>
      <c r="K26" t="s">
        <v>278</v>
      </c>
      <c r="O26">
        <v>2</v>
      </c>
      <c r="P26" t="s">
        <v>275</v>
      </c>
      <c r="R26" t="s">
        <v>432</v>
      </c>
    </row>
    <row r="27" spans="1:18" ht="30">
      <c r="A27" s="6" t="s">
        <v>148</v>
      </c>
      <c r="B27" s="7" t="s">
        <v>338</v>
      </c>
      <c r="C27" s="6"/>
      <c r="D27" s="6"/>
      <c r="E27" s="6"/>
      <c r="F27" s="6">
        <v>1</v>
      </c>
      <c r="G27" s="6" t="s">
        <v>9</v>
      </c>
      <c r="H27" s="6">
        <v>2</v>
      </c>
      <c r="J27" t="s">
        <v>670</v>
      </c>
      <c r="K27" t="s">
        <v>279</v>
      </c>
      <c r="L27" t="s">
        <v>105</v>
      </c>
      <c r="O27">
        <v>1</v>
      </c>
      <c r="P27" t="s">
        <v>275</v>
      </c>
      <c r="R27" t="s">
        <v>435</v>
      </c>
    </row>
    <row r="28" spans="1:18">
      <c r="A28" s="6" t="s">
        <v>376</v>
      </c>
      <c r="B28" s="7" t="s">
        <v>417</v>
      </c>
      <c r="C28" s="6"/>
      <c r="D28" s="6" t="s">
        <v>416</v>
      </c>
      <c r="E28" s="6">
        <v>1043</v>
      </c>
      <c r="F28" s="6">
        <v>1</v>
      </c>
      <c r="G28" s="6" t="s">
        <v>9</v>
      </c>
      <c r="H28" s="6">
        <v>1</v>
      </c>
      <c r="J28" t="s">
        <v>670</v>
      </c>
      <c r="K28" t="s">
        <v>280</v>
      </c>
      <c r="L28" t="s">
        <v>106</v>
      </c>
      <c r="O28">
        <v>5</v>
      </c>
      <c r="P28" t="s">
        <v>275</v>
      </c>
      <c r="R28" t="s">
        <v>29</v>
      </c>
    </row>
    <row r="29" spans="1:18">
      <c r="A29" s="6" t="s">
        <v>376</v>
      </c>
      <c r="B29" s="7" t="s">
        <v>417</v>
      </c>
      <c r="C29" s="6"/>
      <c r="D29" s="6" t="s">
        <v>416</v>
      </c>
      <c r="E29" s="6">
        <v>4100</v>
      </c>
      <c r="F29" s="6">
        <v>1</v>
      </c>
      <c r="G29" s="6" t="s">
        <v>9</v>
      </c>
      <c r="H29" s="6">
        <v>1</v>
      </c>
      <c r="J29" t="s">
        <v>670</v>
      </c>
      <c r="K29" t="s">
        <v>281</v>
      </c>
      <c r="L29" t="s">
        <v>107</v>
      </c>
      <c r="O29">
        <v>2</v>
      </c>
      <c r="P29" t="s">
        <v>275</v>
      </c>
      <c r="R29" t="s">
        <v>984</v>
      </c>
    </row>
    <row r="30" spans="1:18">
      <c r="A30" s="6" t="s">
        <v>376</v>
      </c>
      <c r="B30" s="7" t="s">
        <v>418</v>
      </c>
      <c r="C30" s="6"/>
      <c r="D30" s="6"/>
      <c r="E30" s="6"/>
      <c r="F30" s="6">
        <v>2</v>
      </c>
      <c r="G30" s="6" t="s">
        <v>9</v>
      </c>
      <c r="H30" s="6">
        <v>1</v>
      </c>
      <c r="J30" t="s">
        <v>670</v>
      </c>
      <c r="K30" t="s">
        <v>282</v>
      </c>
      <c r="L30" t="s">
        <v>462</v>
      </c>
      <c r="O30">
        <v>1</v>
      </c>
      <c r="P30" t="s">
        <v>275</v>
      </c>
      <c r="R30" t="s">
        <v>1027</v>
      </c>
    </row>
    <row r="31" spans="1:18">
      <c r="A31" s="6" t="s">
        <v>376</v>
      </c>
      <c r="B31" s="7" t="s">
        <v>419</v>
      </c>
      <c r="C31" s="6"/>
      <c r="D31" s="6" t="s">
        <v>349</v>
      </c>
      <c r="E31" s="6"/>
      <c r="F31" s="6">
        <v>2</v>
      </c>
      <c r="G31" s="6" t="s">
        <v>9</v>
      </c>
      <c r="H31" s="6">
        <v>1</v>
      </c>
      <c r="J31" t="s">
        <v>671</v>
      </c>
      <c r="K31" t="s">
        <v>321</v>
      </c>
      <c r="O31">
        <v>1</v>
      </c>
      <c r="P31" t="s">
        <v>347</v>
      </c>
      <c r="R31" t="s">
        <v>1029</v>
      </c>
    </row>
    <row r="32" spans="1:18">
      <c r="A32" s="6" t="s">
        <v>376</v>
      </c>
      <c r="B32" s="7" t="s">
        <v>420</v>
      </c>
      <c r="C32" s="6"/>
      <c r="D32" s="6"/>
      <c r="E32" s="6"/>
      <c r="F32" s="6">
        <v>2</v>
      </c>
      <c r="G32" s="6" t="s">
        <v>9</v>
      </c>
      <c r="H32" s="6">
        <v>1</v>
      </c>
      <c r="J32" t="s">
        <v>671</v>
      </c>
      <c r="K32" t="s">
        <v>322</v>
      </c>
      <c r="O32">
        <v>1</v>
      </c>
      <c r="P32" t="s">
        <v>347</v>
      </c>
      <c r="R32" t="s">
        <v>1032</v>
      </c>
    </row>
    <row r="33" spans="1:18">
      <c r="A33" s="6" t="s">
        <v>99</v>
      </c>
      <c r="B33" s="7" t="s">
        <v>355</v>
      </c>
      <c r="C33" s="6"/>
      <c r="D33" s="6" t="s">
        <v>349</v>
      </c>
      <c r="E33" s="6"/>
      <c r="F33" s="6">
        <v>3</v>
      </c>
      <c r="G33" s="6" t="s">
        <v>10</v>
      </c>
      <c r="H33" s="6">
        <v>1</v>
      </c>
      <c r="J33" t="s">
        <v>671</v>
      </c>
      <c r="K33" t="s">
        <v>323</v>
      </c>
      <c r="O33">
        <v>2</v>
      </c>
      <c r="P33" t="s">
        <v>347</v>
      </c>
      <c r="R33" t="s">
        <v>1047</v>
      </c>
    </row>
    <row r="34" spans="1:18" ht="45">
      <c r="A34" s="6" t="s">
        <v>92</v>
      </c>
      <c r="B34" s="7" t="str">
        <f>bolso("Bolso de corta vidrios",Table69[])</f>
        <v xml:space="preserve">Bolso de corta vidrios Contiene:  Corta vidrios holmatro x1,  Corta cinturones x2, </v>
      </c>
      <c r="C34" s="6"/>
      <c r="D34" s="6"/>
      <c r="E34" s="6"/>
      <c r="F34" s="6">
        <v>1</v>
      </c>
      <c r="G34" s="6" t="s">
        <v>10</v>
      </c>
      <c r="H34" s="6">
        <v>1</v>
      </c>
      <c r="J34" t="s">
        <v>671</v>
      </c>
      <c r="K34" t="s">
        <v>324</v>
      </c>
      <c r="O34">
        <v>2</v>
      </c>
      <c r="P34" t="s">
        <v>347</v>
      </c>
      <c r="R34" t="s">
        <v>1054</v>
      </c>
    </row>
    <row r="35" spans="1:18" ht="60">
      <c r="A35" s="6" t="s">
        <v>92</v>
      </c>
      <c r="B35" s="7" t="str">
        <f>bolso("Bolso de comando de minicojines 2",Table69[])</f>
        <v xml:space="preserve">Bolso de comando de minicojines 2 Contiene:  Comando de minicojines x1,  Reductor de presion para minicojines x1, </v>
      </c>
      <c r="C35" s="6"/>
      <c r="D35" s="6"/>
      <c r="E35" s="6"/>
      <c r="F35" s="6">
        <v>1</v>
      </c>
      <c r="G35" s="6" t="s">
        <v>10</v>
      </c>
      <c r="H35" s="6">
        <v>1</v>
      </c>
      <c r="J35" t="s">
        <v>153</v>
      </c>
      <c r="K35" t="s">
        <v>344</v>
      </c>
      <c r="O35">
        <v>1</v>
      </c>
      <c r="P35" t="s">
        <v>343</v>
      </c>
      <c r="R35" t="s">
        <v>1059</v>
      </c>
    </row>
    <row r="36" spans="1:18" ht="30">
      <c r="A36" s="6" t="s">
        <v>92</v>
      </c>
      <c r="B36" s="7" t="s">
        <v>350</v>
      </c>
      <c r="C36" s="6"/>
      <c r="D36" s="6"/>
      <c r="E36" s="6"/>
      <c r="F36" s="6">
        <v>1</v>
      </c>
      <c r="G36" s="6" t="s">
        <v>10</v>
      </c>
      <c r="H36" s="6">
        <v>1</v>
      </c>
      <c r="J36" t="s">
        <v>153</v>
      </c>
      <c r="K36" t="s">
        <v>345</v>
      </c>
      <c r="O36">
        <v>2</v>
      </c>
      <c r="P36" t="s">
        <v>343</v>
      </c>
      <c r="R36" t="s">
        <v>1061</v>
      </c>
    </row>
    <row r="37" spans="1:18" ht="45">
      <c r="A37" s="6" t="s">
        <v>92</v>
      </c>
      <c r="B37" s="7" t="str">
        <f>bolso("Caja de cubre parantes",Table69[])</f>
        <v xml:space="preserve">Caja de cubre parantes Contiene:  Cubre parantes chico x6,  Cubre parantes grande x6, </v>
      </c>
      <c r="C37" s="6"/>
      <c r="D37" s="6" t="s">
        <v>349</v>
      </c>
      <c r="E37" s="6"/>
      <c r="F37" s="6">
        <v>1</v>
      </c>
      <c r="G37" s="6" t="s">
        <v>10</v>
      </c>
      <c r="H37" s="6">
        <v>1</v>
      </c>
      <c r="J37" t="s">
        <v>671</v>
      </c>
      <c r="K37" t="s">
        <v>321</v>
      </c>
      <c r="O37">
        <v>1</v>
      </c>
      <c r="P37" t="s">
        <v>348</v>
      </c>
    </row>
    <row r="38" spans="1:18" ht="45">
      <c r="A38" s="6" t="s">
        <v>92</v>
      </c>
      <c r="B38" s="7" t="str">
        <f>bolso("Caja de seguridad en la escena",Table69[])</f>
        <v xml:space="preserve">Caja de seguridad en la escena Contiene:  lampara vial x4,  Lampara vial marca x1, </v>
      </c>
      <c r="C38" s="6"/>
      <c r="D38" s="6"/>
      <c r="E38" s="6"/>
      <c r="F38" s="6">
        <v>1</v>
      </c>
      <c r="G38" s="6" t="s">
        <v>10</v>
      </c>
      <c r="H38" s="6">
        <v>1</v>
      </c>
      <c r="J38" t="s">
        <v>671</v>
      </c>
      <c r="K38" t="s">
        <v>322</v>
      </c>
      <c r="O38">
        <v>1</v>
      </c>
      <c r="P38" t="s">
        <v>348</v>
      </c>
    </row>
    <row r="39" spans="1:18" ht="30">
      <c r="A39" s="6" t="s">
        <v>92</v>
      </c>
      <c r="B39" s="7" t="str">
        <f>bolso("Cajon de tacos 1",Table69[])</f>
        <v xml:space="preserve">Cajon de tacos 1 Contiene:  Tacos varios de madera x12, </v>
      </c>
      <c r="C39" s="6"/>
      <c r="D39" s="6"/>
      <c r="E39" s="6"/>
      <c r="F39" s="6">
        <v>1</v>
      </c>
      <c r="G39" s="6" t="s">
        <v>10</v>
      </c>
      <c r="H39" s="6">
        <v>1</v>
      </c>
      <c r="J39" t="s">
        <v>672</v>
      </c>
      <c r="K39" t="s">
        <v>353</v>
      </c>
      <c r="O39">
        <v>6</v>
      </c>
      <c r="P39" t="s">
        <v>352</v>
      </c>
    </row>
    <row r="40" spans="1:18" ht="45">
      <c r="A40" s="6" t="s">
        <v>92</v>
      </c>
      <c r="B40" s="7" t="str">
        <f>bolso("Cajon de tacos 2",Table69[])</f>
        <v xml:space="preserve">Cajon de tacos 2 Contiene:  Cuña plastica x11,  Taco plastico fino x5,  Taco plastico ancho x6, </v>
      </c>
      <c r="C40" s="6"/>
      <c r="D40" s="6"/>
      <c r="E40" s="6"/>
      <c r="F40" s="6">
        <v>1</v>
      </c>
      <c r="G40" s="6" t="s">
        <v>10</v>
      </c>
      <c r="H40" s="6">
        <v>1</v>
      </c>
      <c r="J40" t="s">
        <v>672</v>
      </c>
      <c r="K40" t="s">
        <v>354</v>
      </c>
      <c r="O40">
        <v>6</v>
      </c>
      <c r="P40" t="s">
        <v>352</v>
      </c>
    </row>
    <row r="41" spans="1:18">
      <c r="A41" s="6" t="s">
        <v>357</v>
      </c>
      <c r="B41" s="7" t="s">
        <v>358</v>
      </c>
      <c r="C41" s="6"/>
      <c r="D41" s="6" t="s">
        <v>349</v>
      </c>
      <c r="E41" s="6">
        <v>58115</v>
      </c>
      <c r="F41" s="6">
        <v>1</v>
      </c>
      <c r="G41" s="6" t="s">
        <v>10</v>
      </c>
      <c r="H41" s="6">
        <v>1</v>
      </c>
      <c r="J41" t="s">
        <v>673</v>
      </c>
      <c r="K41" t="s">
        <v>674</v>
      </c>
      <c r="M41" t="s">
        <v>675</v>
      </c>
      <c r="O41">
        <v>4</v>
      </c>
      <c r="P41" t="s">
        <v>362</v>
      </c>
    </row>
    <row r="42" spans="1:18">
      <c r="A42" s="6" t="s">
        <v>83</v>
      </c>
      <c r="B42" s="7" t="s">
        <v>358</v>
      </c>
      <c r="C42" s="6"/>
      <c r="D42" s="6" t="s">
        <v>349</v>
      </c>
      <c r="E42" s="6">
        <v>114947</v>
      </c>
      <c r="F42" s="6">
        <v>1</v>
      </c>
      <c r="G42" s="6" t="s">
        <v>10</v>
      </c>
      <c r="H42" s="6">
        <v>1</v>
      </c>
      <c r="J42" t="s">
        <v>673</v>
      </c>
      <c r="K42" t="s">
        <v>676</v>
      </c>
      <c r="M42" t="s">
        <v>677</v>
      </c>
      <c r="O42">
        <v>1</v>
      </c>
      <c r="P42" t="s">
        <v>362</v>
      </c>
    </row>
    <row r="43" spans="1:18">
      <c r="A43" s="6" t="s">
        <v>238</v>
      </c>
      <c r="B43" s="7"/>
      <c r="C43" s="6"/>
      <c r="D43" s="6" t="s">
        <v>349</v>
      </c>
      <c r="E43" s="6"/>
      <c r="F43" s="6">
        <v>2</v>
      </c>
      <c r="G43" s="6" t="s">
        <v>10</v>
      </c>
      <c r="H43" s="6">
        <v>1</v>
      </c>
      <c r="J43" t="s">
        <v>678</v>
      </c>
      <c r="K43" t="s">
        <v>364</v>
      </c>
      <c r="O43">
        <v>12</v>
      </c>
      <c r="P43" t="s">
        <v>363</v>
      </c>
    </row>
    <row r="44" spans="1:18">
      <c r="A44" s="6" t="s">
        <v>238</v>
      </c>
      <c r="B44" s="7"/>
      <c r="C44" s="6"/>
      <c r="D44" s="6" t="s">
        <v>351</v>
      </c>
      <c r="E44" s="6"/>
      <c r="F44" s="6">
        <v>2</v>
      </c>
      <c r="G44" s="6" t="s">
        <v>10</v>
      </c>
      <c r="H44" s="6">
        <v>1</v>
      </c>
      <c r="J44" t="s">
        <v>678</v>
      </c>
      <c r="K44" t="s">
        <v>366</v>
      </c>
      <c r="O44">
        <v>11</v>
      </c>
      <c r="P44" t="s">
        <v>365</v>
      </c>
    </row>
    <row r="45" spans="1:18">
      <c r="A45" s="6" t="s">
        <v>238</v>
      </c>
      <c r="B45" s="7"/>
      <c r="C45" s="6"/>
      <c r="D45" s="6"/>
      <c r="E45" s="6"/>
      <c r="F45" s="6">
        <v>1</v>
      </c>
      <c r="G45" s="6" t="s">
        <v>10</v>
      </c>
      <c r="H45" s="6">
        <v>1</v>
      </c>
      <c r="J45" t="s">
        <v>678</v>
      </c>
      <c r="K45" t="s">
        <v>367</v>
      </c>
      <c r="O45">
        <v>5</v>
      </c>
      <c r="P45" t="s">
        <v>365</v>
      </c>
    </row>
    <row r="46" spans="1:18" ht="30">
      <c r="A46" s="6" t="s">
        <v>80</v>
      </c>
      <c r="B46" s="7" t="s">
        <v>361</v>
      </c>
      <c r="C46" s="6"/>
      <c r="D46" s="6" t="s">
        <v>349</v>
      </c>
      <c r="E46" s="6">
        <v>122054</v>
      </c>
      <c r="F46" s="6">
        <v>1</v>
      </c>
      <c r="G46" s="6" t="s">
        <v>10</v>
      </c>
      <c r="H46" s="6">
        <v>1</v>
      </c>
      <c r="J46" t="s">
        <v>678</v>
      </c>
      <c r="K46" t="s">
        <v>368</v>
      </c>
      <c r="O46">
        <v>6</v>
      </c>
      <c r="P46" t="s">
        <v>365</v>
      </c>
    </row>
    <row r="47" spans="1:18">
      <c r="A47" s="6" t="s">
        <v>341</v>
      </c>
      <c r="B47" s="7" t="s">
        <v>342</v>
      </c>
      <c r="C47" s="6"/>
      <c r="D47" s="6"/>
      <c r="E47" s="6"/>
      <c r="F47" s="6">
        <v>4</v>
      </c>
      <c r="G47" s="6" t="s">
        <v>10</v>
      </c>
      <c r="H47" s="6">
        <v>1</v>
      </c>
      <c r="J47" t="s">
        <v>90</v>
      </c>
      <c r="K47" t="s">
        <v>378</v>
      </c>
      <c r="O47">
        <v>8</v>
      </c>
      <c r="P47" t="s">
        <v>382</v>
      </c>
    </row>
    <row r="48" spans="1:18">
      <c r="A48" s="6" t="s">
        <v>360</v>
      </c>
      <c r="B48" s="7" t="s">
        <v>358</v>
      </c>
      <c r="C48" s="6"/>
      <c r="D48" s="6" t="s">
        <v>349</v>
      </c>
      <c r="E48" s="6">
        <v>57523</v>
      </c>
      <c r="F48" s="6">
        <v>1</v>
      </c>
      <c r="G48" s="6" t="s">
        <v>10</v>
      </c>
      <c r="H48" s="6">
        <v>1</v>
      </c>
      <c r="J48" t="s">
        <v>90</v>
      </c>
      <c r="K48" t="s">
        <v>379</v>
      </c>
      <c r="O48">
        <v>3</v>
      </c>
      <c r="P48" t="s">
        <v>382</v>
      </c>
    </row>
    <row r="49" spans="1:16">
      <c r="A49" s="6" t="s">
        <v>253</v>
      </c>
      <c r="B49" s="7" t="s">
        <v>346</v>
      </c>
      <c r="C49" s="6"/>
      <c r="D49" s="6"/>
      <c r="E49" s="6"/>
      <c r="F49" s="6">
        <v>1</v>
      </c>
      <c r="G49" s="6" t="s">
        <v>10</v>
      </c>
      <c r="H49" s="6">
        <v>1</v>
      </c>
      <c r="J49" t="s">
        <v>90</v>
      </c>
      <c r="K49" t="s">
        <v>379</v>
      </c>
      <c r="O49">
        <v>1</v>
      </c>
      <c r="P49" t="s">
        <v>383</v>
      </c>
    </row>
    <row r="50" spans="1:16">
      <c r="A50" s="6" t="s">
        <v>95</v>
      </c>
      <c r="B50" s="7" t="s">
        <v>359</v>
      </c>
      <c r="C50" s="6"/>
      <c r="D50" s="6" t="s">
        <v>349</v>
      </c>
      <c r="E50" s="6" t="s">
        <v>356</v>
      </c>
      <c r="F50" s="6">
        <v>1</v>
      </c>
      <c r="G50" s="6" t="s">
        <v>10</v>
      </c>
      <c r="H50" s="6">
        <v>1</v>
      </c>
      <c r="J50" t="s">
        <v>90</v>
      </c>
      <c r="K50" t="s">
        <v>378</v>
      </c>
      <c r="O50">
        <v>2</v>
      </c>
      <c r="P50" t="s">
        <v>383</v>
      </c>
    </row>
    <row r="51" spans="1:16">
      <c r="A51" s="6" t="s">
        <v>95</v>
      </c>
      <c r="B51" s="7" t="s">
        <v>358</v>
      </c>
      <c r="C51" s="6"/>
      <c r="D51" s="6" t="s">
        <v>349</v>
      </c>
      <c r="E51" s="6">
        <v>54864</v>
      </c>
      <c r="F51" s="6">
        <v>1</v>
      </c>
      <c r="G51" s="6" t="s">
        <v>10</v>
      </c>
      <c r="H51" s="6">
        <v>1</v>
      </c>
      <c r="J51" t="s">
        <v>90</v>
      </c>
      <c r="K51" t="s">
        <v>379</v>
      </c>
      <c r="O51">
        <v>1</v>
      </c>
      <c r="P51" t="s">
        <v>384</v>
      </c>
    </row>
    <row r="52" spans="1:16">
      <c r="A52" s="6" t="s">
        <v>95</v>
      </c>
      <c r="B52" s="7" t="s">
        <v>358</v>
      </c>
      <c r="C52" s="6"/>
      <c r="D52" s="6" t="s">
        <v>349</v>
      </c>
      <c r="E52" s="6">
        <v>88310</v>
      </c>
      <c r="F52" s="6">
        <v>1</v>
      </c>
      <c r="G52" s="6" t="s">
        <v>10</v>
      </c>
      <c r="H52" s="6">
        <v>1</v>
      </c>
      <c r="J52" t="s">
        <v>678</v>
      </c>
      <c r="K52" t="s">
        <v>400</v>
      </c>
      <c r="O52">
        <v>9</v>
      </c>
      <c r="P52" t="s">
        <v>399</v>
      </c>
    </row>
    <row r="53" spans="1:16">
      <c r="A53" s="6" t="s">
        <v>99</v>
      </c>
      <c r="B53" s="7" t="s">
        <v>409</v>
      </c>
      <c r="C53" s="6"/>
      <c r="D53" s="6"/>
      <c r="E53" s="6"/>
      <c r="F53" s="6">
        <v>1</v>
      </c>
      <c r="G53" s="6" t="s">
        <v>10</v>
      </c>
      <c r="H53" t="s">
        <v>396</v>
      </c>
      <c r="J53" t="s">
        <v>678</v>
      </c>
      <c r="K53" t="s">
        <v>401</v>
      </c>
      <c r="O53">
        <v>4</v>
      </c>
      <c r="P53" t="s">
        <v>399</v>
      </c>
    </row>
    <row r="54" spans="1:16" ht="45">
      <c r="A54" s="6" t="s">
        <v>398</v>
      </c>
      <c r="B54" s="7" t="str">
        <f>bolso("Cajon de tacos 3",Table69[] )</f>
        <v xml:space="preserve">Cajon de tacos 3 Contiene:  Tacos grandes cuadrados x9,  Cuñas grandes x4,  Cuñas chicas x5, </v>
      </c>
      <c r="C54" s="6"/>
      <c r="D54" s="6"/>
      <c r="E54" s="6"/>
      <c r="F54" s="6">
        <v>1</v>
      </c>
      <c r="G54" s="6" t="s">
        <v>10</v>
      </c>
      <c r="H54" t="s">
        <v>396</v>
      </c>
      <c r="J54" t="s">
        <v>678</v>
      </c>
      <c r="K54" t="s">
        <v>402</v>
      </c>
      <c r="O54">
        <v>5</v>
      </c>
      <c r="P54" t="s">
        <v>399</v>
      </c>
    </row>
    <row r="55" spans="1:16">
      <c r="A55" s="6" t="s">
        <v>341</v>
      </c>
      <c r="B55" s="7" t="s">
        <v>403</v>
      </c>
      <c r="C55" s="6"/>
      <c r="D55" s="6"/>
      <c r="E55" s="6"/>
      <c r="F55" s="6">
        <v>5</v>
      </c>
      <c r="G55" s="6" t="s">
        <v>10</v>
      </c>
      <c r="H55" t="s">
        <v>396</v>
      </c>
      <c r="J55" t="s">
        <v>189</v>
      </c>
      <c r="K55" t="s">
        <v>426</v>
      </c>
      <c r="O55">
        <v>2</v>
      </c>
      <c r="P55" t="s">
        <v>425</v>
      </c>
    </row>
    <row r="56" spans="1:16">
      <c r="A56" s="6" t="s">
        <v>222</v>
      </c>
      <c r="B56" s="7" t="s">
        <v>404</v>
      </c>
      <c r="C56" s="6"/>
      <c r="D56" s="6" t="s">
        <v>405</v>
      </c>
      <c r="E56" s="6" t="s">
        <v>406</v>
      </c>
      <c r="F56" s="6">
        <v>1</v>
      </c>
      <c r="G56" s="6" t="s">
        <v>10</v>
      </c>
      <c r="H56" t="s">
        <v>396</v>
      </c>
      <c r="J56" t="s">
        <v>679</v>
      </c>
      <c r="K56" t="s">
        <v>428</v>
      </c>
      <c r="O56">
        <v>1</v>
      </c>
      <c r="P56" t="s">
        <v>427</v>
      </c>
    </row>
    <row r="57" spans="1:16">
      <c r="A57" s="6" t="s">
        <v>222</v>
      </c>
      <c r="B57" s="7" t="s">
        <v>404</v>
      </c>
      <c r="C57" s="6"/>
      <c r="D57" s="6" t="s">
        <v>407</v>
      </c>
      <c r="E57" s="6" t="s">
        <v>408</v>
      </c>
      <c r="F57" s="6">
        <v>1</v>
      </c>
      <c r="G57" s="6" t="s">
        <v>10</v>
      </c>
      <c r="H57" t="s">
        <v>396</v>
      </c>
      <c r="J57" t="s">
        <v>679</v>
      </c>
      <c r="K57" t="s">
        <v>429</v>
      </c>
      <c r="O57">
        <v>1</v>
      </c>
      <c r="P57" t="s">
        <v>427</v>
      </c>
    </row>
    <row r="58" spans="1:16">
      <c r="A58" s="6" t="s">
        <v>110</v>
      </c>
      <c r="B58" s="7" t="s">
        <v>397</v>
      </c>
      <c r="C58" s="6"/>
      <c r="D58" s="6"/>
      <c r="E58" s="6"/>
      <c r="F58" s="6">
        <v>4</v>
      </c>
      <c r="G58" s="6" t="s">
        <v>10</v>
      </c>
      <c r="H58" t="s">
        <v>396</v>
      </c>
      <c r="J58" t="s">
        <v>679</v>
      </c>
      <c r="K58" t="s">
        <v>431</v>
      </c>
      <c r="O58">
        <v>2</v>
      </c>
      <c r="P58" t="s">
        <v>430</v>
      </c>
    </row>
    <row r="59" spans="1:16" ht="45">
      <c r="A59" s="6" t="s">
        <v>92</v>
      </c>
      <c r="B59" s="7" t="str">
        <f>bolso("Bolso de martillo demoledor",Table69[])</f>
        <v xml:space="preserve">Bolso de martillo demoledor Contiene:  Martillo demoledor 220v grande   x1,  Mecha x2, </v>
      </c>
      <c r="C59" s="6"/>
      <c r="D59" s="6"/>
      <c r="E59" s="6"/>
      <c r="F59" s="6">
        <v>1</v>
      </c>
      <c r="G59" s="6" t="s">
        <v>252</v>
      </c>
      <c r="H59" s="6">
        <v>1</v>
      </c>
      <c r="J59" t="s">
        <v>679</v>
      </c>
      <c r="K59" t="s">
        <v>434</v>
      </c>
      <c r="O59">
        <v>1</v>
      </c>
      <c r="P59" t="s">
        <v>433</v>
      </c>
    </row>
    <row r="60" spans="1:16" ht="45">
      <c r="A60" s="6" t="s">
        <v>92</v>
      </c>
      <c r="B60" s="7" t="str">
        <f>bolso("Bolso de rotomartillo",Table69[])</f>
        <v xml:space="preserve">Bolso de rotomartillo Contiene:  Rotomartillo 220v   x1,  Mecha sincel x2,  Mecha x2, </v>
      </c>
      <c r="C60" s="6"/>
      <c r="D60" s="6"/>
      <c r="E60" s="6"/>
      <c r="F60" s="6">
        <v>1</v>
      </c>
      <c r="G60" s="6" t="s">
        <v>252</v>
      </c>
      <c r="H60" s="6">
        <v>1</v>
      </c>
      <c r="J60" t="s">
        <v>603</v>
      </c>
      <c r="K60" t="s">
        <v>436</v>
      </c>
      <c r="O60">
        <v>4</v>
      </c>
      <c r="P60" t="s">
        <v>435</v>
      </c>
    </row>
    <row r="61" spans="1:16" ht="75">
      <c r="A61" s="6" t="s">
        <v>92</v>
      </c>
      <c r="B61" s="7" t="str">
        <f>bolso("Bolso de amoladora",Table69[])</f>
        <v xml:space="preserve">Bolso de amoladora Contiene:  Amoladora electrica a bateria  x1,  Bateria  x2,  Cargador de bateria  x2,  Herramienta para cambio de disco de amoladora x2, </v>
      </c>
      <c r="C61" s="6"/>
      <c r="D61" s="6" t="s">
        <v>261</v>
      </c>
      <c r="E61" s="6"/>
      <c r="F61" s="6">
        <v>1</v>
      </c>
      <c r="G61" s="6" t="s">
        <v>252</v>
      </c>
      <c r="H61" s="6">
        <v>1</v>
      </c>
      <c r="J61" t="s">
        <v>148</v>
      </c>
      <c r="K61" t="s">
        <v>437</v>
      </c>
      <c r="O61">
        <v>1</v>
      </c>
      <c r="P61" t="s">
        <v>29</v>
      </c>
    </row>
    <row r="62" spans="1:16" ht="30">
      <c r="A62" s="6" t="s">
        <v>92</v>
      </c>
      <c r="B62" s="7" t="str">
        <f>bolso("Bolso de sierra sable",Table69[])</f>
        <v xml:space="preserve">Bolso de sierra sable Contiene:  Sierra sable  x1,  Bateria  x1, </v>
      </c>
      <c r="C62" s="6"/>
      <c r="D62" s="6" t="s">
        <v>261</v>
      </c>
      <c r="E62" s="6"/>
      <c r="F62" s="6">
        <v>1</v>
      </c>
      <c r="G62" s="6" t="s">
        <v>252</v>
      </c>
      <c r="H62" s="6">
        <v>1</v>
      </c>
      <c r="J62" t="s">
        <v>217</v>
      </c>
      <c r="K62" t="s">
        <v>197</v>
      </c>
      <c r="O62">
        <v>1</v>
      </c>
      <c r="P62" t="s">
        <v>29</v>
      </c>
    </row>
    <row r="63" spans="1:16" ht="30">
      <c r="A63" s="6" t="s">
        <v>92</v>
      </c>
      <c r="B63" s="7" t="str">
        <f>bolso("Bolso de carpintero 1",Table69[])</f>
        <v xml:space="preserve">Bolso de carpintero 1 Contiene:  Martillo x1,  Pinza x1,  Alicate x1, </v>
      </c>
      <c r="C63" s="6"/>
      <c r="D63" s="6"/>
      <c r="E63" s="6"/>
      <c r="F63" s="6">
        <v>1</v>
      </c>
      <c r="G63" s="6" t="s">
        <v>252</v>
      </c>
      <c r="H63" s="6">
        <v>1</v>
      </c>
      <c r="J63" t="s">
        <v>217</v>
      </c>
      <c r="K63" t="s">
        <v>438</v>
      </c>
      <c r="O63">
        <v>2</v>
      </c>
      <c r="P63" t="s">
        <v>29</v>
      </c>
    </row>
    <row r="64" spans="1:16" ht="30">
      <c r="A64" s="6" t="s">
        <v>92</v>
      </c>
      <c r="B64" s="7" t="str">
        <f>bolso("Bolso de carpintero 2",Table69[])</f>
        <v xml:space="preserve">Bolso de carpintero 2 Contiene:  Martillo x1,  Alicate x1, </v>
      </c>
      <c r="C64" s="6"/>
      <c r="D64" s="6"/>
      <c r="E64" s="6"/>
      <c r="F64" s="6">
        <v>1</v>
      </c>
      <c r="G64" s="6" t="s">
        <v>252</v>
      </c>
      <c r="H64" s="6">
        <v>1</v>
      </c>
      <c r="J64" t="s">
        <v>217</v>
      </c>
      <c r="K64" t="s">
        <v>439</v>
      </c>
      <c r="O64">
        <v>2</v>
      </c>
      <c r="P64" t="s">
        <v>29</v>
      </c>
    </row>
    <row r="65" spans="1:16" ht="60">
      <c r="A65" s="6" t="s">
        <v>92</v>
      </c>
      <c r="B65" s="7" t="str">
        <f>bolso("Caja de eslingas 1",Table69[])</f>
        <v xml:space="preserve">Caja de eslingas 1 Contiene:  Eslinga 3tn año 01/2011 x1,  Eslinga 3tn año 01/2012 x1,  Eslinga 6tn año 11/2010 x1,  Eslinga 6tn Sin año x1, </v>
      </c>
      <c r="C65" s="6"/>
      <c r="D65" s="6"/>
      <c r="E65" s="6"/>
      <c r="F65" s="6">
        <v>1</v>
      </c>
      <c r="G65" s="6" t="s">
        <v>252</v>
      </c>
      <c r="H65" s="6">
        <v>1</v>
      </c>
      <c r="J65" t="s">
        <v>217</v>
      </c>
      <c r="K65" t="s">
        <v>19</v>
      </c>
      <c r="O65">
        <v>1</v>
      </c>
      <c r="P65" t="s">
        <v>29</v>
      </c>
    </row>
    <row r="66" spans="1:16" ht="90">
      <c r="A66" s="6" t="s">
        <v>92</v>
      </c>
      <c r="B66" s="7" t="str">
        <f>bolso("Caja de eslingas 2",Table69[])</f>
        <v xml:space="preserve">Caja de eslingas 2 Contiene:  Eslinga fina x1,  Eslinga will 1tn año 02/2013 x1,  Eslinga grande 6TN año 02/2015 x2,  Grillete chico x1,  Grillete mediano x5,  Grillete grande x2,  Grillete muy grande x1, </v>
      </c>
      <c r="C66" s="6"/>
      <c r="D66" s="6"/>
      <c r="E66" s="6"/>
      <c r="F66" s="6">
        <v>1</v>
      </c>
      <c r="G66" s="6" t="s">
        <v>252</v>
      </c>
      <c r="H66" s="6">
        <v>1</v>
      </c>
      <c r="J66" t="s">
        <v>217</v>
      </c>
      <c r="K66" t="s">
        <v>440</v>
      </c>
      <c r="O66">
        <v>1</v>
      </c>
      <c r="P66" t="s">
        <v>29</v>
      </c>
    </row>
    <row r="67" spans="1:16" ht="90">
      <c r="A67" s="6" t="s">
        <v>92</v>
      </c>
      <c r="B67" s="7" t="str">
        <f>bolso("Bolso de comando de minicojines 1",Table69[])</f>
        <v xml:space="preserve">Bolso de comando de minicojines 1 Contiene:  Comando de minicojines x1,  Reductor de presion para minicojines x1,  Mangueras de aire comprimido para minicojines x2,  Valvula de presion con manometro x2, </v>
      </c>
      <c r="C67" s="6"/>
      <c r="D67" s="6"/>
      <c r="E67" s="6"/>
      <c r="F67" s="6">
        <v>1</v>
      </c>
      <c r="G67" s="6" t="s">
        <v>252</v>
      </c>
      <c r="H67" s="6">
        <v>1</v>
      </c>
      <c r="J67" t="s">
        <v>217</v>
      </c>
      <c r="K67" t="s">
        <v>441</v>
      </c>
      <c r="O67">
        <v>3</v>
      </c>
      <c r="P67" t="s">
        <v>29</v>
      </c>
    </row>
    <row r="68" spans="1:16">
      <c r="A68" s="6" t="s">
        <v>153</v>
      </c>
      <c r="B68" s="7" t="s">
        <v>410</v>
      </c>
      <c r="C68" s="6" t="s">
        <v>155</v>
      </c>
      <c r="D68" s="6"/>
      <c r="E68" s="6"/>
      <c r="F68" s="6">
        <v>3</v>
      </c>
      <c r="G68" s="6" t="s">
        <v>252</v>
      </c>
      <c r="H68" s="6">
        <v>1</v>
      </c>
      <c r="J68" t="s">
        <v>217</v>
      </c>
      <c r="K68" t="s">
        <v>442</v>
      </c>
      <c r="O68">
        <v>1</v>
      </c>
      <c r="P68" t="s">
        <v>29</v>
      </c>
    </row>
    <row r="69" spans="1:16">
      <c r="A69" s="6" t="s">
        <v>153</v>
      </c>
      <c r="B69" s="7" t="s">
        <v>411</v>
      </c>
      <c r="C69" s="6" t="s">
        <v>155</v>
      </c>
      <c r="D69" s="6"/>
      <c r="E69" s="6"/>
      <c r="F69" s="6">
        <v>1</v>
      </c>
      <c r="G69" s="6" t="s">
        <v>252</v>
      </c>
      <c r="H69" s="6">
        <v>1</v>
      </c>
      <c r="J69" t="s">
        <v>217</v>
      </c>
      <c r="K69" t="s">
        <v>443</v>
      </c>
      <c r="O69">
        <v>1</v>
      </c>
      <c r="P69" t="s">
        <v>29</v>
      </c>
    </row>
    <row r="70" spans="1:16">
      <c r="A70" s="6" t="s">
        <v>12</v>
      </c>
      <c r="B70" s="7" t="s">
        <v>260</v>
      </c>
      <c r="C70" s="6"/>
      <c r="D70" s="6" t="s">
        <v>261</v>
      </c>
      <c r="E70" s="9" t="s">
        <v>262</v>
      </c>
      <c r="F70" s="6">
        <v>1</v>
      </c>
      <c r="G70" s="6" t="s">
        <v>252</v>
      </c>
      <c r="H70" s="6">
        <v>1</v>
      </c>
      <c r="J70" t="s">
        <v>217</v>
      </c>
      <c r="K70" t="s">
        <v>444</v>
      </c>
      <c r="O70">
        <v>1</v>
      </c>
      <c r="P70" t="s">
        <v>29</v>
      </c>
    </row>
    <row r="71" spans="1:16" ht="30">
      <c r="A71" t="s">
        <v>253</v>
      </c>
      <c r="B71" s="7" t="s">
        <v>254</v>
      </c>
      <c r="C71" s="6"/>
      <c r="D71" s="6"/>
      <c r="E71" s="6"/>
      <c r="F71" s="6">
        <v>3</v>
      </c>
      <c r="G71" s="6" t="s">
        <v>252</v>
      </c>
      <c r="H71" s="6">
        <v>1</v>
      </c>
      <c r="J71" t="s">
        <v>217</v>
      </c>
      <c r="K71" t="s">
        <v>445</v>
      </c>
      <c r="O71">
        <v>1</v>
      </c>
      <c r="P71" t="s">
        <v>29</v>
      </c>
    </row>
    <row r="72" spans="1:16">
      <c r="A72" s="6" t="s">
        <v>87</v>
      </c>
      <c r="B72" s="7" t="s">
        <v>255</v>
      </c>
      <c r="C72" s="6"/>
      <c r="D72" s="6"/>
      <c r="E72" s="6"/>
      <c r="F72" s="6">
        <v>9</v>
      </c>
      <c r="G72" s="6" t="s">
        <v>252</v>
      </c>
      <c r="H72" s="6">
        <v>1</v>
      </c>
      <c r="J72" t="s">
        <v>217</v>
      </c>
      <c r="K72" t="s">
        <v>446</v>
      </c>
      <c r="O72">
        <v>1</v>
      </c>
      <c r="P72" t="s">
        <v>29</v>
      </c>
    </row>
    <row r="73" spans="1:16">
      <c r="A73" s="6" t="s">
        <v>87</v>
      </c>
      <c r="B73" s="7" t="s">
        <v>266</v>
      </c>
      <c r="C73" s="6"/>
      <c r="D73" s="6"/>
      <c r="E73" s="6"/>
      <c r="F73" s="6">
        <v>2</v>
      </c>
      <c r="G73" s="6" t="s">
        <v>252</v>
      </c>
      <c r="H73" s="6">
        <v>1</v>
      </c>
      <c r="J73" t="s">
        <v>217</v>
      </c>
      <c r="K73" t="s">
        <v>447</v>
      </c>
      <c r="O73">
        <v>1</v>
      </c>
      <c r="P73" t="s">
        <v>29</v>
      </c>
    </row>
    <row r="74" spans="1:16">
      <c r="A74" s="6" t="s">
        <v>395</v>
      </c>
      <c r="B74" s="7"/>
      <c r="C74" s="6"/>
      <c r="D74" s="6"/>
      <c r="E74" s="6"/>
      <c r="F74" s="6">
        <v>4</v>
      </c>
      <c r="G74" s="6" t="s">
        <v>7</v>
      </c>
      <c r="H74" s="6">
        <v>1</v>
      </c>
      <c r="J74" t="s">
        <v>217</v>
      </c>
      <c r="K74" t="s">
        <v>448</v>
      </c>
      <c r="O74">
        <v>1</v>
      </c>
      <c r="P74" t="s">
        <v>29</v>
      </c>
    </row>
    <row r="75" spans="1:16">
      <c r="A75" s="6" t="s">
        <v>390</v>
      </c>
      <c r="B75" s="7"/>
      <c r="C75" s="6" t="s">
        <v>391</v>
      </c>
      <c r="D75" s="6"/>
      <c r="E75" s="6"/>
      <c r="F75" s="6">
        <v>1</v>
      </c>
      <c r="G75" s="6" t="s">
        <v>7</v>
      </c>
      <c r="H75" s="6">
        <v>1</v>
      </c>
      <c r="J75" t="s">
        <v>914</v>
      </c>
      <c r="K75" t="s">
        <v>985</v>
      </c>
      <c r="L75" t="s">
        <v>901</v>
      </c>
      <c r="O75">
        <v>3</v>
      </c>
      <c r="P75" t="s">
        <v>984</v>
      </c>
    </row>
    <row r="76" spans="1:16">
      <c r="A76" s="6" t="s">
        <v>390</v>
      </c>
      <c r="B76" s="7"/>
      <c r="C76" s="6" t="s">
        <v>392</v>
      </c>
      <c r="D76" s="6"/>
      <c r="E76" s="6"/>
      <c r="F76" s="6">
        <v>1</v>
      </c>
      <c r="G76" s="6" t="s">
        <v>7</v>
      </c>
      <c r="H76" s="6">
        <v>1</v>
      </c>
      <c r="J76" t="s">
        <v>914</v>
      </c>
      <c r="K76" t="s">
        <v>986</v>
      </c>
      <c r="L76" t="s">
        <v>901</v>
      </c>
      <c r="O76">
        <v>2</v>
      </c>
      <c r="P76" t="s">
        <v>984</v>
      </c>
    </row>
    <row r="77" spans="1:16">
      <c r="A77" s="6" t="s">
        <v>185</v>
      </c>
      <c r="B77" s="7" t="s">
        <v>394</v>
      </c>
      <c r="C77" s="6"/>
      <c r="D77" s="6"/>
      <c r="E77" s="6"/>
      <c r="F77" s="6">
        <v>1</v>
      </c>
      <c r="G77" s="6" t="s">
        <v>7</v>
      </c>
      <c r="H77" s="6">
        <v>1</v>
      </c>
      <c r="J77" t="s">
        <v>914</v>
      </c>
      <c r="K77" t="s">
        <v>987</v>
      </c>
      <c r="L77" t="s">
        <v>901</v>
      </c>
      <c r="O77">
        <v>2</v>
      </c>
      <c r="P77" t="s">
        <v>984</v>
      </c>
    </row>
    <row r="78" spans="1:16">
      <c r="A78" s="6" t="s">
        <v>209</v>
      </c>
      <c r="B78" s="7"/>
      <c r="C78" s="6"/>
      <c r="D78" s="6"/>
      <c r="E78" s="6"/>
      <c r="F78" s="6">
        <v>1</v>
      </c>
      <c r="G78" s="6" t="s">
        <v>7</v>
      </c>
      <c r="H78" s="6">
        <v>1</v>
      </c>
      <c r="J78" t="s">
        <v>914</v>
      </c>
      <c r="K78" t="s">
        <v>988</v>
      </c>
      <c r="L78" t="s">
        <v>901</v>
      </c>
      <c r="O78">
        <v>2</v>
      </c>
      <c r="P78" t="s">
        <v>984</v>
      </c>
    </row>
    <row r="79" spans="1:16">
      <c r="A79" s="6" t="s">
        <v>253</v>
      </c>
      <c r="B79" s="7" t="s">
        <v>393</v>
      </c>
      <c r="C79" s="6"/>
      <c r="D79" s="6"/>
      <c r="E79" s="6"/>
      <c r="F79" s="6">
        <v>1</v>
      </c>
      <c r="G79" s="6" t="s">
        <v>7</v>
      </c>
      <c r="H79" s="6">
        <v>1</v>
      </c>
      <c r="J79" t="s">
        <v>914</v>
      </c>
      <c r="K79" t="s">
        <v>989</v>
      </c>
      <c r="L79" t="s">
        <v>769</v>
      </c>
      <c r="O79">
        <v>1</v>
      </c>
      <c r="P79" t="s">
        <v>984</v>
      </c>
    </row>
    <row r="80" spans="1:16">
      <c r="A80" s="6" t="s">
        <v>157</v>
      </c>
      <c r="B80" s="7" t="s">
        <v>421</v>
      </c>
      <c r="C80" s="6" t="s">
        <v>637</v>
      </c>
      <c r="D80" s="6"/>
      <c r="E80" s="6"/>
      <c r="F80" s="6">
        <v>2</v>
      </c>
      <c r="G80" s="6" t="s">
        <v>5</v>
      </c>
      <c r="H80" s="6">
        <v>1</v>
      </c>
      <c r="J80" t="s">
        <v>914</v>
      </c>
      <c r="K80" t="s">
        <v>990</v>
      </c>
      <c r="L80" t="s">
        <v>769</v>
      </c>
      <c r="O80">
        <v>1</v>
      </c>
      <c r="P80" t="s">
        <v>984</v>
      </c>
    </row>
    <row r="81" spans="1:16">
      <c r="A81" s="6" t="s">
        <v>157</v>
      </c>
      <c r="B81" s="7" t="s">
        <v>161</v>
      </c>
      <c r="C81" s="6" t="s">
        <v>637</v>
      </c>
      <c r="D81" s="6"/>
      <c r="E81" s="6"/>
      <c r="F81" s="6">
        <v>2</v>
      </c>
      <c r="G81" s="6" t="s">
        <v>5</v>
      </c>
      <c r="H81" s="6">
        <v>1</v>
      </c>
      <c r="J81" t="s">
        <v>914</v>
      </c>
      <c r="K81" t="s">
        <v>991</v>
      </c>
      <c r="L81" t="s">
        <v>769</v>
      </c>
      <c r="O81">
        <v>1</v>
      </c>
      <c r="P81" t="s">
        <v>984</v>
      </c>
    </row>
    <row r="82" spans="1:16">
      <c r="A82" s="6" t="s">
        <v>46</v>
      </c>
      <c r="B82" s="7"/>
      <c r="C82" s="6"/>
      <c r="D82" s="6"/>
      <c r="E82" s="6"/>
      <c r="F82" s="6">
        <v>3</v>
      </c>
      <c r="G82" s="6" t="s">
        <v>5</v>
      </c>
      <c r="H82" s="6">
        <v>1</v>
      </c>
      <c r="J82" t="s">
        <v>914</v>
      </c>
      <c r="K82" t="s">
        <v>992</v>
      </c>
      <c r="L82" t="s">
        <v>769</v>
      </c>
      <c r="O82">
        <v>2</v>
      </c>
      <c r="P82" t="s">
        <v>984</v>
      </c>
    </row>
    <row r="83" spans="1:16">
      <c r="A83" s="6" t="s">
        <v>422</v>
      </c>
      <c r="B83" s="7"/>
      <c r="C83" s="6"/>
      <c r="D83" s="6"/>
      <c r="E83" s="6"/>
      <c r="F83" s="6">
        <v>1</v>
      </c>
      <c r="G83" s="6" t="s">
        <v>5</v>
      </c>
      <c r="H83" s="6">
        <v>1</v>
      </c>
      <c r="J83" t="s">
        <v>914</v>
      </c>
      <c r="K83" t="s">
        <v>993</v>
      </c>
      <c r="L83" t="s">
        <v>769</v>
      </c>
      <c r="O83">
        <v>1</v>
      </c>
      <c r="P83" t="s">
        <v>984</v>
      </c>
    </row>
    <row r="84" spans="1:16">
      <c r="A84" s="6" t="s">
        <v>240</v>
      </c>
      <c r="B84" s="7" t="s">
        <v>423</v>
      </c>
      <c r="C84" s="6"/>
      <c r="D84" s="6" t="s">
        <v>424</v>
      </c>
      <c r="E84" s="6"/>
      <c r="F84" s="6">
        <v>1</v>
      </c>
      <c r="G84" s="6" t="s">
        <v>5</v>
      </c>
      <c r="H84" s="6">
        <v>1</v>
      </c>
      <c r="J84" t="s">
        <v>912</v>
      </c>
      <c r="K84" t="s">
        <v>994</v>
      </c>
      <c r="O84">
        <v>1</v>
      </c>
      <c r="P84" t="s">
        <v>984</v>
      </c>
    </row>
    <row r="85" spans="1:16" ht="30">
      <c r="A85" s="6" t="s">
        <v>92</v>
      </c>
      <c r="B85" s="7" t="str">
        <f>bolso("Cajon de cuerdas trenzadas",Table69[])</f>
        <v xml:space="preserve">Cajon de cuerdas trenzadas Contiene:  Cuerda naranja de salvamento naval x2, </v>
      </c>
      <c r="C85" s="6"/>
      <c r="D85" s="6"/>
      <c r="E85" s="6"/>
      <c r="F85" s="6">
        <v>1</v>
      </c>
      <c r="G85" s="6" t="s">
        <v>5</v>
      </c>
      <c r="H85" s="6">
        <v>1</v>
      </c>
      <c r="J85" t="s">
        <v>912</v>
      </c>
      <c r="K85" t="s">
        <v>995</v>
      </c>
      <c r="O85">
        <v>1</v>
      </c>
      <c r="P85" t="s">
        <v>984</v>
      </c>
    </row>
    <row r="86" spans="1:16" ht="45">
      <c r="A86" s="6" t="s">
        <v>92</v>
      </c>
      <c r="B86" s="7" t="str">
        <f>bolso("Cajon de poda",Table69[])</f>
        <v xml:space="preserve">Cajon de poda Contiene:  Mameluco de seguridad para motosierras x1,  Casco de poda x1, </v>
      </c>
      <c r="C86" s="6"/>
      <c r="D86" s="6"/>
      <c r="E86" s="6"/>
      <c r="F86" s="6">
        <v>1</v>
      </c>
      <c r="G86" s="6" t="s">
        <v>5</v>
      </c>
      <c r="H86" s="6">
        <v>1</v>
      </c>
      <c r="J86" t="s">
        <v>912</v>
      </c>
      <c r="K86" t="s">
        <v>996</v>
      </c>
      <c r="O86">
        <v>2</v>
      </c>
      <c r="P86" t="s">
        <v>984</v>
      </c>
    </row>
    <row r="87" spans="1:16" ht="30">
      <c r="A87" s="6" t="s">
        <v>92</v>
      </c>
      <c r="B87" s="7" t="str">
        <f>bolso("Cajon de botas wader",Table69[])</f>
        <v xml:space="preserve">Cajon de botas wader Contiene:  Botas wader x2, </v>
      </c>
      <c r="C87" s="6"/>
      <c r="D87" s="6"/>
      <c r="E87" s="6"/>
      <c r="F87" s="6">
        <v>1</v>
      </c>
      <c r="G87" s="6" t="s">
        <v>5</v>
      </c>
      <c r="H87" s="6">
        <v>1</v>
      </c>
      <c r="J87" t="s">
        <v>902</v>
      </c>
      <c r="K87" t="s">
        <v>997</v>
      </c>
      <c r="O87">
        <v>1</v>
      </c>
      <c r="P87" t="s">
        <v>984</v>
      </c>
    </row>
    <row r="88" spans="1:16">
      <c r="A88" s="6" t="s">
        <v>92</v>
      </c>
      <c r="B88" s="6" t="str">
        <f>bolso("Cajon de guantes",Table69[])</f>
        <v xml:space="preserve">Cajon de guantes Contiene:  Guantes varios x1, </v>
      </c>
      <c r="C88" s="6"/>
      <c r="D88" s="6"/>
      <c r="E88" s="6"/>
      <c r="F88" s="6">
        <v>1</v>
      </c>
      <c r="G88" s="6" t="s">
        <v>5</v>
      </c>
      <c r="H88" s="6">
        <v>1</v>
      </c>
      <c r="J88" t="s">
        <v>902</v>
      </c>
      <c r="K88" t="s">
        <v>998</v>
      </c>
      <c r="O88">
        <v>1</v>
      </c>
      <c r="P88" t="s">
        <v>984</v>
      </c>
    </row>
    <row r="89" spans="1:16">
      <c r="A89" s="6" t="s">
        <v>92</v>
      </c>
      <c r="B89" s="6" t="str">
        <f>bolso("Cajon de reservorios de agua",Table69[])</f>
        <v xml:space="preserve">Cajon de reservorios de agua Contiene:  Reservorios de auga x4, </v>
      </c>
      <c r="C89" s="6"/>
      <c r="D89" s="6"/>
      <c r="E89" s="6"/>
      <c r="F89" s="6">
        <v>1</v>
      </c>
      <c r="G89" s="6" t="s">
        <v>5</v>
      </c>
      <c r="H89" s="6">
        <v>1</v>
      </c>
      <c r="J89" t="s">
        <v>902</v>
      </c>
      <c r="K89" t="s">
        <v>999</v>
      </c>
      <c r="O89">
        <v>1</v>
      </c>
      <c r="P89" t="s">
        <v>984</v>
      </c>
    </row>
    <row r="90" spans="1:16" ht="120">
      <c r="A90" s="6" t="s">
        <v>92</v>
      </c>
      <c r="B90" s="7" t="str">
        <f>bolso("Bolso de corte",Table69[])</f>
        <v xml:space="preserve">Bolso de corte Contiene:  Extractor NH  x1,  Pinza dielectrica x1,  Destornillador plano x2,  Destornillador phillips x2,  Martillo x1,  pinza de punta dielectrica x1,  Juego de llaves alem x3,  llave 19mm x1,  Llave 17mm x1,  llave 19 y 17mm x1,  llave 32mm x1,  llave 12mm x1,  llave 13mm x1,  llave 11 mm x1, </v>
      </c>
      <c r="C90" s="6"/>
      <c r="D90" s="6"/>
      <c r="E90" s="6"/>
      <c r="F90" s="6">
        <v>1</v>
      </c>
      <c r="G90" s="6" t="s">
        <v>5</v>
      </c>
      <c r="H90" s="6">
        <v>1</v>
      </c>
      <c r="J90" t="s">
        <v>902</v>
      </c>
      <c r="K90" t="s">
        <v>1000</v>
      </c>
      <c r="O90">
        <v>1</v>
      </c>
      <c r="P90" t="s">
        <v>984</v>
      </c>
    </row>
    <row r="91" spans="1:16">
      <c r="A91" s="6" t="s">
        <v>153</v>
      </c>
      <c r="B91" s="7" t="s">
        <v>449</v>
      </c>
      <c r="C91" s="6"/>
      <c r="D91" s="6"/>
      <c r="E91" s="6"/>
      <c r="F91" s="6">
        <v>1</v>
      </c>
      <c r="G91" s="6" t="s">
        <v>6</v>
      </c>
      <c r="H91" s="6">
        <v>1</v>
      </c>
      <c r="J91" t="s">
        <v>902</v>
      </c>
      <c r="K91" t="s">
        <v>1001</v>
      </c>
      <c r="O91">
        <v>1</v>
      </c>
      <c r="P91" t="s">
        <v>984</v>
      </c>
    </row>
    <row r="92" spans="1:16">
      <c r="A92" s="6" t="s">
        <v>153</v>
      </c>
      <c r="B92" s="7" t="s">
        <v>450</v>
      </c>
      <c r="C92" s="6"/>
      <c r="D92" s="6"/>
      <c r="E92" s="6"/>
      <c r="F92" s="6">
        <v>1</v>
      </c>
      <c r="G92" s="6" t="s">
        <v>6</v>
      </c>
      <c r="H92" s="6">
        <v>1</v>
      </c>
      <c r="J92" t="s">
        <v>903</v>
      </c>
      <c r="K92" t="s">
        <v>1002</v>
      </c>
      <c r="O92">
        <v>10</v>
      </c>
      <c r="P92" t="s">
        <v>984</v>
      </c>
    </row>
    <row r="93" spans="1:16">
      <c r="A93" s="6" t="s">
        <v>153</v>
      </c>
      <c r="B93" s="7" t="s">
        <v>451</v>
      </c>
      <c r="C93" s="6" t="s">
        <v>107</v>
      </c>
      <c r="D93" s="6"/>
      <c r="E93" s="6"/>
      <c r="F93" s="6">
        <v>1</v>
      </c>
      <c r="G93" s="6" t="s">
        <v>6</v>
      </c>
      <c r="H93" s="6">
        <v>1</v>
      </c>
      <c r="J93" t="s">
        <v>903</v>
      </c>
      <c r="K93" t="s">
        <v>1003</v>
      </c>
      <c r="O93">
        <v>2</v>
      </c>
      <c r="P93" t="s">
        <v>984</v>
      </c>
    </row>
    <row r="94" spans="1:16">
      <c r="A94" s="6" t="s">
        <v>240</v>
      </c>
      <c r="B94" s="7"/>
      <c r="C94" s="6"/>
      <c r="D94" s="6" t="s">
        <v>452</v>
      </c>
      <c r="E94" s="6"/>
      <c r="F94" s="6">
        <v>1</v>
      </c>
      <c r="G94" s="6" t="s">
        <v>6</v>
      </c>
      <c r="H94" s="6">
        <v>1</v>
      </c>
      <c r="J94" t="s">
        <v>903</v>
      </c>
      <c r="K94" t="s">
        <v>1004</v>
      </c>
      <c r="O94">
        <v>2</v>
      </c>
      <c r="P94" t="s">
        <v>984</v>
      </c>
    </row>
    <row r="95" spans="1:16">
      <c r="A95" s="6" t="s">
        <v>153</v>
      </c>
      <c r="B95" s="7" t="s">
        <v>453</v>
      </c>
      <c r="C95" s="6" t="s">
        <v>107</v>
      </c>
      <c r="D95" s="6"/>
      <c r="E95" s="6"/>
      <c r="F95" s="6">
        <v>1</v>
      </c>
      <c r="G95" s="6" t="s">
        <v>6</v>
      </c>
      <c r="H95" s="6">
        <v>2</v>
      </c>
      <c r="J95" t="s">
        <v>903</v>
      </c>
      <c r="K95" t="s">
        <v>1005</v>
      </c>
      <c r="O95">
        <v>6</v>
      </c>
      <c r="P95" t="s">
        <v>984</v>
      </c>
    </row>
    <row r="96" spans="1:16">
      <c r="A96" s="6" t="s">
        <v>153</v>
      </c>
      <c r="B96" s="7" t="s">
        <v>454</v>
      </c>
      <c r="C96" s="6"/>
      <c r="D96" s="6"/>
      <c r="E96" s="6"/>
      <c r="F96" s="6">
        <v>1</v>
      </c>
      <c r="G96" s="6" t="s">
        <v>6</v>
      </c>
      <c r="H96" s="6">
        <v>2</v>
      </c>
      <c r="J96" t="s">
        <v>903</v>
      </c>
      <c r="K96" t="s">
        <v>1006</v>
      </c>
      <c r="O96">
        <v>1</v>
      </c>
      <c r="P96" t="s">
        <v>984</v>
      </c>
    </row>
    <row r="97" spans="1:16">
      <c r="A97" s="6" t="s">
        <v>153</v>
      </c>
      <c r="B97" s="7" t="s">
        <v>455</v>
      </c>
      <c r="C97" s="6" t="s">
        <v>456</v>
      </c>
      <c r="D97" s="6"/>
      <c r="E97" s="6"/>
      <c r="F97" s="6">
        <v>3</v>
      </c>
      <c r="G97" s="6" t="s">
        <v>6</v>
      </c>
      <c r="H97" s="6">
        <v>2</v>
      </c>
      <c r="J97" t="s">
        <v>904</v>
      </c>
      <c r="K97" t="s">
        <v>1007</v>
      </c>
      <c r="O97">
        <v>1</v>
      </c>
      <c r="P97" t="s">
        <v>984</v>
      </c>
    </row>
    <row r="98" spans="1:16">
      <c r="A98" s="6" t="s">
        <v>153</v>
      </c>
      <c r="B98" s="7" t="s">
        <v>174</v>
      </c>
      <c r="C98" s="6"/>
      <c r="D98" s="6"/>
      <c r="E98" s="6"/>
      <c r="F98" s="6">
        <v>3</v>
      </c>
      <c r="G98" s="6" t="s">
        <v>6</v>
      </c>
      <c r="H98" s="6">
        <v>2</v>
      </c>
      <c r="J98" t="s">
        <v>904</v>
      </c>
      <c r="K98" t="s">
        <v>1008</v>
      </c>
      <c r="O98">
        <v>4</v>
      </c>
      <c r="P98" t="s">
        <v>984</v>
      </c>
    </row>
    <row r="99" spans="1:16">
      <c r="A99" s="6" t="s">
        <v>153</v>
      </c>
      <c r="B99" s="7" t="s">
        <v>457</v>
      </c>
      <c r="C99" s="6"/>
      <c r="D99" s="6"/>
      <c r="E99" s="6"/>
      <c r="F99" s="6">
        <v>1</v>
      </c>
      <c r="G99" s="6" t="s">
        <v>6</v>
      </c>
      <c r="H99" s="6">
        <v>2</v>
      </c>
      <c r="J99" t="s">
        <v>904</v>
      </c>
      <c r="K99" t="s">
        <v>1009</v>
      </c>
      <c r="O99">
        <v>4</v>
      </c>
      <c r="P99" t="s">
        <v>984</v>
      </c>
    </row>
    <row r="100" spans="1:16">
      <c r="A100" s="6" t="s">
        <v>153</v>
      </c>
      <c r="B100" s="7" t="s">
        <v>165</v>
      </c>
      <c r="C100" s="6"/>
      <c r="D100" s="6"/>
      <c r="E100" s="6"/>
      <c r="F100" s="6">
        <v>1</v>
      </c>
      <c r="G100" s="6" t="s">
        <v>6</v>
      </c>
      <c r="H100" s="6">
        <v>2</v>
      </c>
      <c r="J100" t="s">
        <v>904</v>
      </c>
      <c r="K100" t="s">
        <v>1010</v>
      </c>
      <c r="O100">
        <v>4</v>
      </c>
      <c r="P100" t="s">
        <v>984</v>
      </c>
    </row>
    <row r="101" spans="1:16">
      <c r="A101" s="6" t="s">
        <v>90</v>
      </c>
      <c r="B101" s="7" t="s">
        <v>458</v>
      </c>
      <c r="C101" s="6"/>
      <c r="D101" s="6"/>
      <c r="E101" s="6"/>
      <c r="F101" s="6">
        <v>1</v>
      </c>
      <c r="G101" s="6" t="s">
        <v>6</v>
      </c>
      <c r="H101" s="6">
        <v>2</v>
      </c>
      <c r="J101" t="s">
        <v>904</v>
      </c>
      <c r="K101" t="s">
        <v>1011</v>
      </c>
      <c r="O101">
        <v>1</v>
      </c>
      <c r="P101" t="s">
        <v>984</v>
      </c>
    </row>
    <row r="102" spans="1:16">
      <c r="A102" s="6" t="s">
        <v>153</v>
      </c>
      <c r="B102" s="7" t="s">
        <v>459</v>
      </c>
      <c r="C102" s="6"/>
      <c r="D102" s="6"/>
      <c r="E102" s="6"/>
      <c r="F102" s="6">
        <v>1</v>
      </c>
      <c r="G102" s="6" t="s">
        <v>6</v>
      </c>
      <c r="H102" s="6">
        <v>2</v>
      </c>
      <c r="J102" t="s">
        <v>904</v>
      </c>
      <c r="K102" t="s">
        <v>1012</v>
      </c>
      <c r="O102">
        <v>2</v>
      </c>
      <c r="P102" t="s">
        <v>984</v>
      </c>
    </row>
    <row r="103" spans="1:16">
      <c r="A103" s="6" t="s">
        <v>89</v>
      </c>
      <c r="B103" s="7"/>
      <c r="C103" s="6"/>
      <c r="D103" s="6"/>
      <c r="E103" s="6"/>
      <c r="F103" s="6">
        <v>2</v>
      </c>
      <c r="G103" s="6" t="s">
        <v>6</v>
      </c>
      <c r="H103" s="6">
        <v>2</v>
      </c>
      <c r="J103" t="s">
        <v>904</v>
      </c>
      <c r="K103" t="s">
        <v>1013</v>
      </c>
      <c r="O103">
        <v>1</v>
      </c>
      <c r="P103" t="s">
        <v>984</v>
      </c>
    </row>
    <row r="104" spans="1:16">
      <c r="A104" s="6" t="s">
        <v>153</v>
      </c>
      <c r="B104" s="7" t="s">
        <v>460</v>
      </c>
      <c r="C104" s="6"/>
      <c r="D104" s="6"/>
      <c r="E104" s="6"/>
      <c r="F104" s="6">
        <v>2</v>
      </c>
      <c r="G104" s="6" t="s">
        <v>6</v>
      </c>
      <c r="H104" s="6">
        <v>2</v>
      </c>
      <c r="J104" t="s">
        <v>904</v>
      </c>
      <c r="K104" t="s">
        <v>1014</v>
      </c>
      <c r="O104">
        <v>2</v>
      </c>
      <c r="P104" t="s">
        <v>984</v>
      </c>
    </row>
    <row r="105" spans="1:16">
      <c r="A105" s="6" t="s">
        <v>461</v>
      </c>
      <c r="B105" s="7"/>
      <c r="C105" s="6"/>
      <c r="D105" s="6"/>
      <c r="E105" s="6"/>
      <c r="F105" s="6">
        <v>1</v>
      </c>
      <c r="G105" s="6" t="s">
        <v>6</v>
      </c>
      <c r="H105" s="6">
        <v>2</v>
      </c>
      <c r="J105" t="s">
        <v>865</v>
      </c>
      <c r="K105" t="s">
        <v>1016</v>
      </c>
      <c r="L105" t="s">
        <v>910</v>
      </c>
      <c r="O105">
        <v>2</v>
      </c>
      <c r="P105" t="s">
        <v>984</v>
      </c>
    </row>
    <row r="106" spans="1:16">
      <c r="A106" s="6" t="s">
        <v>104</v>
      </c>
      <c r="B106" s="7"/>
      <c r="C106" s="6" t="s">
        <v>107</v>
      </c>
      <c r="D106" s="6"/>
      <c r="E106" s="6"/>
      <c r="F106" s="6">
        <v>9</v>
      </c>
      <c r="G106" s="6" t="s">
        <v>6</v>
      </c>
      <c r="H106" s="6">
        <v>3</v>
      </c>
      <c r="J106" t="s">
        <v>865</v>
      </c>
      <c r="K106" t="s">
        <v>1017</v>
      </c>
      <c r="L106" t="s">
        <v>910</v>
      </c>
      <c r="O106">
        <v>1</v>
      </c>
      <c r="P106" t="s">
        <v>984</v>
      </c>
    </row>
    <row r="107" spans="1:16">
      <c r="A107" s="6" t="s">
        <v>104</v>
      </c>
      <c r="B107" s="7"/>
      <c r="C107" s="6" t="s">
        <v>462</v>
      </c>
      <c r="D107" s="6"/>
      <c r="E107" s="6"/>
      <c r="F107" s="6">
        <v>1</v>
      </c>
      <c r="G107" s="6" t="s">
        <v>6</v>
      </c>
      <c r="H107" s="6">
        <v>3</v>
      </c>
      <c r="J107" t="s">
        <v>865</v>
      </c>
      <c r="K107" t="s">
        <v>1018</v>
      </c>
      <c r="L107" t="s">
        <v>910</v>
      </c>
      <c r="O107">
        <v>1</v>
      </c>
      <c r="P107" t="s">
        <v>984</v>
      </c>
    </row>
    <row r="108" spans="1:16">
      <c r="A108" s="6" t="s">
        <v>104</v>
      </c>
      <c r="B108" s="7"/>
      <c r="C108" s="6" t="s">
        <v>106</v>
      </c>
      <c r="D108" s="6"/>
      <c r="E108" s="6"/>
      <c r="F108" s="6">
        <v>1</v>
      </c>
      <c r="G108" s="6" t="s">
        <v>6</v>
      </c>
      <c r="H108" s="6">
        <v>3</v>
      </c>
      <c r="J108" t="s">
        <v>865</v>
      </c>
      <c r="K108" t="s">
        <v>1019</v>
      </c>
      <c r="L108" t="s">
        <v>1046</v>
      </c>
      <c r="O108">
        <v>1</v>
      </c>
      <c r="P108" t="s">
        <v>984</v>
      </c>
    </row>
    <row r="109" spans="1:16" ht="409.5">
      <c r="A109" s="6" t="s">
        <v>92</v>
      </c>
      <c r="B109" s="7" t="str">
        <f>bolso("Bolso de altura petzl",Table69[])</f>
        <v xml:space="preserve">Bolso de altura petzl Contiene:  Poleas dobles con placas basculantes Edelweiss TRAFIC 2016 (rojas) x3,  Poleas dobles con placas basculantes CLIMB TECH CT-757 (azules) x2,  2 Poleas dobles con placas basculantes PETZL TWIN (violeta y dorado) x2,  2 Poleas dobles con placas fijas PETZL TANDEM para cuerda (rojas) x2,  Polea simple con placas basculantes Edelweiss TRAFIC 116 (roja) x1,   Polea simple con placas basculantes PETZL RESCUE (violeta y azul) x1,   Polea simple con placas fijas CAMP (celeste) x1,   Poleas simples con placas basculantes ALTUS (rojas) x2,   Placa multianclaje S marca FUSION (amarilla) x1,  Doble Stop X Urban descensor x1,  PETZL I´D descensor x1,  Descesores 8 marcas FUSION de aluminio (negros) x2,  Puño BLACK DIAMOND con pedal y mosqutón B sin seguro x1,  Puño SKYLOTEC con pedal y mosqutón B sin seguro x1,  Anticaidas tipo T4 para cable de acero SKYLOTEC x1,  Bloqueador PETZL RESCUCENDER x1,  Bloqueador PETZL SHUNT x1,  conectores PETZL Am,D (aluminio) negros x10,   conectores HMS (aluminio) plateados x2,  conectores HMS (acero) KONG x2,  conectoresoval de acero CLIMB TECH x6,  Maillon oval x1,  Hondilla con cordín de 80 metros. x1,  anillos de cordín de 7 mm de 30 cm. (rojos) x4,  anillos de cordín de 7 mm de 50 cm. (rojos) x4,  anillos de cordín de 7 mm de 60 cm. (rojos) x4,  anillo de cordín de 7 mm de 1 metro. (rojo) x1,   anillos de cordín de 7 mm de 80 cm. (azules) x2,  cordín de 7 mm de 2 metros (azul) x1,  Vientos de camilla canasto x2,  Cintas tubulares 25 mm de 1, 6 metros (verdes)  x2,  Cinta tubulare 25 mm de 3,8 metros (verde)  x1,  Cinta tubulare 25 mm de 8 metros (verde)  x1,  Cinta tubular de 15 mm de 1,8 metros (verde) x1,  Cadena margarita (Roja) x1,  Arnes PETZL NAVAHO (con bagas + 2 mosquetones HMS KONG de acero) x1,  Pañal de rescate EdelWeiss x1,  Pares de guantes. x3,  Protector de cuerda verde con velcro x1,  Protector de cuerda rojo con iman x1,  Lona de parque de material roja (1,5 m x 0,5 m) x1,  Bloqueador anti caidas x1,  Sistema anticaidas consistente en: Conector X marca petzl, salvacaidas ederweiss, absorver marca "fixe", dos antigiro marca fixe x1, </v>
      </c>
      <c r="C109" s="6"/>
      <c r="D109" s="6"/>
      <c r="E109" s="6"/>
      <c r="F109" s="6">
        <v>1</v>
      </c>
      <c r="G109" s="6" t="s">
        <v>6</v>
      </c>
      <c r="H109" s="6">
        <v>2</v>
      </c>
      <c r="J109" t="s">
        <v>865</v>
      </c>
      <c r="K109" t="s">
        <v>1020</v>
      </c>
      <c r="O109">
        <v>1</v>
      </c>
      <c r="P109" t="s">
        <v>984</v>
      </c>
    </row>
    <row r="110" spans="1:16" ht="210">
      <c r="A110" s="6" t="s">
        <v>92</v>
      </c>
      <c r="B110" s="7" t="str">
        <f>bolso("Bolso  de altura  geithech",Table69[])</f>
        <v xml:space="preserve">Bolso  de altura  geithech Contiene:  3 cuerdas de 20 mtrs  con sistema anticaida marca heightec   (fija) x3,  cuerda de 20 mtrs con sistema anicaida marca heightec con retractilheightec x1,   protector de cuerdas marca donges con iman x1,  arnes marca musitani modelo power x1,  conector de anclaje eslingar longitud 800mm x1,  lingas de acero con proteccion pvc trasparente y con un mosqueton fijo aluminio x12,  par de guantes de trabajo color gris x1,  casquete amarillo x1,  protectores de cuerda rigido curvo negro pvc x2, </v>
      </c>
      <c r="C110" s="6"/>
      <c r="D110" s="6"/>
      <c r="E110" s="6"/>
      <c r="F110" s="6">
        <v>1</v>
      </c>
      <c r="G110" s="6" t="s">
        <v>6</v>
      </c>
      <c r="H110" s="6">
        <v>2</v>
      </c>
      <c r="J110" t="s">
        <v>302</v>
      </c>
      <c r="K110" t="s">
        <v>1021</v>
      </c>
      <c r="O110">
        <v>1</v>
      </c>
      <c r="P110" t="s">
        <v>984</v>
      </c>
    </row>
    <row r="111" spans="1:16" ht="90">
      <c r="A111" s="6" t="s">
        <v>92</v>
      </c>
      <c r="B111" s="7" t="str">
        <f>bolso("bolso Altura ls&amp;d",Table69[])</f>
        <v xml:space="preserve">bolso Altura ls&amp;d Contiene:   anclajes redundantes rojo x2,   anclajes redundantes  tabla de torso rojo x1,   anclajes redundantes  tabla de pies rojo x1,   anclajes redundantes color blanco x2, </v>
      </c>
      <c r="C111" s="6"/>
      <c r="D111" s="6"/>
      <c r="E111" s="6"/>
      <c r="F111" s="6">
        <v>1</v>
      </c>
      <c r="G111" s="6" t="s">
        <v>6</v>
      </c>
      <c r="H111" s="6">
        <v>2</v>
      </c>
      <c r="J111" t="s">
        <v>1015</v>
      </c>
      <c r="K111" t="s">
        <v>1022</v>
      </c>
      <c r="O111">
        <v>1</v>
      </c>
      <c r="P111" t="s">
        <v>984</v>
      </c>
    </row>
    <row r="112" spans="1:16" ht="90">
      <c r="A112" s="6" t="s">
        <v>92</v>
      </c>
      <c r="B112" s="7" t="str">
        <f>bolso("bolso de altura negro 1",Table69[])</f>
        <v xml:space="preserve">bolso de altura negro 1 Contiene:   cuerda dinamica mtrs 42 (seguridad)diam 12 x1,  cuerda semiestatica mtrs 54 (seguridad)diam 12 x1,  cuerdas de  anclajes rapidos de mtr 0,80  con proteccion de pvc x2, </v>
      </c>
      <c r="C112" s="6"/>
      <c r="D112" s="6"/>
      <c r="E112" s="6"/>
      <c r="F112" s="6">
        <v>1</v>
      </c>
      <c r="G112" s="6" t="s">
        <v>6</v>
      </c>
      <c r="H112" s="6">
        <v>2</v>
      </c>
      <c r="J112" t="s">
        <v>867</v>
      </c>
      <c r="K112" t="s">
        <v>1023</v>
      </c>
      <c r="O112">
        <v>3</v>
      </c>
      <c r="P112" t="s">
        <v>984</v>
      </c>
    </row>
    <row r="113" spans="1:16" ht="90">
      <c r="A113" s="6" t="s">
        <v>92</v>
      </c>
      <c r="B113" s="7" t="str">
        <f>bolso("bolso de altura negro 1",Table69[])</f>
        <v xml:space="preserve">bolso de altura negro 1 Contiene:   cuerda dinamica mtrs 42 (seguridad)diam 12 x1,  cuerda semiestatica mtrs 54 (seguridad)diam 12 x1,  cuerdas de  anclajes rapidos de mtr 0,80  con proteccion de pvc x2, </v>
      </c>
      <c r="C113" s="6"/>
      <c r="D113" s="6"/>
      <c r="E113" s="6"/>
      <c r="F113" s="6">
        <v>1</v>
      </c>
      <c r="G113" s="6" t="s">
        <v>6</v>
      </c>
      <c r="H113" s="6">
        <v>2</v>
      </c>
      <c r="J113" t="s">
        <v>863</v>
      </c>
      <c r="K113" t="s">
        <v>1024</v>
      </c>
      <c r="O113">
        <v>1</v>
      </c>
      <c r="P113" t="s">
        <v>984</v>
      </c>
    </row>
    <row r="114" spans="1:16" ht="150">
      <c r="A114" s="6" t="s">
        <v>92</v>
      </c>
      <c r="B114" s="7" t="str">
        <f>bolso("bolso de altura negro 2",Table69[])</f>
        <v xml:space="preserve">bolso de altura negro 2 Contiene:  1cuerda de diametro 12mm longitud 30 mtr con mosqueton fijo x1,  2 sistema anticaida marca honor con mosqueton fijo x2,  1sistema anticaida marca skylotec 2mtr 12mmcon mosqueton fijo x1,   1cinta tubular de 25mm x 0,8mtr  color negro x1,  1cinta tubular 25mm x 2,0 mtr color amarillo x1,  5 protectores de cuerda rojo (manga) x5, </v>
      </c>
      <c r="C114" s="6"/>
      <c r="D114" s="6"/>
      <c r="E114" s="6"/>
      <c r="F114" s="6">
        <v>1</v>
      </c>
      <c r="G114" s="6" t="s">
        <v>6</v>
      </c>
      <c r="H114" s="6">
        <v>2</v>
      </c>
      <c r="J114" t="s">
        <v>863</v>
      </c>
      <c r="K114" t="s">
        <v>1025</v>
      </c>
      <c r="O114">
        <v>1</v>
      </c>
      <c r="P114" t="s">
        <v>984</v>
      </c>
    </row>
    <row r="115" spans="1:16" ht="75">
      <c r="A115" s="6" t="s">
        <v>92</v>
      </c>
      <c r="B115" s="7" t="str">
        <f>bolso("Bolso de altura amarillo",Table69[])</f>
        <v xml:space="preserve">Bolso de altura amarillo Contiene:  1cuerda de diametro11mm mtr 100 color blanco  x1,  1 arnes blue water  modelo desperado talle s x1,  1arnes marca caran x1, </v>
      </c>
      <c r="C115" s="6"/>
      <c r="D115" s="6"/>
      <c r="E115" s="6"/>
      <c r="F115" s="6">
        <v>1</v>
      </c>
      <c r="G115" s="6" t="s">
        <v>6</v>
      </c>
      <c r="H115" s="6">
        <v>2</v>
      </c>
      <c r="J115" t="s">
        <v>110</v>
      </c>
      <c r="K115" t="s">
        <v>1026</v>
      </c>
      <c r="O115">
        <v>1</v>
      </c>
      <c r="P115" t="s">
        <v>984</v>
      </c>
    </row>
    <row r="116" spans="1:16" ht="30">
      <c r="A116" s="6" t="s">
        <v>92</v>
      </c>
      <c r="B116" s="7" t="str">
        <f>bolso("bolso de altura negro skylotec",Table69[])</f>
        <v xml:space="preserve">bolso de altura negro skylotec Contiene:  1 cuerda de 12mm 94 mtr color negra x1, </v>
      </c>
      <c r="C116" s="6"/>
      <c r="D116" s="6"/>
      <c r="E116" s="6"/>
      <c r="F116" s="6">
        <v>1</v>
      </c>
      <c r="G116" s="6" t="s">
        <v>6</v>
      </c>
      <c r="H116" s="6">
        <v>2</v>
      </c>
      <c r="J116" t="s">
        <v>860</v>
      </c>
      <c r="K116" t="s">
        <v>1028</v>
      </c>
      <c r="L116" t="s">
        <v>792</v>
      </c>
      <c r="O116">
        <v>3</v>
      </c>
      <c r="P116" t="s">
        <v>1027</v>
      </c>
    </row>
    <row r="117" spans="1:16" ht="75">
      <c r="A117" s="6" t="s">
        <v>92</v>
      </c>
      <c r="B117" s="7" t="str">
        <f>bolso("Bolso de altura amarillo 2",Table69[])</f>
        <v xml:space="preserve">Bolso de altura amarillo 2 Contiene:  1arnes marca petzl  x1,  2caquete color amarillo x2,  1cuerda de 12mm 56 mtr blanca y roja x1,  1cuerda de 12mm 12mm 27mtr blanca roja yamarilla x1, </v>
      </c>
      <c r="C117" s="6"/>
      <c r="D117" s="6"/>
      <c r="E117" s="6"/>
      <c r="F117" s="6">
        <v>1</v>
      </c>
      <c r="G117" s="6" t="s">
        <v>6</v>
      </c>
      <c r="H117" s="6">
        <v>2</v>
      </c>
      <c r="J117" t="s">
        <v>860</v>
      </c>
      <c r="K117" t="s">
        <v>1033</v>
      </c>
      <c r="L117" t="s">
        <v>792</v>
      </c>
      <c r="O117">
        <v>1</v>
      </c>
      <c r="P117" t="s">
        <v>1027</v>
      </c>
    </row>
    <row r="118" spans="1:16">
      <c r="A118" s="6"/>
      <c r="B118" s="7"/>
      <c r="C118" s="6"/>
      <c r="D118" s="6"/>
      <c r="E118" s="6"/>
      <c r="F118" s="6"/>
      <c r="G118" s="6"/>
      <c r="H118" s="6"/>
      <c r="J118" t="s">
        <v>863</v>
      </c>
      <c r="K118" t="s">
        <v>1034</v>
      </c>
      <c r="O118">
        <v>1</v>
      </c>
      <c r="P118" t="s">
        <v>1027</v>
      </c>
    </row>
    <row r="119" spans="1:16">
      <c r="A119" s="6"/>
      <c r="B119" s="7"/>
      <c r="C119" s="6"/>
      <c r="D119" s="6"/>
      <c r="E119" s="6"/>
      <c r="F119" s="6"/>
      <c r="G119" s="6"/>
      <c r="H119" s="6"/>
      <c r="J119" t="s">
        <v>302</v>
      </c>
      <c r="K119" t="s">
        <v>1035</v>
      </c>
      <c r="O119">
        <v>1</v>
      </c>
      <c r="P119" t="s">
        <v>1027</v>
      </c>
    </row>
    <row r="120" spans="1:16">
      <c r="A120" s="6"/>
      <c r="B120" s="7"/>
      <c r="C120" s="6"/>
      <c r="D120" s="6"/>
      <c r="E120" s="6"/>
      <c r="F120" s="6"/>
      <c r="G120" s="6"/>
      <c r="H120" s="6"/>
      <c r="J120" t="s">
        <v>906</v>
      </c>
      <c r="K120" t="s">
        <v>1036</v>
      </c>
      <c r="O120">
        <v>1</v>
      </c>
      <c r="P120" t="s">
        <v>1027</v>
      </c>
    </row>
    <row r="121" spans="1:16">
      <c r="A121" s="6"/>
      <c r="B121" s="7"/>
      <c r="C121" s="6"/>
      <c r="D121" s="6"/>
      <c r="E121" s="6"/>
      <c r="F121" s="6"/>
      <c r="G121" s="6"/>
      <c r="H121" s="6"/>
      <c r="J121" t="s">
        <v>906</v>
      </c>
      <c r="K121" t="s">
        <v>1037</v>
      </c>
      <c r="O121">
        <v>12</v>
      </c>
      <c r="P121" t="s">
        <v>1027</v>
      </c>
    </row>
    <row r="122" spans="1:16">
      <c r="A122" s="6"/>
      <c r="B122" s="7"/>
      <c r="C122" s="6"/>
      <c r="D122" s="6"/>
      <c r="E122" s="6"/>
      <c r="F122" s="6"/>
      <c r="G122" s="6"/>
      <c r="H122" s="6"/>
      <c r="J122" t="s">
        <v>867</v>
      </c>
      <c r="K122" t="s">
        <v>1038</v>
      </c>
      <c r="O122">
        <v>1</v>
      </c>
      <c r="P122" t="s">
        <v>1027</v>
      </c>
    </row>
    <row r="123" spans="1:16">
      <c r="A123" s="6"/>
      <c r="B123" s="7"/>
      <c r="C123" s="6"/>
      <c r="D123" s="6"/>
      <c r="E123" s="6"/>
      <c r="F123" s="6"/>
      <c r="G123" s="6"/>
      <c r="H123" s="6"/>
      <c r="J123" t="s">
        <v>908</v>
      </c>
      <c r="K123" t="s">
        <v>1039</v>
      </c>
      <c r="O123">
        <v>1</v>
      </c>
      <c r="P123" t="s">
        <v>1027</v>
      </c>
    </row>
    <row r="124" spans="1:16">
      <c r="A124" s="6"/>
      <c r="B124" s="7"/>
      <c r="C124" s="6"/>
      <c r="D124" s="6"/>
      <c r="E124" s="6"/>
      <c r="F124" s="6"/>
      <c r="G124" s="6"/>
      <c r="H124" s="6"/>
      <c r="J124" t="s">
        <v>863</v>
      </c>
      <c r="K124" t="s">
        <v>1040</v>
      </c>
      <c r="O124">
        <v>2</v>
      </c>
      <c r="P124" t="s">
        <v>1027</v>
      </c>
    </row>
    <row r="125" spans="1:16">
      <c r="A125" s="6"/>
      <c r="B125" s="7"/>
      <c r="C125" s="6"/>
      <c r="D125" s="6"/>
      <c r="E125" s="6"/>
      <c r="F125" s="6"/>
      <c r="G125" s="6"/>
      <c r="H125" s="6"/>
      <c r="J125" t="s">
        <v>906</v>
      </c>
      <c r="K125" t="s">
        <v>1041</v>
      </c>
      <c r="O125">
        <v>2</v>
      </c>
      <c r="P125" t="s">
        <v>1029</v>
      </c>
    </row>
    <row r="126" spans="1:16">
      <c r="A126" s="6"/>
      <c r="B126" s="7"/>
      <c r="C126" s="6"/>
      <c r="D126" s="6"/>
      <c r="E126" s="6"/>
      <c r="F126" s="6"/>
      <c r="G126" s="6"/>
      <c r="H126" s="6"/>
      <c r="J126" t="s">
        <v>906</v>
      </c>
      <c r="K126" t="s">
        <v>1030</v>
      </c>
      <c r="O126">
        <v>1</v>
      </c>
      <c r="P126" t="s">
        <v>1029</v>
      </c>
    </row>
    <row r="127" spans="1:16">
      <c r="A127" s="6"/>
      <c r="B127" s="7"/>
      <c r="C127" s="6"/>
      <c r="D127" s="6"/>
      <c r="E127" s="6"/>
      <c r="F127" s="6"/>
      <c r="G127" s="6"/>
      <c r="H127" s="6"/>
      <c r="J127" t="s">
        <v>906</v>
      </c>
      <c r="K127" t="s">
        <v>1031</v>
      </c>
      <c r="O127">
        <v>1</v>
      </c>
      <c r="P127" t="s">
        <v>1029</v>
      </c>
    </row>
    <row r="128" spans="1:16">
      <c r="A128" s="6"/>
      <c r="B128" s="7"/>
      <c r="C128" s="6"/>
      <c r="D128" s="7"/>
      <c r="E128" s="6"/>
      <c r="F128" s="6"/>
      <c r="G128" s="6"/>
      <c r="H128" s="6"/>
      <c r="J128" t="s">
        <v>906</v>
      </c>
      <c r="K128" t="s">
        <v>1042</v>
      </c>
      <c r="O128">
        <v>2</v>
      </c>
      <c r="P128" t="s">
        <v>1029</v>
      </c>
    </row>
    <row r="129" spans="1:16">
      <c r="A129" s="6"/>
      <c r="B129" s="7"/>
      <c r="C129" s="6"/>
      <c r="D129" s="6"/>
      <c r="E129" s="6"/>
      <c r="F129" s="6"/>
      <c r="G129" s="6"/>
      <c r="H129" s="6"/>
      <c r="J129" t="s">
        <v>860</v>
      </c>
      <c r="K129" t="s">
        <v>1043</v>
      </c>
      <c r="L129" t="s">
        <v>907</v>
      </c>
      <c r="O129">
        <v>1</v>
      </c>
      <c r="P129" t="s">
        <v>1032</v>
      </c>
    </row>
    <row r="130" spans="1:16">
      <c r="A130" s="6"/>
      <c r="B130" s="7"/>
      <c r="C130" s="6"/>
      <c r="D130" s="6"/>
      <c r="E130" s="6"/>
      <c r="F130" s="6"/>
      <c r="G130" s="6"/>
      <c r="H130" s="6"/>
      <c r="J130" t="s">
        <v>860</v>
      </c>
      <c r="K130" t="s">
        <v>1044</v>
      </c>
      <c r="L130" t="s">
        <v>907</v>
      </c>
      <c r="O130">
        <v>1</v>
      </c>
      <c r="P130" t="s">
        <v>1032</v>
      </c>
    </row>
    <row r="131" spans="1:16">
      <c r="A131" s="6"/>
      <c r="B131" s="7"/>
      <c r="C131" s="6"/>
      <c r="D131" s="6"/>
      <c r="E131" s="6"/>
      <c r="F131" s="6"/>
      <c r="G131" s="6"/>
      <c r="H131" s="6"/>
      <c r="J131" t="s">
        <v>860</v>
      </c>
      <c r="K131" t="s">
        <v>1045</v>
      </c>
      <c r="L131" t="s">
        <v>907</v>
      </c>
      <c r="O131">
        <v>2</v>
      </c>
      <c r="P131" t="s">
        <v>1032</v>
      </c>
    </row>
    <row r="132" spans="1:16">
      <c r="A132" s="6"/>
      <c r="B132" s="7"/>
      <c r="C132" s="6"/>
      <c r="D132" s="6"/>
      <c r="E132" s="6"/>
      <c r="F132" s="6"/>
      <c r="G132" s="6"/>
      <c r="H132" s="6"/>
      <c r="J132" t="s">
        <v>860</v>
      </c>
      <c r="K132" t="s">
        <v>1048</v>
      </c>
      <c r="L132" t="s">
        <v>907</v>
      </c>
      <c r="O132">
        <v>1</v>
      </c>
      <c r="P132" t="s">
        <v>1047</v>
      </c>
    </row>
    <row r="133" spans="1:16">
      <c r="A133" s="6"/>
      <c r="B133" s="7"/>
      <c r="C133" s="6"/>
      <c r="D133" s="6"/>
      <c r="E133" s="6"/>
      <c r="F133" s="6"/>
      <c r="G133" s="6"/>
      <c r="H133" s="6"/>
      <c r="J133" t="s">
        <v>911</v>
      </c>
      <c r="K133" t="s">
        <v>1049</v>
      </c>
      <c r="O133">
        <v>2</v>
      </c>
      <c r="P133" t="s">
        <v>1047</v>
      </c>
    </row>
    <row r="134" spans="1:16">
      <c r="A134" s="6"/>
      <c r="B134" s="7"/>
      <c r="C134" s="7"/>
      <c r="D134" s="6"/>
      <c r="E134" s="6"/>
      <c r="F134" s="6"/>
      <c r="G134" s="6"/>
      <c r="H134" s="6"/>
      <c r="J134" t="s">
        <v>911</v>
      </c>
      <c r="K134" t="s">
        <v>1050</v>
      </c>
      <c r="O134">
        <v>1</v>
      </c>
      <c r="P134" t="s">
        <v>1047</v>
      </c>
    </row>
    <row r="135" spans="1:16">
      <c r="A135" s="6"/>
      <c r="B135" s="7"/>
      <c r="C135" s="6"/>
      <c r="D135" s="6"/>
      <c r="E135" s="6"/>
      <c r="F135" s="6"/>
      <c r="G135" s="6"/>
      <c r="H135" s="6"/>
      <c r="J135" t="s">
        <v>865</v>
      </c>
      <c r="K135" t="s">
        <v>1051</v>
      </c>
      <c r="L135" t="s">
        <v>910</v>
      </c>
      <c r="O135">
        <v>1</v>
      </c>
      <c r="P135" t="s">
        <v>1047</v>
      </c>
    </row>
    <row r="136" spans="1:16">
      <c r="A136" s="6"/>
      <c r="B136" s="7"/>
      <c r="C136" s="6"/>
      <c r="D136" s="6"/>
      <c r="E136" s="6"/>
      <c r="F136" s="6"/>
      <c r="G136" s="6"/>
      <c r="H136" s="6"/>
      <c r="J136" t="s">
        <v>865</v>
      </c>
      <c r="K136" t="s">
        <v>1052</v>
      </c>
      <c r="L136" t="s">
        <v>910</v>
      </c>
      <c r="O136">
        <v>1</v>
      </c>
      <c r="P136" t="s">
        <v>1047</v>
      </c>
    </row>
    <row r="137" spans="1:16">
      <c r="A137" s="6"/>
      <c r="B137" s="7"/>
      <c r="C137" s="6"/>
      <c r="D137" s="6"/>
      <c r="E137" s="6"/>
      <c r="F137" s="6"/>
      <c r="G137" s="6"/>
      <c r="H137" s="6"/>
      <c r="J137" t="s">
        <v>863</v>
      </c>
      <c r="K137" t="s">
        <v>1053</v>
      </c>
      <c r="O137">
        <v>5</v>
      </c>
      <c r="P137" t="s">
        <v>1047</v>
      </c>
    </row>
    <row r="138" spans="1:16">
      <c r="A138" s="6"/>
      <c r="B138" s="7"/>
      <c r="C138" s="6"/>
      <c r="D138" s="6"/>
      <c r="E138" s="6"/>
      <c r="F138" s="6"/>
      <c r="G138" s="6"/>
      <c r="H138" s="6"/>
      <c r="J138" t="s">
        <v>860</v>
      </c>
      <c r="K138" t="s">
        <v>1055</v>
      </c>
      <c r="L138" t="s">
        <v>907</v>
      </c>
      <c r="O138">
        <v>1</v>
      </c>
      <c r="P138" t="s">
        <v>1054</v>
      </c>
    </row>
    <row r="139" spans="1:16">
      <c r="A139" s="6"/>
      <c r="B139" s="7"/>
      <c r="C139" s="6"/>
      <c r="D139" s="6"/>
      <c r="E139" s="6"/>
      <c r="F139" s="6"/>
      <c r="G139" s="6"/>
      <c r="H139" s="6"/>
      <c r="J139" t="s">
        <v>302</v>
      </c>
      <c r="K139" t="s">
        <v>1056</v>
      </c>
      <c r="M139" t="s">
        <v>1058</v>
      </c>
      <c r="O139">
        <v>1</v>
      </c>
      <c r="P139" t="s">
        <v>1054</v>
      </c>
    </row>
    <row r="140" spans="1:16">
      <c r="A140" s="6"/>
      <c r="B140" s="7"/>
      <c r="C140" s="6"/>
      <c r="D140" s="6"/>
      <c r="E140" s="6"/>
      <c r="F140" s="6"/>
      <c r="G140" s="6"/>
      <c r="H140" s="6"/>
      <c r="J140" t="s">
        <v>302</v>
      </c>
      <c r="K140" t="s">
        <v>1057</v>
      </c>
      <c r="M140" t="s">
        <v>308</v>
      </c>
      <c r="O140">
        <v>1</v>
      </c>
      <c r="P140" t="s">
        <v>1054</v>
      </c>
    </row>
    <row r="141" spans="1:16">
      <c r="A141" s="6"/>
      <c r="B141" s="7"/>
      <c r="C141" s="6"/>
      <c r="D141" s="6"/>
      <c r="E141" s="6"/>
      <c r="F141" s="6"/>
      <c r="G141" s="6"/>
      <c r="H141" s="6"/>
      <c r="J141" t="s">
        <v>860</v>
      </c>
      <c r="K141" t="s">
        <v>1060</v>
      </c>
      <c r="L141" t="s">
        <v>907</v>
      </c>
      <c r="O141">
        <v>1</v>
      </c>
      <c r="P141" t="s">
        <v>1059</v>
      </c>
    </row>
    <row r="142" spans="1:16">
      <c r="J142" t="s">
        <v>302</v>
      </c>
      <c r="K142" t="s">
        <v>1062</v>
      </c>
      <c r="O142">
        <v>1</v>
      </c>
      <c r="P142" t="s">
        <v>1061</v>
      </c>
    </row>
    <row r="143" spans="1:16">
      <c r="J143" t="s">
        <v>908</v>
      </c>
      <c r="K143" t="s">
        <v>1063</v>
      </c>
      <c r="O143">
        <v>2</v>
      </c>
      <c r="P143" t="s">
        <v>1061</v>
      </c>
    </row>
    <row r="144" spans="1:16">
      <c r="J144" t="s">
        <v>860</v>
      </c>
      <c r="K144" t="s">
        <v>1064</v>
      </c>
      <c r="L144" t="s">
        <v>907</v>
      </c>
      <c r="O144">
        <v>1</v>
      </c>
      <c r="P144" t="s">
        <v>1061</v>
      </c>
    </row>
    <row r="145" spans="10:16">
      <c r="J145" t="s">
        <v>860</v>
      </c>
      <c r="K145" t="s">
        <v>1065</v>
      </c>
      <c r="L145" t="s">
        <v>907</v>
      </c>
      <c r="O145">
        <v>1</v>
      </c>
      <c r="P145" t="s">
        <v>1061</v>
      </c>
    </row>
    <row r="146" spans="10:16">
      <c r="J146" t="s">
        <v>902</v>
      </c>
      <c r="K146" t="s">
        <v>1093</v>
      </c>
      <c r="M146" t="s">
        <v>1094</v>
      </c>
      <c r="O146">
        <v>1</v>
      </c>
      <c r="P146" t="s">
        <v>984</v>
      </c>
    </row>
    <row r="147" spans="10:16">
      <c r="J147" t="s">
        <v>911</v>
      </c>
      <c r="K147" t="s">
        <v>1095</v>
      </c>
      <c r="O147">
        <v>1</v>
      </c>
      <c r="P147" t="s">
        <v>984</v>
      </c>
    </row>
  </sheetData>
  <mergeCells count="1">
    <mergeCell ref="T3:Y3"/>
  </mergeCells>
  <dataValidations count="6">
    <dataValidation type="list" allowBlank="1" showInputMessage="1" showErrorMessage="1" sqref="C1 C7:C8 C11 C14:C15">
      <formula1>Medidas</formula1>
    </dataValidation>
    <dataValidation type="list" allowBlank="1" showInputMessage="1" showErrorMessage="1" sqref="A140:A141 A124:A133 A118:A122 A135:A138 A1 A3:A5 A7:A23 A25:A35 A37 A39:A50 A53:A55 A57:A58 A60 A63:A64 A66:A67 A71:A108 J4:J74 J84:J1048576">
      <formula1>categorias</formula1>
    </dataValidation>
    <dataValidation type="list" allowBlank="1" showInputMessage="1" showErrorMessage="1" sqref="H1:H65 H72:H1048576">
      <formula1>INDEX(CompartimientosM41,0,MATCH(OFFSET(INDIRECT(ADDRESS(ROW(), COLUMN())),0,-1),CajonerasM41,0))</formula1>
    </dataValidation>
    <dataValidation type="list" allowBlank="1" showInputMessage="1" showErrorMessage="1" sqref="P1:P74 P132:P137 P146:P1048576">
      <formula1>BolsosM41</formula1>
    </dataValidation>
    <dataValidation type="list" allowBlank="1" showInputMessage="1" showErrorMessage="1" sqref="L4:L148">
      <formula1>INDEX(Medidas,0,MATCH(OFFSET(INDIRECT(ADDRESS(ROW(), COLUMN())),0,-2),categoriasDeMedidas,0))</formula1>
    </dataValidation>
    <dataValidation type="list" allowBlank="1" showInputMessage="1" showErrorMessage="1" sqref="G1:G1048576">
      <formula1>CajonerasM41</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5">
        <x14:dataValidation type="list" allowBlank="1" showInputMessage="1" showErrorMessage="1" xr:uid="{0AAD383A-03C3-4E13-9B24-0444E0D14AD0}">
          <x14:formula1>
            <xm:f>Configuracion!$N$2:$N$9</xm:f>
          </x14:formula1>
          <xm:sqref>C127</xm:sqref>
        </x14:dataValidation>
        <x14:dataValidation type="list" allowBlank="1" showInputMessage="1" showErrorMessage="1" xr:uid="{20157323-4604-4339-B969-E099A9C4E516}">
          <x14:formula1>
            <xm:f>Configuracion!$S$2:$S$10</xm:f>
          </x14:formula1>
          <xm:sqref>C96 C100:C101 C105 C6</xm:sqref>
        </x14:dataValidation>
        <x14:dataValidation type="list" allowBlank="1" showInputMessage="1" showErrorMessage="1" xr:uid="{348463CC-A3D8-448B-A233-5B714E9220AA}">
          <x14:formula1>
            <xm:f>Configuracion!$J$2:$J$5</xm:f>
          </x14:formula1>
          <xm:sqref>C25 C9:C10</xm:sqref>
        </x14:dataValidation>
        <x14:dataValidation type="list" allowBlank="1" showInputMessage="1" showErrorMessage="1" xr:uid="{7CF9AAF4-F6D4-4201-A507-D1FA1BD400B1}">
          <x14:formula1>
            <xm:f>Configuracion!$H$2:$H$6</xm:f>
          </x14:formula1>
          <xm:sqref>C21</xm:sqref>
        </x14:dataValidation>
        <x14:dataValidation type="list" allowBlank="1" showInputMessage="1" showErrorMessage="1" xr:uid="{74D6D946-EE5D-4B5F-9B13-A84781F0439B}">
          <x14:formula1>
            <xm:f>Configuracion!$H$2:$H$5</xm:f>
          </x14:formula1>
          <xm:sqref>C2</xm:sqref>
        </x14:dataValidation>
        <x14:dataValidation type="list" allowBlank="1" showInputMessage="1" showErrorMessage="1" xr:uid="{A0D77706-37A9-473C-89C7-A50B74CFECB3}">
          <x14:formula1>
            <xm:f>Configuracion!$Q$2:$Q$7</xm:f>
          </x14:formula1>
          <xm:sqref>C66:C67 C53 C70</xm:sqref>
        </x14:dataValidation>
        <x14:dataValidation type="list" allowBlank="1" showInputMessage="1" showErrorMessage="1" xr:uid="{9DD0FA53-D1D4-4A18-BC09-3B50E1E5518A}">
          <x14:formula1>
            <xm:f>Configuracion!$F$2:$F$10</xm:f>
          </x14:formula1>
          <xm:sqref>C64:C65 C130:C131</xm:sqref>
        </x14:dataValidation>
        <x14:dataValidation type="list" allowBlank="1" showInputMessage="1" showErrorMessage="1" xr:uid="{F1A00B96-EC87-4348-BB58-05A8B9CFC5FC}">
          <x14:formula1>
            <xm:f>Configuracion!$F$2:$F$9</xm:f>
          </x14:formula1>
          <xm:sqref>C63</xm:sqref>
        </x14:dataValidation>
        <x14:dataValidation type="list" allowBlank="1" showInputMessage="1" showErrorMessage="1" xr:uid="{75F0A6A2-119A-407D-BEAC-509EA9493C15}">
          <x14:formula1>
            <xm:f>Configuracion!$O$2:$O$7</xm:f>
          </x14:formula1>
          <xm:sqref>C38</xm:sqref>
        </x14:dataValidation>
        <x14:dataValidation type="list" allowBlank="1" showInputMessage="1" showErrorMessage="1" xr:uid="{C9D009DD-D1F8-4D64-B39F-C804C97124A3}">
          <x14:formula1>
            <xm:f>Configuracion!$F$2:$F$7</xm:f>
          </x14:formula1>
          <xm:sqref>C32</xm:sqref>
        </x14:dataValidation>
        <x14:dataValidation type="list" allowBlank="1" showInputMessage="1" showErrorMessage="1" xr:uid="{A51727B2-9D46-4E8B-B66F-93A64453285F}">
          <x14:formula1>
            <xm:f>Configuracion!$F$2:$F$6</xm:f>
          </x14:formula1>
          <xm:sqref>C30</xm:sqref>
        </x14:dataValidation>
        <x14:dataValidation type="list" allowBlank="1" showInputMessage="1" showErrorMessage="1" xr:uid="{53B4B296-9EBD-47C0-BB68-C57FA44A3C14}">
          <x14:formula1>
            <xm:f>Configuracion!$N$2:$N$6</xm:f>
          </x14:formula1>
          <xm:sqref>C5</xm:sqref>
        </x14:dataValidation>
        <x14:dataValidation type="list" allowBlank="1" showInputMessage="1" showErrorMessage="1" xr:uid="{22FADA56-8558-4B6E-BC89-7BD142B04764}">
          <x14:formula1>
            <xm:f>Configuracion!$F$2:$F$5</xm:f>
          </x14:formula1>
          <xm:sqref>C13 C28:C29</xm:sqref>
        </x14:dataValidation>
        <x14:dataValidation type="list" allowBlank="1" showInputMessage="1" showErrorMessage="1" xr:uid="{E17386E0-AC06-42F7-9A03-1A1C5C5C8C58}">
          <x14:formula1>
            <xm:f>Configuracion!$G$2:$G$3</xm:f>
          </x14:formula1>
          <xm:sqref>C27 C31 C132:C133</xm:sqref>
        </x14:dataValidation>
        <x14:dataValidation type="list" allowBlank="1" showInputMessage="1" showErrorMessage="1" xr:uid="{660548EC-BEBB-4E79-9559-1077CB028D8F}">
          <x14:formula1>
            <xm:f>Configuracion!$G$2:$G$5</xm:f>
          </x14:formula1>
          <xm:sqref>C12 C26</xm:sqref>
        </x14:dataValidation>
        <x14:dataValidation type="list" allowBlank="1" showInputMessage="1" showErrorMessage="1" xr:uid="{D1A81AEF-EA65-4688-8784-3C98A5D3FA5A}">
          <x14:formula1>
            <xm:f>Configuracion!$K$2:$K$4</xm:f>
          </x14:formula1>
          <xm:sqref>C4 C24</xm:sqref>
        </x14:dataValidation>
        <x14:dataValidation type="list" allowBlank="1" showInputMessage="1" showErrorMessage="1" xr:uid="{C6C77D14-28E4-4A53-8FAE-67503382FDFB}">
          <x14:formula1>
            <xm:f>Configuracion!$S$2:$S$11</xm:f>
          </x14:formula1>
          <xm:sqref>C22 C33 C35 C49 C94 C85</xm:sqref>
        </x14:dataValidation>
        <x14:dataValidation type="list" allowBlank="1" showInputMessage="1" showErrorMessage="1" xr:uid="{2D2E3327-F058-4626-936F-59F63D72BAD9}">
          <x14:formula1>
            <xm:f>Configuracion!$F$2:$F$11</xm:f>
          </x14:formula1>
          <xm:sqref>C74</xm:sqref>
        </x14:dataValidation>
        <x14:dataValidation type="list" allowBlank="1" showInputMessage="1" showErrorMessage="1" xr:uid="{BB7F13D5-A9C9-4FC6-A2EA-0B6B3BCE317D}">
          <x14:formula1>
            <xm:f>Configuracion!$P$2:$P$3</xm:f>
          </x14:formula1>
          <xm:sqref>C106</xm:sqref>
        </x14:dataValidation>
        <x14:dataValidation type="list" allowBlank="1" showInputMessage="1" showErrorMessage="1" xr:uid="{908242DD-9C82-4F6E-A71A-A09229CBA672}">
          <x14:formula1>
            <xm:f>Configuracion!$P$2:$P$4</xm:f>
          </x14:formula1>
          <xm:sqref>C52</xm:sqref>
        </x14:dataValidation>
        <x14:dataValidation type="list" allowBlank="1" showInputMessage="1" showErrorMessage="1" xr:uid="{9C350AA2-1100-474A-8CAE-31E54BA6A034}">
          <x14:formula1>
            <xm:f>Configuracion!$P$2:$P$5</xm:f>
          </x14:formula1>
          <xm:sqref>C107:C108</xm:sqref>
        </x14:dataValidation>
        <x14:dataValidation type="list" allowBlank="1" showInputMessage="1" showErrorMessage="1" xr:uid="{030B2338-1F3F-4556-998A-05D38B8366B2}">
          <x14:formula1>
            <xm:f>Configuracion!$V$2:$V$4</xm:f>
          </x14:formula1>
          <xm:sqref>C80:C81</xm:sqref>
        </x14:dataValidation>
        <x14:dataValidation type="list" allowBlank="1" showInputMessage="1" showErrorMessage="1" xr:uid="{67854B83-72E2-45DA-9537-3BF59273EE52}">
          <x14:formula1>
            <xm:f>Configuracion!$I$2:$I$6</xm:f>
          </x14:formula1>
          <xm:sqref>C141</xm:sqref>
        </x14:dataValidation>
        <x14:dataValidation type="list" allowBlank="1" showInputMessage="1" showErrorMessage="1" xr:uid="{E79B9A48-09A9-4697-8A22-965963A355E4}">
          <x14:formula1>
            <xm:f>Configuracion!$I$2:$I$5</xm:f>
          </x14:formula1>
          <xm:sqref>C3</xm:sqref>
        </x14:dataValidation>
        <x14:dataValidation type="list" allowBlank="1" showInputMessage="1" showErrorMessage="1" xr:uid="{676FB36B-AD06-4FBE-8E5B-9520F1881D56}">
          <x14:formula1>
            <xm:f>Configuracion!$AB$2:$AB$4</xm:f>
          </x14:formula1>
          <xm:sqref>C124:C125</xm:sqref>
        </x14:dataValidation>
      </x14:dataValidations>
    </ext>
  </extLst>
</worksheet>
</file>

<file path=xl/worksheets/sheet4.xml><?xml version="1.0" encoding="utf-8"?>
<worksheet xmlns="http://schemas.openxmlformats.org/spreadsheetml/2006/main" xmlns:r="http://schemas.openxmlformats.org/officeDocument/2006/relationships">
  <sheetPr codeName="Sheet5"/>
  <dimension ref="A1:Y136"/>
  <sheetViews>
    <sheetView topLeftCell="M1" workbookViewId="0">
      <selection activeCell="A2" sqref="A2"/>
    </sheetView>
  </sheetViews>
  <sheetFormatPr baseColWidth="10" defaultColWidth="9.140625" defaultRowHeight="15"/>
  <cols>
    <col min="1" max="1" width="26.42578125" bestFit="1" customWidth="1"/>
    <col min="2" max="2" width="37.42578125" style="8"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43.5703125" bestFit="1" customWidth="1"/>
    <col min="15" max="16" width="26.85546875" bestFit="1" customWidth="1"/>
    <col min="18" max="18" width="26.85546875" bestFit="1" customWidth="1"/>
    <col min="20" max="25" width="12.5703125" bestFit="1" customWidth="1"/>
  </cols>
  <sheetData>
    <row r="1" spans="1:25">
      <c r="A1" s="4" t="s">
        <v>0</v>
      </c>
      <c r="B1" s="5" t="s">
        <v>1</v>
      </c>
      <c r="C1" s="4" t="s">
        <v>2</v>
      </c>
      <c r="D1" s="4" t="s">
        <v>3</v>
      </c>
      <c r="E1" s="4" t="s">
        <v>4</v>
      </c>
      <c r="F1" s="4" t="s">
        <v>236</v>
      </c>
      <c r="G1" s="4" t="s">
        <v>13</v>
      </c>
      <c r="H1" s="4" t="s">
        <v>228</v>
      </c>
    </row>
    <row r="2" spans="1:25">
      <c r="A2" t="s">
        <v>32</v>
      </c>
      <c r="B2" s="7"/>
      <c r="C2" t="s">
        <v>283</v>
      </c>
      <c r="D2" s="6"/>
      <c r="E2" s="6" t="s">
        <v>284</v>
      </c>
      <c r="F2" s="6">
        <v>1</v>
      </c>
      <c r="G2" s="6" t="s">
        <v>8</v>
      </c>
      <c r="H2" s="6">
        <v>1</v>
      </c>
    </row>
    <row r="3" spans="1:25">
      <c r="A3" s="6" t="s">
        <v>11</v>
      </c>
      <c r="B3" s="7"/>
      <c r="C3" t="s">
        <v>285</v>
      </c>
      <c r="D3" s="6"/>
      <c r="E3" s="6"/>
      <c r="F3" s="6">
        <v>5</v>
      </c>
      <c r="G3" s="6" t="s">
        <v>8</v>
      </c>
      <c r="H3" s="6">
        <v>1</v>
      </c>
      <c r="J3" t="s">
        <v>0</v>
      </c>
      <c r="K3" t="s">
        <v>16</v>
      </c>
      <c r="L3" t="s">
        <v>2</v>
      </c>
      <c r="M3" s="4" t="s">
        <v>3</v>
      </c>
      <c r="N3" s="4" t="s">
        <v>4</v>
      </c>
      <c r="O3" t="s">
        <v>18</v>
      </c>
      <c r="P3" t="s">
        <v>14</v>
      </c>
      <c r="R3" t="s">
        <v>28</v>
      </c>
      <c r="T3" s="26" t="s">
        <v>226</v>
      </c>
      <c r="U3" s="26"/>
      <c r="V3" s="26"/>
      <c r="W3" s="26"/>
      <c r="X3" s="26"/>
      <c r="Y3" s="26"/>
    </row>
    <row r="4" spans="1:25">
      <c r="A4" s="6" t="s">
        <v>170</v>
      </c>
      <c r="B4" s="7"/>
      <c r="C4" s="6" t="s">
        <v>286</v>
      </c>
      <c r="D4" s="6"/>
      <c r="E4" s="6"/>
      <c r="F4" s="6">
        <v>1</v>
      </c>
      <c r="G4" s="6" t="s">
        <v>287</v>
      </c>
      <c r="H4" s="6">
        <v>1</v>
      </c>
      <c r="T4" t="s">
        <v>8</v>
      </c>
      <c r="U4" t="s">
        <v>5</v>
      </c>
      <c r="V4" t="s">
        <v>287</v>
      </c>
      <c r="W4" t="s">
        <v>36</v>
      </c>
      <c r="X4" t="s">
        <v>7</v>
      </c>
    </row>
    <row r="5" spans="1:25">
      <c r="A5" s="6" t="s">
        <v>35</v>
      </c>
      <c r="B5" s="7" t="s">
        <v>288</v>
      </c>
      <c r="C5" s="6" t="s">
        <v>289</v>
      </c>
      <c r="D5" s="6"/>
      <c r="E5" s="6"/>
      <c r="F5" s="6">
        <v>1</v>
      </c>
      <c r="G5" s="6" t="s">
        <v>36</v>
      </c>
      <c r="H5" s="6">
        <v>1</v>
      </c>
      <c r="T5">
        <v>1</v>
      </c>
      <c r="U5">
        <v>1</v>
      </c>
      <c r="V5">
        <v>1</v>
      </c>
      <c r="W5">
        <v>1</v>
      </c>
      <c r="X5">
        <v>1</v>
      </c>
    </row>
    <row r="6" spans="1:25">
      <c r="A6" s="6" t="s">
        <v>40</v>
      </c>
      <c r="B6" s="7" t="s">
        <v>290</v>
      </c>
      <c r="C6" s="6" t="s">
        <v>41</v>
      </c>
      <c r="D6" s="6"/>
      <c r="E6" s="9"/>
      <c r="F6" s="6">
        <v>1</v>
      </c>
      <c r="G6" s="6" t="s">
        <v>36</v>
      </c>
      <c r="H6" s="6">
        <v>1</v>
      </c>
    </row>
    <row r="7" spans="1:25">
      <c r="A7" s="6" t="s">
        <v>136</v>
      </c>
      <c r="B7" s="7"/>
      <c r="C7" s="6"/>
      <c r="D7" s="6"/>
      <c r="E7" s="6"/>
      <c r="F7" s="6">
        <v>2</v>
      </c>
      <c r="G7" s="6" t="s">
        <v>36</v>
      </c>
      <c r="H7" s="6">
        <v>1</v>
      </c>
    </row>
    <row r="8" spans="1:25">
      <c r="A8" s="6" t="s">
        <v>32</v>
      </c>
      <c r="B8" s="7"/>
      <c r="C8" s="6" t="s">
        <v>52</v>
      </c>
      <c r="D8" s="6" t="s">
        <v>291</v>
      </c>
      <c r="E8" s="6"/>
      <c r="F8" s="6">
        <v>1</v>
      </c>
      <c r="G8" s="6" t="s">
        <v>5</v>
      </c>
      <c r="H8" s="6">
        <v>1</v>
      </c>
    </row>
    <row r="9" spans="1:25">
      <c r="A9" s="6" t="s">
        <v>11</v>
      </c>
      <c r="B9" s="7" t="s">
        <v>292</v>
      </c>
      <c r="C9" s="6" t="s">
        <v>121</v>
      </c>
      <c r="D9" s="6"/>
      <c r="E9" s="6"/>
      <c r="F9" s="6">
        <v>2</v>
      </c>
      <c r="G9" s="6" t="s">
        <v>5</v>
      </c>
      <c r="H9" s="6">
        <v>1</v>
      </c>
    </row>
    <row r="10" spans="1:25">
      <c r="A10" s="6" t="s">
        <v>32</v>
      </c>
      <c r="B10" s="7" t="s">
        <v>294</v>
      </c>
      <c r="C10" s="6" t="s">
        <v>52</v>
      </c>
      <c r="D10" s="6" t="s">
        <v>293</v>
      </c>
      <c r="E10" s="6"/>
      <c r="F10" s="6">
        <v>2</v>
      </c>
      <c r="G10" s="6" t="s">
        <v>7</v>
      </c>
      <c r="H10" s="6">
        <v>1</v>
      </c>
    </row>
    <row r="11" spans="1:25">
      <c r="A11" s="6" t="s">
        <v>153</v>
      </c>
      <c r="B11" s="7" t="s">
        <v>26</v>
      </c>
      <c r="C11" s="6"/>
      <c r="D11" s="6"/>
      <c r="E11" s="6"/>
      <c r="F11" s="6">
        <v>1</v>
      </c>
      <c r="G11" s="6" t="s">
        <v>7</v>
      </c>
      <c r="H11" s="6">
        <v>1</v>
      </c>
    </row>
    <row r="12" spans="1:25">
      <c r="A12" s="6" t="s">
        <v>207</v>
      </c>
      <c r="B12" s="7" t="s">
        <v>295</v>
      </c>
      <c r="C12" s="6"/>
      <c r="D12" s="6"/>
      <c r="E12" s="6"/>
      <c r="F12" s="6">
        <v>1</v>
      </c>
      <c r="G12" s="6" t="s">
        <v>7</v>
      </c>
      <c r="H12" s="6">
        <v>1</v>
      </c>
    </row>
    <row r="13" spans="1:25">
      <c r="A13" s="6" t="s">
        <v>44</v>
      </c>
      <c r="B13" s="7"/>
      <c r="C13" s="6" t="s">
        <v>67</v>
      </c>
      <c r="D13" s="6"/>
      <c r="E13" s="6"/>
      <c r="F13" s="6">
        <v>1</v>
      </c>
      <c r="G13" s="6" t="s">
        <v>7</v>
      </c>
      <c r="H13" s="6">
        <v>1</v>
      </c>
    </row>
    <row r="14" spans="1:25">
      <c r="A14" s="6" t="s">
        <v>43</v>
      </c>
      <c r="B14" s="7" t="s">
        <v>68</v>
      </c>
      <c r="C14" s="6" t="s">
        <v>66</v>
      </c>
      <c r="D14" s="6"/>
      <c r="E14" s="6"/>
      <c r="F14" s="6">
        <v>2</v>
      </c>
      <c r="G14" s="6" t="s">
        <v>7</v>
      </c>
      <c r="H14" s="6">
        <v>1</v>
      </c>
    </row>
    <row r="15" spans="1:25">
      <c r="A15" s="6" t="s">
        <v>44</v>
      </c>
      <c r="B15" s="7" t="s">
        <v>297</v>
      </c>
      <c r="C15" s="6" t="s">
        <v>296</v>
      </c>
      <c r="D15" s="6"/>
      <c r="E15" s="6"/>
      <c r="F15" s="6">
        <v>1</v>
      </c>
      <c r="G15" s="6" t="s">
        <v>7</v>
      </c>
      <c r="H15" s="6">
        <v>1</v>
      </c>
    </row>
    <row r="16" spans="1:25">
      <c r="A16" s="6" t="s">
        <v>43</v>
      </c>
      <c r="B16" s="7" t="s">
        <v>243</v>
      </c>
      <c r="C16" s="6" t="s">
        <v>66</v>
      </c>
      <c r="D16" s="6"/>
      <c r="E16" s="6"/>
      <c r="F16" s="6">
        <v>2</v>
      </c>
      <c r="G16" s="6" t="s">
        <v>7</v>
      </c>
      <c r="H16" s="6">
        <v>1</v>
      </c>
    </row>
    <row r="17" spans="1:8">
      <c r="A17" s="6"/>
      <c r="B17" s="7"/>
      <c r="C17" s="6"/>
      <c r="D17" s="6"/>
      <c r="E17" s="6"/>
      <c r="F17" s="6"/>
      <c r="G17" s="6"/>
      <c r="H17" s="6"/>
    </row>
    <row r="18" spans="1:8">
      <c r="A18" s="6"/>
      <c r="B18" s="7"/>
      <c r="C18" s="6"/>
      <c r="D18" s="6"/>
      <c r="E18" s="6"/>
      <c r="F18" s="6"/>
      <c r="G18" s="6"/>
      <c r="H18" s="6"/>
    </row>
    <row r="19" spans="1:8">
      <c r="A19" s="6"/>
      <c r="B19" s="7"/>
      <c r="C19" s="6"/>
      <c r="D19" s="6"/>
      <c r="E19" s="6"/>
      <c r="F19" s="6"/>
      <c r="G19" s="6"/>
      <c r="H19" s="6"/>
    </row>
    <row r="20" spans="1:8">
      <c r="A20" s="6"/>
      <c r="B20" s="7"/>
      <c r="C20" s="6"/>
      <c r="D20" s="6"/>
      <c r="E20" s="6"/>
      <c r="F20" s="6"/>
      <c r="G20" s="6"/>
      <c r="H20" s="6"/>
    </row>
    <row r="21" spans="1:8">
      <c r="A21" s="6"/>
      <c r="B21" s="7"/>
      <c r="C21" s="6"/>
      <c r="D21" s="6"/>
      <c r="E21" s="6"/>
      <c r="F21" s="6"/>
      <c r="G21" s="6"/>
      <c r="H21" s="6"/>
    </row>
    <row r="22" spans="1:8">
      <c r="A22" s="6"/>
      <c r="B22" s="7"/>
      <c r="C22" s="6"/>
      <c r="D22" s="6"/>
      <c r="E22" s="6"/>
      <c r="F22" s="6"/>
      <c r="G22" s="6"/>
      <c r="H22" s="6"/>
    </row>
    <row r="23" spans="1:8">
      <c r="A23" s="6"/>
      <c r="B23" s="7"/>
      <c r="C23" s="6"/>
      <c r="D23" s="6"/>
      <c r="E23" s="6"/>
      <c r="F23" s="6"/>
      <c r="G23" s="6"/>
      <c r="H23" s="6"/>
    </row>
    <row r="24" spans="1:8">
      <c r="A24" s="6"/>
      <c r="B24" s="7"/>
      <c r="C24" s="6"/>
      <c r="D24" s="6"/>
      <c r="E24" s="6"/>
      <c r="F24" s="6"/>
      <c r="G24" s="6"/>
      <c r="H24" s="6"/>
    </row>
    <row r="25" spans="1:8">
      <c r="A25" s="6"/>
      <c r="B25" s="7"/>
      <c r="C25" s="6"/>
      <c r="D25" s="6"/>
      <c r="E25" s="6"/>
      <c r="F25" s="6"/>
      <c r="G25" s="6"/>
      <c r="H25" s="6"/>
    </row>
    <row r="26" spans="1:8">
      <c r="A26" s="6"/>
      <c r="B26" s="7"/>
      <c r="C26" s="6"/>
      <c r="D26" s="6"/>
      <c r="E26" s="6"/>
      <c r="F26" s="6"/>
      <c r="G26" s="6"/>
      <c r="H26" s="6"/>
    </row>
    <row r="27" spans="1:8">
      <c r="A27" s="6"/>
      <c r="B27" s="7"/>
      <c r="C27" s="6"/>
      <c r="D27" s="6"/>
      <c r="E27" s="6"/>
      <c r="F27" s="6"/>
      <c r="G27" s="6"/>
      <c r="H27" s="6"/>
    </row>
    <row r="28" spans="1:8">
      <c r="A28" s="6"/>
      <c r="B28" s="7"/>
      <c r="C28" s="6"/>
      <c r="D28" s="6"/>
      <c r="E28" s="6"/>
      <c r="F28" s="6"/>
      <c r="G28" s="6"/>
      <c r="H28" s="6"/>
    </row>
    <row r="29" spans="1:8">
      <c r="A29" s="6"/>
      <c r="B29" s="7"/>
      <c r="C29" s="6"/>
      <c r="D29" s="6"/>
      <c r="E29" s="6"/>
      <c r="F29" s="6"/>
      <c r="G29" s="6"/>
      <c r="H29" s="6"/>
    </row>
    <row r="30" spans="1:8">
      <c r="A30" s="6"/>
      <c r="B30" s="7"/>
      <c r="C30" s="6"/>
      <c r="D30" s="6"/>
      <c r="E30" s="6"/>
      <c r="F30" s="6"/>
      <c r="G30" s="6"/>
      <c r="H30" s="6"/>
    </row>
    <row r="31" spans="1:8">
      <c r="A31" s="6"/>
      <c r="B31" s="7"/>
      <c r="C31" s="6"/>
      <c r="D31" s="6"/>
      <c r="E31" s="6"/>
      <c r="F31" s="6"/>
      <c r="G31" s="6"/>
      <c r="H31" s="6"/>
    </row>
    <row r="32" spans="1:8">
      <c r="A32" s="6"/>
      <c r="B32" s="7"/>
      <c r="C32" s="6"/>
      <c r="D32" s="6"/>
      <c r="E32" s="6"/>
      <c r="F32" s="6"/>
      <c r="G32" s="6"/>
      <c r="H32" s="6"/>
    </row>
    <row r="33" spans="1:8">
      <c r="A33" s="6"/>
      <c r="B33" s="7"/>
      <c r="C33" s="6"/>
      <c r="D33" s="6"/>
      <c r="E33" s="6"/>
      <c r="F33" s="6"/>
      <c r="G33" s="6"/>
      <c r="H33" s="6"/>
    </row>
    <row r="34" spans="1:8">
      <c r="A34" s="6"/>
      <c r="B34" s="7"/>
      <c r="C34" s="6"/>
      <c r="D34" s="6"/>
      <c r="E34" s="6"/>
      <c r="F34" s="6"/>
      <c r="G34" s="6"/>
      <c r="H34" s="6"/>
    </row>
    <row r="35" spans="1:8">
      <c r="A35" s="6"/>
      <c r="B35" s="7"/>
      <c r="C35" s="6"/>
      <c r="D35" s="6"/>
      <c r="E35" s="6"/>
      <c r="F35" s="6"/>
      <c r="G35" s="6"/>
      <c r="H35" s="6"/>
    </row>
    <row r="36" spans="1:8">
      <c r="A36" s="6"/>
      <c r="B36" s="7"/>
      <c r="C36" s="6"/>
      <c r="D36" s="6"/>
      <c r="E36" s="6"/>
      <c r="F36" s="6"/>
      <c r="G36" s="6"/>
      <c r="H36" s="6"/>
    </row>
    <row r="37" spans="1:8">
      <c r="A37" s="6"/>
      <c r="B37" s="7"/>
      <c r="C37" s="6"/>
      <c r="D37" s="6"/>
      <c r="E37" s="6"/>
      <c r="F37" s="6"/>
      <c r="G37" s="6"/>
      <c r="H37" s="6"/>
    </row>
    <row r="38" spans="1:8">
      <c r="A38" s="6"/>
      <c r="B38" s="7"/>
      <c r="C38" s="6"/>
      <c r="D38" s="6"/>
      <c r="E38" s="6"/>
      <c r="F38" s="6"/>
      <c r="G38" s="6"/>
      <c r="H38" s="6"/>
    </row>
    <row r="39" spans="1:8">
      <c r="A39" s="6"/>
      <c r="B39" s="7"/>
      <c r="C39" s="6"/>
      <c r="D39" s="6"/>
      <c r="E39" s="6"/>
      <c r="F39" s="6"/>
      <c r="G39" s="6"/>
      <c r="H39" s="6"/>
    </row>
    <row r="40" spans="1:8">
      <c r="A40" s="6"/>
      <c r="B40" s="7"/>
      <c r="C40" s="6"/>
      <c r="D40" s="6"/>
      <c r="E40" s="6"/>
      <c r="F40" s="6"/>
      <c r="G40" s="6"/>
      <c r="H40" s="6"/>
    </row>
    <row r="41" spans="1:8">
      <c r="A41" s="6"/>
      <c r="B41" s="7"/>
      <c r="C41" s="6"/>
      <c r="D41" s="6"/>
      <c r="E41" s="6"/>
      <c r="F41" s="6"/>
      <c r="G41" s="6"/>
      <c r="H41" s="6"/>
    </row>
    <row r="42" spans="1:8">
      <c r="A42" s="6"/>
      <c r="B42" s="7"/>
      <c r="C42" s="6"/>
      <c r="D42" s="6"/>
      <c r="E42" s="6"/>
      <c r="F42" s="6"/>
      <c r="G42" s="6"/>
      <c r="H42" s="6"/>
    </row>
    <row r="43" spans="1:8">
      <c r="A43" s="6"/>
      <c r="B43" s="7"/>
      <c r="C43" s="6"/>
      <c r="D43" s="6"/>
      <c r="E43" s="6"/>
      <c r="F43" s="6"/>
      <c r="G43" s="6"/>
      <c r="H43" s="6"/>
    </row>
    <row r="44" spans="1:8">
      <c r="A44" s="6"/>
      <c r="B44" s="7"/>
      <c r="C44" s="6"/>
      <c r="D44" s="6"/>
      <c r="E44" s="6"/>
      <c r="F44" s="6"/>
      <c r="G44" s="6"/>
      <c r="H44" s="6"/>
    </row>
    <row r="45" spans="1:8">
      <c r="A45" s="6"/>
      <c r="B45" s="7"/>
      <c r="C45" s="6"/>
      <c r="D45" s="6"/>
      <c r="E45" s="6"/>
      <c r="F45" s="6"/>
      <c r="G45" s="6"/>
      <c r="H45" s="6"/>
    </row>
    <row r="46" spans="1:8">
      <c r="A46" s="6"/>
      <c r="B46" s="7"/>
      <c r="C46" s="6"/>
      <c r="D46" s="6"/>
      <c r="E46" s="6"/>
      <c r="F46" s="6"/>
      <c r="G46" s="6"/>
      <c r="H46" s="6"/>
    </row>
    <row r="47" spans="1:8">
      <c r="A47" s="6"/>
      <c r="B47" s="7"/>
      <c r="C47" s="6"/>
      <c r="D47" s="6"/>
      <c r="E47" s="6"/>
      <c r="F47" s="6"/>
      <c r="G47" s="6"/>
      <c r="H47" s="6"/>
    </row>
    <row r="48" spans="1:8">
      <c r="A48" s="6"/>
      <c r="B48" s="7"/>
      <c r="C48" s="6"/>
      <c r="D48" s="6"/>
      <c r="E48" s="6"/>
      <c r="F48" s="6"/>
      <c r="G48" s="6"/>
      <c r="H48" s="6"/>
    </row>
    <row r="49" spans="1:8">
      <c r="A49" s="6"/>
      <c r="B49" s="7"/>
      <c r="C49" s="6"/>
      <c r="D49" s="6"/>
      <c r="E49" s="6"/>
      <c r="F49" s="6"/>
      <c r="G49" s="6"/>
      <c r="H49" s="6"/>
    </row>
    <row r="50" spans="1:8">
      <c r="A50" s="6"/>
      <c r="B50" s="7"/>
      <c r="C50" s="6"/>
      <c r="D50" s="6"/>
      <c r="E50" s="6"/>
      <c r="F50" s="6"/>
      <c r="G50" s="6"/>
      <c r="H50" s="6"/>
    </row>
    <row r="51" spans="1:8">
      <c r="A51" s="6"/>
      <c r="B51" s="7"/>
      <c r="C51" s="6"/>
      <c r="D51" s="6"/>
      <c r="E51" s="6"/>
      <c r="F51" s="6"/>
      <c r="G51" s="6"/>
      <c r="H51" s="6"/>
    </row>
    <row r="52" spans="1:8">
      <c r="A52" s="6"/>
      <c r="B52" s="7"/>
      <c r="C52" s="6"/>
      <c r="D52" s="6"/>
      <c r="E52" s="6"/>
      <c r="F52" s="6"/>
      <c r="G52" s="6"/>
      <c r="H52" s="6"/>
    </row>
    <row r="53" spans="1:8">
      <c r="A53" s="6"/>
      <c r="B53" s="7"/>
      <c r="C53" s="6"/>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A60" s="4"/>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A67" s="4"/>
      <c r="B67" s="7"/>
      <c r="C67" s="6"/>
      <c r="D67" s="6"/>
      <c r="E67" s="6"/>
      <c r="F67" s="6"/>
      <c r="G67" s="6"/>
      <c r="H67" s="6"/>
    </row>
    <row r="68" spans="1:8">
      <c r="A68" s="6"/>
      <c r="B68" s="7"/>
      <c r="C68" s="4"/>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A73" s="4"/>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A81" s="4"/>
      <c r="B81" s="7"/>
      <c r="C81" s="6"/>
      <c r="D81" s="6"/>
      <c r="E81" s="6"/>
      <c r="F81" s="6"/>
      <c r="G81" s="6"/>
      <c r="H81" s="6"/>
    </row>
    <row r="82" spans="1:8">
      <c r="A82" s="6"/>
      <c r="B82" s="7"/>
      <c r="C82" s="6"/>
      <c r="D82" s="6"/>
      <c r="E82" s="6"/>
      <c r="F82" s="6"/>
      <c r="G82" s="6"/>
      <c r="H82" s="6"/>
    </row>
    <row r="83" spans="1:8">
      <c r="A83" s="6"/>
      <c r="B83" s="7"/>
      <c r="C83" s="6"/>
      <c r="D83" s="6"/>
      <c r="E83" s="6"/>
      <c r="F83" s="6"/>
      <c r="G83" s="6"/>
      <c r="H83" s="6"/>
    </row>
    <row r="84" spans="1:8">
      <c r="A84" s="6"/>
      <c r="B84" s="7"/>
      <c r="C84" s="6"/>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T3:Y3"/>
  </mergeCells>
  <dataValidations count="7">
    <dataValidation type="list" allowBlank="1" showInputMessage="1" showErrorMessage="1" sqref="O31:P1048576 O13:P14 O18:P19 O1:P2 O5:P8">
      <formula1>BolsosM41</formula1>
    </dataValidation>
    <dataValidation type="list" allowBlank="1" showInputMessage="1" showErrorMessage="1" sqref="H1:H1048576">
      <formula1>INDEX(CompartimientosM39,0,MATCH(OFFSET(INDIRECT(ADDRESS(ROW(), COLUMN())),0,-1),CajonerasM39,0))</formula1>
    </dataValidation>
    <dataValidation type="list" allowBlank="1" showInputMessage="1" showErrorMessage="1" sqref="G1:G1048576">
      <formula1>CajonerasM39</formula1>
    </dataValidation>
    <dataValidation type="list" allowBlank="1" showInputMessage="1" showErrorMessage="1" sqref="A1:A1048576 J4">
      <formula1>categorias</formula1>
    </dataValidation>
    <dataValidation type="list" allowBlank="1" showInputMessage="1" showErrorMessage="1" sqref="C1 C7">
      <formula1>Medidas</formula1>
    </dataValidation>
    <dataValidation type="list" allowBlank="1" showInputMessage="1" showErrorMessage="1" sqref="L4">
      <formula1>INDEX(Medidas,0,MATCH(OFFSET(INDIRECT(ADDRESS(ROW(), COLUMN())),0,-2),categoriasDeMedidas,0))</formula1>
    </dataValidation>
    <dataValidation type="list" allowBlank="1" showInputMessage="1" showErrorMessage="1" sqref="P3 P4">
      <formula1>BolsosM39</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8">
        <x14:dataValidation type="list" allowBlank="1" showInputMessage="1" showErrorMessage="1" xr:uid="{56358B42-6997-4039-AB40-103A0DD7D746}">
          <x14:formula1>
            <xm:f>Configuracion!$G$2:$G$3</xm:f>
          </x14:formula1>
          <xm:sqref>C27 C31 C127:C128</xm:sqref>
        </x14:dataValidation>
        <x14:dataValidation type="list" allowBlank="1" showInputMessage="1" showErrorMessage="1" xr:uid="{923A0D31-4137-4ED9-8932-98900F97E36C}">
          <x14:formula1>
            <xm:f>Configuracion!$F$2:$F$5</xm:f>
          </x14:formula1>
          <xm:sqref>C28:C29</xm:sqref>
        </x14:dataValidation>
        <x14:dataValidation type="list" allowBlank="1" showInputMessage="1" showErrorMessage="1" xr:uid="{DEA81DCA-649C-42D7-BC28-947F26212BA5}">
          <x14:formula1>
            <xm:f>Configuracion!$F$2:$F$3</xm:f>
          </x14:formula1>
          <xm:sqref>C17</xm:sqref>
        </x14:dataValidation>
        <x14:dataValidation type="list" allowBlank="1" showInputMessage="1" showErrorMessage="1" xr:uid="{0683151C-C4AE-4443-9F2E-616B241C75F9}">
          <x14:formula1>
            <xm:f>Configuracion!$M$2:$M$6</xm:f>
          </x14:formula1>
          <xm:sqref>C18</xm:sqref>
        </x14:dataValidation>
        <x14:dataValidation type="list" allowBlank="1" showInputMessage="1" showErrorMessage="1" xr:uid="{824F4815-8F8F-4C0E-AA41-7937A7749451}">
          <x14:formula1>
            <xm:f>Configuracion!$F$2:$F$6</xm:f>
          </x14:formula1>
          <xm:sqref>C30</xm:sqref>
        </x14:dataValidation>
        <x14:dataValidation type="list" allowBlank="1" showInputMessage="1" showErrorMessage="1" xr:uid="{3C234E98-BF87-4E57-A4D7-A5BEEB9EEE5A}">
          <x14:formula1>
            <xm:f>Configuracion!$F$2:$F$7</xm:f>
          </x14:formula1>
          <xm:sqref>C32</xm:sqref>
        </x14:dataValidation>
        <x14:dataValidation type="list" allowBlank="1" showInputMessage="1" showErrorMessage="1" xr:uid="{7EA7F856-15B1-4C9C-BB23-5CE264AF00E7}">
          <x14:formula1>
            <xm:f>Configuracion!$O$2:$O$7</xm:f>
          </x14:formula1>
          <xm:sqref>C38 C41</xm:sqref>
        </x14:dataValidation>
        <x14:dataValidation type="list" allowBlank="1" showInputMessage="1" showErrorMessage="1" xr:uid="{8567C98F-0711-4501-8506-13EAC15D808C}">
          <x14:formula1>
            <xm:f>Configuracion!$F$2:$F$8</xm:f>
          </x14:formula1>
          <xm:sqref>C61:C62</xm:sqref>
        </x14:dataValidation>
        <x14:dataValidation type="list" allowBlank="1" showInputMessage="1" showErrorMessage="1" xr:uid="{D91E98EE-3878-4118-9704-47595F4700B7}">
          <x14:formula1>
            <xm:f>Configuracion!$F$2:$F$9</xm:f>
          </x14:formula1>
          <xm:sqref>C63</xm:sqref>
        </x14:dataValidation>
        <x14:dataValidation type="list" allowBlank="1" showInputMessage="1" showErrorMessage="1" xr:uid="{E139486A-AC6F-45EA-8466-CBFDC52F00F5}">
          <x14:formula1>
            <xm:f>Configuracion!$F$2:$F$10</xm:f>
          </x14:formula1>
          <xm:sqref>C64:C65 C125:C126</xm:sqref>
        </x14:dataValidation>
        <x14:dataValidation type="list" allowBlank="1" showInputMessage="1" showErrorMessage="1" xr:uid="{77856245-B7B4-4BD4-B144-1D25049A569A}">
          <x14:formula1>
            <xm:f>Configuracion!$Q$2:$Q$7</xm:f>
          </x14:formula1>
          <xm:sqref>C66:C67 C53 C70</xm:sqref>
        </x14:dataValidation>
        <x14:dataValidation type="list" allowBlank="1" showInputMessage="1" showErrorMessage="1" xr:uid="{8BF18621-F7D5-417B-BCC9-17F265681065}">
          <x14:formula1>
            <xm:f>Configuracion!$H$2:$H$6</xm:f>
          </x14:formula1>
          <xm:sqref>C21</xm:sqref>
        </x14:dataValidation>
        <x14:dataValidation type="list" allowBlank="1" showInputMessage="1" showErrorMessage="1" xr:uid="{EC0F64EE-C6C5-45B0-BF77-C56CCE93CD35}">
          <x14:formula1>
            <xm:f>Configuracion!$J$2:$J$3</xm:f>
          </x14:formula1>
          <xm:sqref>C23 C14 C16</xm:sqref>
        </x14:dataValidation>
        <x14:dataValidation type="list" allowBlank="1" showInputMessage="1" showErrorMessage="1" xr:uid="{19E9953B-6838-467F-856A-B1841DE82247}">
          <x14:formula1>
            <xm:f>Configuracion!$J$2:$J$5</xm:f>
          </x14:formula1>
          <xm:sqref>C25 C19:C20</xm:sqref>
        </x14:dataValidation>
        <x14:dataValidation type="list" allowBlank="1" showInputMessage="1" showErrorMessage="1" xr:uid="{3ECE4F60-782A-4E5A-9499-58A4BD037540}">
          <x14:formula1>
            <xm:f>Configuracion!$S$2:$S$10</xm:f>
          </x14:formula1>
          <xm:sqref>C96 C100:C101 C105</xm:sqref>
        </x14:dataValidation>
        <x14:dataValidation type="list" allowBlank="1" showInputMessage="1" showErrorMessage="1" xr:uid="{FE7DA706-32CA-4FF3-B780-9FE34A2F1C16}">
          <x14:formula1>
            <xm:f>Configuracion!$N$2:$N$9</xm:f>
          </x14:formula1>
          <xm:sqref>C120 C122</xm:sqref>
        </x14:dataValidation>
        <x14:dataValidation type="list" allowBlank="1" showInputMessage="1" showErrorMessage="1" xr:uid="{8B28A5D5-EE29-4AC4-83F1-80C4038AEA57}">
          <x14:formula1>
            <xm:f>Configuracion!$G$2:$G$4</xm:f>
          </x14:formula1>
          <xm:sqref>C2</xm:sqref>
        </x14:dataValidation>
        <x14:dataValidation type="list" allowBlank="1" showInputMessage="1" showErrorMessage="1" xr:uid="{EA7B239B-636B-4AF9-BF51-FD5F2E9B18F3}">
          <x14:formula1>
            <xm:f>Configuracion!$H$2:$H$3</xm:f>
          </x14:formula1>
          <xm:sqref>C5</xm:sqref>
        </x14:dataValidation>
        <x14:dataValidation type="list" allowBlank="1" showInputMessage="1" showErrorMessage="1" xr:uid="{A5C16A9E-4A7F-4285-AE0B-5FF4A67E86AE}">
          <x14:formula1>
            <xm:f>Configuracion!$G$2:$G$5</xm:f>
          </x14:formula1>
          <xm:sqref>C12 C26</xm:sqref>
        </x14:dataValidation>
        <x14:dataValidation type="list" allowBlank="1" showInputMessage="1" showErrorMessage="1" xr:uid="{D8FF04ED-4FF0-4E0A-ACAF-B15B95CCB2CB}">
          <x14:formula1>
            <xm:f>Configuracion!$G$2:$G$6</xm:f>
          </x14:formula1>
          <xm:sqref>C8 C10</xm:sqref>
        </x14:dataValidation>
        <x14:dataValidation type="list" allowBlank="1" showInputMessage="1" showErrorMessage="1" xr:uid="{27EEF777-C79B-4183-A93C-4641D1A50756}">
          <x14:formula1>
            <xm:f>Configuracion!$F$2:$F$11</xm:f>
          </x14:formula1>
          <xm:sqref>C9</xm:sqref>
        </x14:dataValidation>
        <x14:dataValidation type="list" allowBlank="1" showInputMessage="1" showErrorMessage="1" xr:uid="{A20AEB71-D6D2-4208-B875-6A2D39D1D1EC}">
          <x14:formula1>
            <xm:f>Configuracion!$S$2:$S$11</xm:f>
          </x14:formula1>
          <xm:sqref>C11</xm:sqref>
        </x14:dataValidation>
        <x14:dataValidation type="list" allowBlank="1" showInputMessage="1" showErrorMessage="1" xr:uid="{DA9B2500-B527-4566-BC62-440C681C9307}">
          <x14:formula1>
            <xm:f>Configuracion!$K$2:$K$3</xm:f>
          </x14:formula1>
          <xm:sqref>C22</xm:sqref>
        </x14:dataValidation>
        <x14:dataValidation type="list" allowBlank="1" showInputMessage="1" showErrorMessage="1" xr:uid="{B6D8156D-1DDD-495E-AE89-03E3A639A565}">
          <x14:formula1>
            <xm:f>Configuracion!$K$2:$K$4</xm:f>
          </x14:formula1>
          <xm:sqref>C24</xm:sqref>
        </x14:dataValidation>
        <x14:dataValidation type="list" allowBlank="1" showInputMessage="1" showErrorMessage="1" xr:uid="{194F3B7F-881E-406F-BF96-66F73CD9B54D}">
          <x14:formula1>
            <xm:f>Configuracion!$K$2:$K$6</xm:f>
          </x14:formula1>
          <xm:sqref>C13</xm:sqref>
        </x14:dataValidation>
        <x14:dataValidation type="list" allowBlank="1" showInputMessage="1" showErrorMessage="1" xr:uid="{A3AE2984-F5AB-4656-A0EC-C2BF46322E52}">
          <x14:formula1>
            <xm:f>Configuracion!$K$2:$K$7</xm:f>
          </x14:formula1>
          <xm:sqref>C15</xm:sqref>
        </x14:dataValidation>
        <x14:dataValidation type="list" allowBlank="1" showInputMessage="1" showErrorMessage="1" xr:uid="{2ED28885-B110-4564-9064-21C87A3F7BBD}">
          <x14:formula1>
            <xm:f>Configuracion!$P$2:$P$4</xm:f>
          </x14:formula1>
          <xm:sqref>C52</xm:sqref>
        </x14:dataValidation>
        <x14:dataValidation type="list" allowBlank="1" showInputMessage="1" showErrorMessage="1" xr:uid="{5A4A6FF7-68EF-4B13-84F1-19032B9773BC}">
          <x14:formula1>
            <xm:f>Configuracion!$I$2:$I$6</xm:f>
          </x14:formula1>
          <xm:sqref>C136 C6</xm:sqref>
        </x14:dataValidation>
      </x14:dataValidations>
    </ext>
  </extLst>
</worksheet>
</file>

<file path=xl/worksheets/sheet5.xml><?xml version="1.0" encoding="utf-8"?>
<worksheet xmlns="http://schemas.openxmlformats.org/spreadsheetml/2006/main" xmlns:r="http://schemas.openxmlformats.org/officeDocument/2006/relationships">
  <sheetPr codeName="Sheet9"/>
  <dimension ref="A1:Y136"/>
  <sheetViews>
    <sheetView workbookViewId="0">
      <selection activeCell="A8" sqref="A8"/>
    </sheetView>
  </sheetViews>
  <sheetFormatPr baseColWidth="10" defaultColWidth="9.140625" defaultRowHeight="15"/>
  <cols>
    <col min="1" max="1" width="26.42578125" bestFit="1" customWidth="1"/>
    <col min="2" max="2" width="37.42578125" style="8"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43.5703125" bestFit="1" customWidth="1"/>
    <col min="16" max="16" width="26.85546875" bestFit="1" customWidth="1"/>
    <col min="18" max="18" width="26.85546875" bestFit="1" customWidth="1"/>
    <col min="20" max="25" width="12.5703125" bestFit="1" customWidth="1"/>
  </cols>
  <sheetData>
    <row r="1" spans="1:25">
      <c r="A1" s="4" t="s">
        <v>0</v>
      </c>
      <c r="B1" s="5" t="s">
        <v>1</v>
      </c>
      <c r="C1" s="4" t="s">
        <v>2</v>
      </c>
      <c r="D1" s="4" t="s">
        <v>3</v>
      </c>
      <c r="E1" s="4" t="s">
        <v>4</v>
      </c>
      <c r="F1" s="4" t="s">
        <v>236</v>
      </c>
      <c r="G1" s="4" t="s">
        <v>13</v>
      </c>
      <c r="H1" s="4" t="s">
        <v>228</v>
      </c>
    </row>
    <row r="2" spans="1:25">
      <c r="A2" t="s">
        <v>153</v>
      </c>
      <c r="B2" s="7" t="s">
        <v>560</v>
      </c>
      <c r="D2" s="6"/>
      <c r="E2" s="6"/>
      <c r="F2" s="6">
        <v>4</v>
      </c>
      <c r="G2" s="6" t="s">
        <v>8</v>
      </c>
      <c r="H2" s="6">
        <v>1</v>
      </c>
    </row>
    <row r="3" spans="1:25">
      <c r="A3" s="6" t="s">
        <v>44</v>
      </c>
      <c r="B3" s="7"/>
      <c r="C3" s="6" t="s">
        <v>67</v>
      </c>
      <c r="D3" s="6"/>
      <c r="E3" s="6"/>
      <c r="F3" s="6">
        <v>2</v>
      </c>
      <c r="G3" s="6" t="s">
        <v>8</v>
      </c>
      <c r="H3" s="6">
        <v>1</v>
      </c>
      <c r="J3" t="s">
        <v>0</v>
      </c>
      <c r="K3" t="s">
        <v>16</v>
      </c>
      <c r="L3" t="s">
        <v>2</v>
      </c>
      <c r="M3" s="4" t="s">
        <v>3</v>
      </c>
      <c r="N3" s="4" t="s">
        <v>4</v>
      </c>
      <c r="O3" t="s">
        <v>18</v>
      </c>
      <c r="P3" t="s">
        <v>14</v>
      </c>
      <c r="R3" t="s">
        <v>28</v>
      </c>
      <c r="T3" s="26" t="s">
        <v>226</v>
      </c>
      <c r="U3" s="26"/>
      <c r="V3" s="26"/>
      <c r="W3" s="26"/>
      <c r="X3" s="26"/>
      <c r="Y3" s="26"/>
    </row>
    <row r="4" spans="1:25">
      <c r="A4" s="6" t="s">
        <v>43</v>
      </c>
      <c r="B4" s="7"/>
      <c r="C4" s="6" t="s">
        <v>65</v>
      </c>
      <c r="D4" s="6"/>
      <c r="E4" s="6"/>
      <c r="F4" s="6">
        <v>1</v>
      </c>
      <c r="G4" s="6" t="s">
        <v>8</v>
      </c>
      <c r="H4" s="6">
        <v>1</v>
      </c>
      <c r="T4" t="s">
        <v>8</v>
      </c>
      <c r="U4" t="s">
        <v>5</v>
      </c>
      <c r="V4" t="s">
        <v>7</v>
      </c>
    </row>
    <row r="5" spans="1:25">
      <c r="A5" s="6" t="s">
        <v>32</v>
      </c>
      <c r="B5" s="7" t="s">
        <v>649</v>
      </c>
      <c r="C5" s="6" t="s">
        <v>33</v>
      </c>
      <c r="D5" s="6"/>
      <c r="E5" s="6"/>
      <c r="F5" s="6">
        <v>3</v>
      </c>
      <c r="G5" s="6" t="s">
        <v>8</v>
      </c>
      <c r="H5" s="6">
        <v>1</v>
      </c>
      <c r="T5">
        <v>1</v>
      </c>
      <c r="U5">
        <v>1</v>
      </c>
      <c r="V5">
        <v>1</v>
      </c>
    </row>
    <row r="6" spans="1:25">
      <c r="A6" s="6" t="s">
        <v>32</v>
      </c>
      <c r="B6" s="7" t="s">
        <v>294</v>
      </c>
      <c r="C6" s="6" t="s">
        <v>72</v>
      </c>
      <c r="D6" s="6" t="s">
        <v>293</v>
      </c>
      <c r="E6" s="9"/>
      <c r="F6" s="6">
        <v>1</v>
      </c>
      <c r="G6" s="6" t="s">
        <v>8</v>
      </c>
      <c r="H6" s="6">
        <v>1</v>
      </c>
    </row>
    <row r="7" spans="1:25">
      <c r="A7" s="6" t="s">
        <v>32</v>
      </c>
      <c r="B7" s="7" t="s">
        <v>650</v>
      </c>
      <c r="C7" s="6" t="s">
        <v>33</v>
      </c>
      <c r="D7" s="6"/>
      <c r="E7" s="6"/>
      <c r="F7" s="6">
        <v>1</v>
      </c>
      <c r="G7" s="6" t="s">
        <v>8</v>
      </c>
      <c r="H7" s="6">
        <v>1</v>
      </c>
    </row>
    <row r="8" spans="1:25">
      <c r="A8" s="6" t="s">
        <v>32</v>
      </c>
      <c r="B8" s="7" t="s">
        <v>651</v>
      </c>
      <c r="C8" s="6" t="s">
        <v>33</v>
      </c>
      <c r="D8" s="6"/>
      <c r="E8" s="6"/>
      <c r="F8" s="6">
        <v>1</v>
      </c>
      <c r="G8" s="6" t="s">
        <v>8</v>
      </c>
      <c r="H8" s="6">
        <v>1</v>
      </c>
    </row>
    <row r="9" spans="1:25">
      <c r="A9" s="6" t="s">
        <v>11</v>
      </c>
      <c r="B9" s="7"/>
      <c r="C9" s="6" t="s">
        <v>121</v>
      </c>
      <c r="D9" s="6"/>
      <c r="E9" s="6"/>
      <c r="F9" s="6">
        <v>2</v>
      </c>
      <c r="G9" s="6" t="s">
        <v>5</v>
      </c>
      <c r="H9" s="6">
        <v>1</v>
      </c>
    </row>
    <row r="10" spans="1:25">
      <c r="A10" s="6"/>
      <c r="B10" s="7"/>
      <c r="C10" s="6"/>
      <c r="D10" s="6"/>
      <c r="E10" s="6"/>
      <c r="F10" s="6"/>
      <c r="G10" s="6"/>
      <c r="H10" s="6"/>
    </row>
    <row r="11" spans="1:25">
      <c r="A11" s="6"/>
      <c r="B11" s="7"/>
      <c r="C11" s="6"/>
      <c r="D11" s="6"/>
      <c r="E11" s="6"/>
      <c r="F11" s="6"/>
      <c r="G11" s="6"/>
      <c r="H11" s="6"/>
    </row>
    <row r="12" spans="1:25">
      <c r="A12" s="6"/>
      <c r="B12" s="7"/>
      <c r="C12" s="6"/>
      <c r="D12" s="6"/>
      <c r="E12" s="6"/>
      <c r="F12" s="6"/>
      <c r="G12" s="6"/>
      <c r="H12" s="6"/>
    </row>
    <row r="13" spans="1:25">
      <c r="A13" s="6"/>
      <c r="B13" s="7"/>
      <c r="C13" s="6"/>
      <c r="D13" s="6"/>
      <c r="E13" s="6"/>
      <c r="F13" s="6"/>
      <c r="G13" s="6"/>
      <c r="H13" s="6"/>
    </row>
    <row r="14" spans="1:25">
      <c r="A14" s="6"/>
      <c r="B14" s="7"/>
      <c r="C14" s="6"/>
      <c r="D14" s="6"/>
      <c r="E14" s="6"/>
      <c r="F14" s="6"/>
      <c r="G14" s="6"/>
      <c r="H14" s="6"/>
    </row>
    <row r="15" spans="1:25">
      <c r="A15" s="6"/>
      <c r="B15" s="7"/>
      <c r="C15" s="6"/>
      <c r="D15" s="6"/>
      <c r="E15" s="6"/>
      <c r="F15" s="6"/>
      <c r="G15" s="6"/>
      <c r="H15" s="6"/>
    </row>
    <row r="16" spans="1:25">
      <c r="A16" s="6"/>
      <c r="B16" s="7"/>
      <c r="C16" s="6"/>
      <c r="D16" s="6"/>
      <c r="E16" s="6"/>
      <c r="F16" s="6"/>
      <c r="G16" s="6"/>
      <c r="H16" s="6"/>
    </row>
    <row r="17" spans="1:8">
      <c r="A17" s="6"/>
      <c r="B17" s="7"/>
      <c r="C17" s="6"/>
      <c r="D17" s="6"/>
      <c r="E17" s="6"/>
      <c r="F17" s="6"/>
      <c r="G17" s="6"/>
      <c r="H17" s="6"/>
    </row>
    <row r="18" spans="1:8">
      <c r="A18" s="6"/>
      <c r="B18" s="7"/>
      <c r="C18" s="6"/>
      <c r="D18" s="6"/>
      <c r="E18" s="6"/>
      <c r="F18" s="6"/>
      <c r="G18" s="6"/>
      <c r="H18" s="6"/>
    </row>
    <row r="19" spans="1:8">
      <c r="A19" s="6"/>
      <c r="B19" s="7"/>
      <c r="C19" s="6"/>
      <c r="D19" s="6"/>
      <c r="E19" s="6"/>
      <c r="F19" s="6"/>
      <c r="G19" s="6"/>
      <c r="H19" s="6"/>
    </row>
    <row r="20" spans="1:8">
      <c r="A20" s="6"/>
      <c r="B20" s="7"/>
      <c r="C20" s="6"/>
      <c r="D20" s="6"/>
      <c r="E20" s="6"/>
      <c r="F20" s="6"/>
      <c r="G20" s="6"/>
      <c r="H20" s="6"/>
    </row>
    <row r="21" spans="1:8">
      <c r="A21" s="6"/>
      <c r="B21" s="7"/>
      <c r="C21" s="6"/>
      <c r="D21" s="6"/>
      <c r="E21" s="6"/>
      <c r="F21" s="6"/>
      <c r="G21" s="6"/>
      <c r="H21" s="6"/>
    </row>
    <row r="22" spans="1:8">
      <c r="A22" s="6"/>
      <c r="B22" s="7"/>
      <c r="C22" s="6"/>
      <c r="D22" s="6"/>
      <c r="E22" s="6"/>
      <c r="F22" s="6"/>
      <c r="G22" s="6"/>
      <c r="H22" s="6"/>
    </row>
    <row r="23" spans="1:8">
      <c r="A23" s="6"/>
      <c r="B23" s="7"/>
      <c r="C23" s="6"/>
      <c r="D23" s="6"/>
      <c r="E23" s="6"/>
      <c r="F23" s="6"/>
      <c r="G23" s="6"/>
      <c r="H23" s="6"/>
    </row>
    <row r="24" spans="1:8">
      <c r="A24" s="6"/>
      <c r="B24" s="7"/>
      <c r="C24" s="6"/>
      <c r="D24" s="6"/>
      <c r="E24" s="6"/>
      <c r="F24" s="6"/>
      <c r="G24" s="6"/>
      <c r="H24" s="6"/>
    </row>
    <row r="25" spans="1:8">
      <c r="A25" s="6"/>
      <c r="B25" s="7"/>
      <c r="C25" s="6"/>
      <c r="D25" s="6"/>
      <c r="E25" s="6"/>
      <c r="F25" s="6"/>
      <c r="G25" s="6"/>
      <c r="H25" s="6"/>
    </row>
    <row r="26" spans="1:8">
      <c r="A26" s="6"/>
      <c r="B26" s="7"/>
      <c r="C26" s="6"/>
      <c r="D26" s="6"/>
      <c r="E26" s="6"/>
      <c r="F26" s="6"/>
      <c r="G26" s="6"/>
      <c r="H26" s="6"/>
    </row>
    <row r="27" spans="1:8">
      <c r="A27" s="6"/>
      <c r="B27" s="7"/>
      <c r="C27" s="6"/>
      <c r="D27" s="6"/>
      <c r="E27" s="6"/>
      <c r="F27" s="6"/>
      <c r="G27" s="6"/>
      <c r="H27" s="6"/>
    </row>
    <row r="28" spans="1:8">
      <c r="A28" s="6"/>
      <c r="B28" s="7"/>
      <c r="C28" s="6"/>
      <c r="D28" s="6"/>
      <c r="E28" s="6"/>
      <c r="F28" s="6"/>
      <c r="G28" s="6"/>
      <c r="H28" s="6"/>
    </row>
    <row r="29" spans="1:8">
      <c r="A29" s="6"/>
      <c r="B29" s="7"/>
      <c r="C29" s="6"/>
      <c r="D29" s="6"/>
      <c r="E29" s="6"/>
      <c r="F29" s="6"/>
      <c r="G29" s="6"/>
      <c r="H29" s="6"/>
    </row>
    <row r="30" spans="1:8">
      <c r="A30" s="6"/>
      <c r="B30" s="7"/>
      <c r="C30" s="6"/>
      <c r="D30" s="6"/>
      <c r="E30" s="6"/>
      <c r="F30" s="6"/>
      <c r="G30" s="6"/>
      <c r="H30" s="6"/>
    </row>
    <row r="31" spans="1:8">
      <c r="A31" s="6"/>
      <c r="B31" s="7"/>
      <c r="C31" s="6"/>
      <c r="D31" s="6"/>
      <c r="E31" s="6"/>
      <c r="F31" s="6"/>
      <c r="G31" s="6"/>
      <c r="H31" s="6"/>
    </row>
    <row r="32" spans="1:8">
      <c r="A32" s="6"/>
      <c r="B32" s="7"/>
      <c r="C32" s="6"/>
      <c r="D32" s="6"/>
      <c r="E32" s="6"/>
      <c r="F32" s="6"/>
      <c r="G32" s="6"/>
      <c r="H32" s="6"/>
    </row>
    <row r="33" spans="1:8">
      <c r="A33" s="6"/>
      <c r="B33" s="7"/>
      <c r="C33" s="6"/>
      <c r="D33" s="6"/>
      <c r="E33" s="6"/>
      <c r="F33" s="6"/>
      <c r="G33" s="6"/>
      <c r="H33" s="6"/>
    </row>
    <row r="34" spans="1:8">
      <c r="A34" s="6"/>
      <c r="B34" s="7"/>
      <c r="C34" s="6"/>
      <c r="D34" s="6"/>
      <c r="E34" s="6"/>
      <c r="F34" s="6"/>
      <c r="G34" s="6"/>
      <c r="H34" s="6"/>
    </row>
    <row r="35" spans="1:8">
      <c r="A35" s="6"/>
      <c r="B35" s="7"/>
      <c r="C35" s="6"/>
      <c r="D35" s="6"/>
      <c r="E35" s="6"/>
      <c r="F35" s="6"/>
      <c r="G35" s="6"/>
      <c r="H35" s="6"/>
    </row>
    <row r="36" spans="1:8">
      <c r="A36" s="6"/>
      <c r="B36" s="7"/>
      <c r="C36" s="6"/>
      <c r="D36" s="6"/>
      <c r="E36" s="6"/>
      <c r="F36" s="6"/>
      <c r="G36" s="6"/>
      <c r="H36" s="6"/>
    </row>
    <row r="37" spans="1:8">
      <c r="A37" s="6"/>
      <c r="B37" s="7"/>
      <c r="C37" s="6"/>
      <c r="D37" s="6"/>
      <c r="E37" s="6"/>
      <c r="F37" s="6"/>
      <c r="G37" s="6"/>
      <c r="H37" s="6"/>
    </row>
    <row r="38" spans="1:8">
      <c r="A38" s="6"/>
      <c r="B38" s="7"/>
      <c r="C38" s="6"/>
      <c r="D38" s="6"/>
      <c r="E38" s="6"/>
      <c r="F38" s="6"/>
      <c r="G38" s="6"/>
      <c r="H38" s="6"/>
    </row>
    <row r="39" spans="1:8">
      <c r="A39" s="6"/>
      <c r="B39" s="7"/>
      <c r="C39" s="6"/>
      <c r="D39" s="6"/>
      <c r="E39" s="6"/>
      <c r="F39" s="6"/>
      <c r="G39" s="6"/>
      <c r="H39" s="6"/>
    </row>
    <row r="40" spans="1:8">
      <c r="A40" s="6"/>
      <c r="B40" s="7"/>
      <c r="C40" s="6"/>
      <c r="D40" s="6"/>
      <c r="E40" s="6"/>
      <c r="F40" s="6"/>
      <c r="G40" s="6"/>
      <c r="H40" s="6"/>
    </row>
    <row r="41" spans="1:8">
      <c r="A41" s="6"/>
      <c r="B41" s="7"/>
      <c r="C41" s="6"/>
      <c r="D41" s="6"/>
      <c r="E41" s="6"/>
      <c r="F41" s="6"/>
      <c r="G41" s="6"/>
      <c r="H41" s="6"/>
    </row>
    <row r="42" spans="1:8">
      <c r="A42" s="6"/>
      <c r="B42" s="7"/>
      <c r="C42" s="6"/>
      <c r="D42" s="6"/>
      <c r="E42" s="6"/>
      <c r="F42" s="6"/>
      <c r="G42" s="6"/>
      <c r="H42" s="6"/>
    </row>
    <row r="43" spans="1:8">
      <c r="A43" s="6"/>
      <c r="B43" s="7"/>
      <c r="C43" s="6"/>
      <c r="D43" s="6"/>
      <c r="E43" s="6"/>
      <c r="F43" s="6"/>
      <c r="G43" s="6"/>
      <c r="H43" s="6"/>
    </row>
    <row r="44" spans="1:8">
      <c r="A44" s="6"/>
      <c r="B44" s="7"/>
      <c r="C44" s="6"/>
      <c r="D44" s="6"/>
      <c r="E44" s="6"/>
      <c r="F44" s="6"/>
      <c r="G44" s="6"/>
      <c r="H44" s="6"/>
    </row>
    <row r="45" spans="1:8">
      <c r="A45" s="6"/>
      <c r="B45" s="7"/>
      <c r="C45" s="6"/>
      <c r="D45" s="6"/>
      <c r="E45" s="6"/>
      <c r="F45" s="6"/>
      <c r="G45" s="6"/>
      <c r="H45" s="6"/>
    </row>
    <row r="46" spans="1:8">
      <c r="A46" s="6"/>
      <c r="B46" s="7"/>
      <c r="C46" s="6"/>
      <c r="D46" s="6"/>
      <c r="E46" s="6"/>
      <c r="F46" s="6"/>
      <c r="G46" s="6"/>
      <c r="H46" s="6"/>
    </row>
    <row r="47" spans="1:8">
      <c r="A47" s="6"/>
      <c r="B47" s="7"/>
      <c r="C47" s="6"/>
      <c r="D47" s="6"/>
      <c r="E47" s="6"/>
      <c r="F47" s="6"/>
      <c r="G47" s="6"/>
      <c r="H47" s="6"/>
    </row>
    <row r="48" spans="1:8">
      <c r="A48" s="6"/>
      <c r="B48" s="7"/>
      <c r="C48" s="6"/>
      <c r="D48" s="6"/>
      <c r="E48" s="6"/>
      <c r="F48" s="6"/>
      <c r="G48" s="6"/>
      <c r="H48" s="6"/>
    </row>
    <row r="49" spans="1:8">
      <c r="A49" s="6"/>
      <c r="B49" s="7"/>
      <c r="C49" s="6"/>
      <c r="D49" s="6"/>
      <c r="E49" s="6"/>
      <c r="F49" s="6"/>
      <c r="G49" s="6"/>
      <c r="H49" s="6"/>
    </row>
    <row r="50" spans="1:8">
      <c r="A50" s="6"/>
      <c r="B50" s="7"/>
      <c r="C50" s="6"/>
      <c r="D50" s="6"/>
      <c r="E50" s="6"/>
      <c r="F50" s="6"/>
      <c r="G50" s="6"/>
      <c r="H50" s="6"/>
    </row>
    <row r="51" spans="1:8">
      <c r="A51" s="6"/>
      <c r="B51" s="7"/>
      <c r="C51" s="6"/>
      <c r="D51" s="6"/>
      <c r="E51" s="6"/>
      <c r="F51" s="6"/>
      <c r="G51" s="6"/>
      <c r="H51" s="6"/>
    </row>
    <row r="52" spans="1:8">
      <c r="A52" s="6"/>
      <c r="B52" s="7"/>
      <c r="C52" s="6"/>
      <c r="D52" s="6"/>
      <c r="E52" s="6"/>
      <c r="F52" s="6"/>
      <c r="G52" s="6"/>
      <c r="H52" s="6"/>
    </row>
    <row r="53" spans="1:8">
      <c r="A53" s="6"/>
      <c r="B53" s="7"/>
      <c r="C53" s="6"/>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A60" s="4"/>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A67" s="4"/>
      <c r="B67" s="7"/>
      <c r="C67" s="6"/>
      <c r="D67" s="6"/>
      <c r="E67" s="6"/>
      <c r="F67" s="6"/>
      <c r="G67" s="6"/>
      <c r="H67" s="6"/>
    </row>
    <row r="68" spans="1:8">
      <c r="A68" s="6"/>
      <c r="B68" s="7"/>
      <c r="C68" s="4"/>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A73" s="4"/>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A81" s="4"/>
      <c r="B81" s="7"/>
      <c r="C81" s="6"/>
      <c r="D81" s="6"/>
      <c r="E81" s="6"/>
      <c r="F81" s="6"/>
      <c r="G81" s="6"/>
      <c r="H81" s="6"/>
    </row>
    <row r="82" spans="1:8">
      <c r="A82" s="6"/>
      <c r="B82" s="7"/>
      <c r="C82" s="6"/>
      <c r="D82" s="6"/>
      <c r="E82" s="6"/>
      <c r="F82" s="6"/>
      <c r="G82" s="6"/>
      <c r="H82" s="6"/>
    </row>
    <row r="83" spans="1:8">
      <c r="A83" s="6"/>
      <c r="B83" s="7"/>
      <c r="C83" s="6"/>
      <c r="D83" s="6"/>
      <c r="E83" s="6"/>
      <c r="F83" s="6"/>
      <c r="G83" s="6"/>
      <c r="H83" s="6"/>
    </row>
    <row r="84" spans="1:8">
      <c r="A84" s="6"/>
      <c r="B84" s="7"/>
      <c r="C84" s="6"/>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T3:Y3"/>
  </mergeCells>
  <dataValidations count="7">
    <dataValidation type="list" allowBlank="1" showInputMessage="1" showErrorMessage="1" sqref="C1">
      <formula1>Medidas</formula1>
    </dataValidation>
    <dataValidation type="list" allowBlank="1" showInputMessage="1" showErrorMessage="1" sqref="A1:A1048576 J4">
      <formula1>categorias</formula1>
    </dataValidation>
    <dataValidation type="list" allowBlank="1" showInputMessage="1" showErrorMessage="1" sqref="G1:G1048576">
      <formula1>CajonerasM39</formula1>
    </dataValidation>
    <dataValidation type="list" allowBlank="1" showInputMessage="1" showErrorMessage="1" sqref="H1:H1048576">
      <formula1>INDEX(CompartimientosM39,0,MATCH(OFFSET(INDIRECT(ADDRESS(ROW(), COLUMN())),0,-1),CajonerasM39,0))</formula1>
    </dataValidation>
    <dataValidation type="list" allowBlank="1" showInputMessage="1" showErrorMessage="1" sqref="P31:P1048576 P13:P14 P18:P19 P1:P2 P5:P8">
      <formula1>BolsosM40</formula1>
    </dataValidation>
    <dataValidation type="list" allowBlank="1" showInputMessage="1" showErrorMessage="1" sqref="P3:P4">
      <formula1>BolsosM39</formula1>
    </dataValidation>
    <dataValidation type="list" allowBlank="1" showInputMessage="1" showErrorMessage="1" sqref="L4">
      <formula1>INDEX(Medidas,0,MATCH(OFFSET(INDIRECT(ADDRESS(ROW(), COLUMN())),0,-2),categoriasDeMedidas,0))</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7">
        <x14:dataValidation type="list" allowBlank="1" showInputMessage="1" showErrorMessage="1" xr:uid="{ADB613A9-00CF-4BB0-A73E-65269E64D84E}">
          <x14:formula1>
            <xm:f>Configuracion!$P$2:$P$4</xm:f>
          </x14:formula1>
          <xm:sqref>C52</xm:sqref>
        </x14:dataValidation>
        <x14:dataValidation type="list" allowBlank="1" showInputMessage="1" showErrorMessage="1" xr:uid="{42E7E9EB-8BA6-4B01-9A6A-4B025FB4B229}">
          <x14:formula1>
            <xm:f>Configuracion!$K$2:$K$7</xm:f>
          </x14:formula1>
          <xm:sqref>C15 C3</xm:sqref>
        </x14:dataValidation>
        <x14:dataValidation type="list" allowBlank="1" showInputMessage="1" showErrorMessage="1" xr:uid="{DEDBF1AD-E89A-404E-8FDF-EA27625C3084}">
          <x14:formula1>
            <xm:f>Configuracion!$K$2:$K$6</xm:f>
          </x14:formula1>
          <xm:sqref>C13</xm:sqref>
        </x14:dataValidation>
        <x14:dataValidation type="list" allowBlank="1" showInputMessage="1" showErrorMessage="1" xr:uid="{DEF9B5B0-B786-4BC4-A1FF-97B54295EEB4}">
          <x14:formula1>
            <xm:f>Configuracion!$K$2:$K$4</xm:f>
          </x14:formula1>
          <xm:sqref>C24</xm:sqref>
        </x14:dataValidation>
        <x14:dataValidation type="list" allowBlank="1" showInputMessage="1" showErrorMessage="1" xr:uid="{73196A7D-8AE5-4FEB-8DEE-E32A3165E68C}">
          <x14:formula1>
            <xm:f>Configuracion!$K$2:$K$3</xm:f>
          </x14:formula1>
          <xm:sqref>C22</xm:sqref>
        </x14:dataValidation>
        <x14:dataValidation type="list" allowBlank="1" showInputMessage="1" showErrorMessage="1" xr:uid="{94777DD8-D9F0-4689-B30B-94475055BB0F}">
          <x14:formula1>
            <xm:f>Configuracion!$S$2:$S$11</xm:f>
          </x14:formula1>
          <xm:sqref>C11</xm:sqref>
        </x14:dataValidation>
        <x14:dataValidation type="list" allowBlank="1" showInputMessage="1" showErrorMessage="1" xr:uid="{CD806682-703B-4B02-8D9E-B6E9CEB3C538}">
          <x14:formula1>
            <xm:f>Configuracion!$F$2:$F$11</xm:f>
          </x14:formula1>
          <xm:sqref>C9</xm:sqref>
        </x14:dataValidation>
        <x14:dataValidation type="list" allowBlank="1" showInputMessage="1" showErrorMessage="1" xr:uid="{3D820AFD-71B5-450B-8DD6-B4CE1CA9335C}">
          <x14:formula1>
            <xm:f>Configuracion!$G$2:$G$6</xm:f>
          </x14:formula1>
          <xm:sqref>C10 C5:C8</xm:sqref>
        </x14:dataValidation>
        <x14:dataValidation type="list" allowBlank="1" showInputMessage="1" showErrorMessage="1" xr:uid="{8E77299F-40E2-4FCC-B503-4E8D5DCE1478}">
          <x14:formula1>
            <xm:f>Configuracion!$G$2:$G$5</xm:f>
          </x14:formula1>
          <xm:sqref>C12 C26</xm:sqref>
        </x14:dataValidation>
        <x14:dataValidation type="list" allowBlank="1" showInputMessage="1" showErrorMessage="1" xr:uid="{B12FF4D7-30E2-4680-8647-64BA015FABC7}">
          <x14:formula1>
            <xm:f>Configuracion!$G$2:$G$4</xm:f>
          </x14:formula1>
          <xm:sqref>C2</xm:sqref>
        </x14:dataValidation>
        <x14:dataValidation type="list" allowBlank="1" showInputMessage="1" showErrorMessage="1" xr:uid="{CFC3DCB5-AF37-4E21-904C-CFF8D8C3D0E5}">
          <x14:formula1>
            <xm:f>Configuracion!$N$2:$N$9</xm:f>
          </x14:formula1>
          <xm:sqref>C120 C122</xm:sqref>
        </x14:dataValidation>
        <x14:dataValidation type="list" allowBlank="1" showInputMessage="1" showErrorMessage="1" xr:uid="{B1B3D37F-F1E9-40C3-9AF2-A9AAC5A09FD6}">
          <x14:formula1>
            <xm:f>Configuracion!$S$2:$S$10</xm:f>
          </x14:formula1>
          <xm:sqref>C96 C100:C101 C105</xm:sqref>
        </x14:dataValidation>
        <x14:dataValidation type="list" allowBlank="1" showInputMessage="1" showErrorMessage="1" xr:uid="{4559DFA0-EA13-4679-B182-F48874824678}">
          <x14:formula1>
            <xm:f>Configuracion!$J$2:$J$5</xm:f>
          </x14:formula1>
          <xm:sqref>C25 C19:C20</xm:sqref>
        </x14:dataValidation>
        <x14:dataValidation type="list" allowBlank="1" showInputMessage="1" showErrorMessage="1" xr:uid="{DCFD9001-5DD5-47B1-AD2D-7893B18730F7}">
          <x14:formula1>
            <xm:f>Configuracion!$J$2:$J$3</xm:f>
          </x14:formula1>
          <xm:sqref>C23 C14 C16 C4</xm:sqref>
        </x14:dataValidation>
        <x14:dataValidation type="list" allowBlank="1" showInputMessage="1" showErrorMessage="1" xr:uid="{CFDD8CAA-E545-4376-BB48-CC2BD7920823}">
          <x14:formula1>
            <xm:f>Configuracion!$H$2:$H$6</xm:f>
          </x14:formula1>
          <xm:sqref>C21</xm:sqref>
        </x14:dataValidation>
        <x14:dataValidation type="list" allowBlank="1" showInputMessage="1" showErrorMessage="1" xr:uid="{E1D42A25-1CFB-49CB-BF5A-C0620F4790A1}">
          <x14:formula1>
            <xm:f>Configuracion!$Q$2:$Q$7</xm:f>
          </x14:formula1>
          <xm:sqref>C66:C67 C53 C70</xm:sqref>
        </x14:dataValidation>
        <x14:dataValidation type="list" allowBlank="1" showInputMessage="1" showErrorMessage="1" xr:uid="{AA5611C3-1A91-45EF-98DB-68A99C524FE3}">
          <x14:formula1>
            <xm:f>Configuracion!$F$2:$F$10</xm:f>
          </x14:formula1>
          <xm:sqref>C64:C65 C125:C126</xm:sqref>
        </x14:dataValidation>
        <x14:dataValidation type="list" allowBlank="1" showInputMessage="1" showErrorMessage="1" xr:uid="{05478175-2E67-4B11-8D37-09688DCF1711}">
          <x14:formula1>
            <xm:f>Configuracion!$F$2:$F$9</xm:f>
          </x14:formula1>
          <xm:sqref>C63</xm:sqref>
        </x14:dataValidation>
        <x14:dataValidation type="list" allowBlank="1" showInputMessage="1" showErrorMessage="1" xr:uid="{C803D5C3-3E8E-4039-8106-0808E91943D0}">
          <x14:formula1>
            <xm:f>Configuracion!$F$2:$F$8</xm:f>
          </x14:formula1>
          <xm:sqref>C61:C62</xm:sqref>
        </x14:dataValidation>
        <x14:dataValidation type="list" allowBlank="1" showInputMessage="1" showErrorMessage="1" xr:uid="{21F3AED6-7D48-4E08-B7A4-FBB13DCC23BC}">
          <x14:formula1>
            <xm:f>Configuracion!$O$2:$O$7</xm:f>
          </x14:formula1>
          <xm:sqref>C38 C41</xm:sqref>
        </x14:dataValidation>
        <x14:dataValidation type="list" allowBlank="1" showInputMessage="1" showErrorMessage="1" xr:uid="{424AC9F5-52F0-46CC-B21A-8B7986EC2117}">
          <x14:formula1>
            <xm:f>Configuracion!$F$2:$F$7</xm:f>
          </x14:formula1>
          <xm:sqref>C32</xm:sqref>
        </x14:dataValidation>
        <x14:dataValidation type="list" allowBlank="1" showInputMessage="1" showErrorMessage="1" xr:uid="{E3D0BFB3-E979-4C77-8E06-74CE02B26915}">
          <x14:formula1>
            <xm:f>Configuracion!$F$2:$F$6</xm:f>
          </x14:formula1>
          <xm:sqref>C30</xm:sqref>
        </x14:dataValidation>
        <x14:dataValidation type="list" allowBlank="1" showInputMessage="1" showErrorMessage="1" xr:uid="{7FA2D310-A85C-4224-B35F-323A98ADFA93}">
          <x14:formula1>
            <xm:f>Configuracion!$M$2:$M$6</xm:f>
          </x14:formula1>
          <xm:sqref>C18</xm:sqref>
        </x14:dataValidation>
        <x14:dataValidation type="list" allowBlank="1" showInputMessage="1" showErrorMessage="1" xr:uid="{FA13D8A8-1253-4C25-AF72-A163C12AF7A9}">
          <x14:formula1>
            <xm:f>Configuracion!$F$2:$F$3</xm:f>
          </x14:formula1>
          <xm:sqref>C17</xm:sqref>
        </x14:dataValidation>
        <x14:dataValidation type="list" allowBlank="1" showInputMessage="1" showErrorMessage="1" xr:uid="{D7AC19B6-8868-49B7-8609-A51C96BA21BE}">
          <x14:formula1>
            <xm:f>Configuracion!$F$2:$F$5</xm:f>
          </x14:formula1>
          <xm:sqref>C28:C29</xm:sqref>
        </x14:dataValidation>
        <x14:dataValidation type="list" allowBlank="1" showInputMessage="1" showErrorMessage="1" xr:uid="{75A40F58-B6BA-4F6E-AD83-587A77FC538C}">
          <x14:formula1>
            <xm:f>Configuracion!$G$2:$G$3</xm:f>
          </x14:formula1>
          <xm:sqref>C27 C31 C127:C128</xm:sqref>
        </x14:dataValidation>
        <x14:dataValidation type="list" allowBlank="1" showInputMessage="1" showErrorMessage="1" xr:uid="{42965377-7470-4CB5-9211-FFE7147D0852}">
          <x14:formula1>
            <xm:f>Configuracion!$I$2:$I$6</xm:f>
          </x14:formula1>
          <xm:sqref>C136</xm:sqref>
        </x14:dataValidation>
      </x14:dataValidations>
    </ext>
  </extLst>
</worksheet>
</file>

<file path=xl/worksheets/sheet6.xml><?xml version="1.0" encoding="utf-8"?>
<worksheet xmlns="http://schemas.openxmlformats.org/spreadsheetml/2006/main" xmlns:r="http://schemas.openxmlformats.org/officeDocument/2006/relationships">
  <sheetPr codeName="Sheet6"/>
  <dimension ref="A1:AB23"/>
  <sheetViews>
    <sheetView topLeftCell="A15" workbookViewId="0">
      <selection activeCell="A22" sqref="A22"/>
    </sheetView>
  </sheetViews>
  <sheetFormatPr baseColWidth="10" defaultColWidth="9.140625" defaultRowHeight="15"/>
  <cols>
    <col min="1" max="1" width="22.42578125" customWidth="1"/>
    <col min="2" max="2" width="30.5703125" customWidth="1"/>
    <col min="3" max="3" width="13.85546875" bestFit="1" customWidth="1"/>
    <col min="4" max="4" width="8.5703125" bestFit="1" customWidth="1"/>
    <col min="5" max="5" width="13.140625" bestFit="1" customWidth="1"/>
    <col min="7" max="7" width="11.140625" bestFit="1" customWidth="1"/>
    <col min="8" max="8" width="18" bestFit="1" customWidth="1"/>
    <col min="10" max="10" width="13.140625" customWidth="1"/>
    <col min="11" max="11" width="46.28515625" bestFit="1" customWidth="1"/>
    <col min="16" max="16" width="20.7109375" bestFit="1" customWidth="1"/>
  </cols>
  <sheetData>
    <row r="1" spans="1:28">
      <c r="A1" s="4" t="s">
        <v>0</v>
      </c>
      <c r="B1" s="5" t="s">
        <v>1</v>
      </c>
      <c r="C1" s="4" t="s">
        <v>2</v>
      </c>
      <c r="D1" s="4" t="s">
        <v>3</v>
      </c>
      <c r="E1" s="4" t="s">
        <v>4</v>
      </c>
      <c r="F1" s="4" t="s">
        <v>236</v>
      </c>
      <c r="G1" s="4" t="s">
        <v>13</v>
      </c>
      <c r="H1" s="4" t="s">
        <v>228</v>
      </c>
    </row>
    <row r="2" spans="1:28" ht="45">
      <c r="A2" t="s">
        <v>253</v>
      </c>
      <c r="B2" s="7" t="s">
        <v>300</v>
      </c>
      <c r="D2" s="6"/>
      <c r="E2" s="6"/>
      <c r="F2" s="6">
        <v>4</v>
      </c>
      <c r="G2" s="6" t="s">
        <v>8</v>
      </c>
      <c r="H2" s="6">
        <v>1</v>
      </c>
    </row>
    <row r="3" spans="1:28">
      <c r="A3" s="6" t="s">
        <v>11</v>
      </c>
      <c r="B3" s="7" t="s">
        <v>301</v>
      </c>
      <c r="C3" t="s">
        <v>79</v>
      </c>
      <c r="D3" s="6"/>
      <c r="E3" s="6"/>
      <c r="F3" s="6">
        <v>1</v>
      </c>
      <c r="G3" s="6" t="s">
        <v>5</v>
      </c>
      <c r="H3" s="6">
        <v>1</v>
      </c>
      <c r="J3" t="s">
        <v>0</v>
      </c>
      <c r="K3" t="s">
        <v>16</v>
      </c>
      <c r="L3" t="s">
        <v>2</v>
      </c>
      <c r="M3" s="4" t="s">
        <v>3</v>
      </c>
      <c r="N3" s="4" t="s">
        <v>4</v>
      </c>
      <c r="O3" t="s">
        <v>18</v>
      </c>
      <c r="P3" t="s">
        <v>14</v>
      </c>
      <c r="R3" t="s">
        <v>28</v>
      </c>
      <c r="T3" s="26" t="s">
        <v>226</v>
      </c>
      <c r="U3" s="26"/>
      <c r="V3" s="26"/>
      <c r="W3" s="26"/>
      <c r="X3" s="26"/>
      <c r="Y3" s="26"/>
    </row>
    <row r="4" spans="1:28">
      <c r="A4" s="6" t="s">
        <v>302</v>
      </c>
      <c r="B4" s="7" t="s">
        <v>305</v>
      </c>
      <c r="C4" s="6"/>
      <c r="D4" s="6" t="s">
        <v>306</v>
      </c>
      <c r="E4" s="6"/>
      <c r="F4" s="6">
        <v>1</v>
      </c>
      <c r="G4" s="6" t="s">
        <v>6</v>
      </c>
      <c r="H4" s="6">
        <v>1</v>
      </c>
      <c r="J4" t="s">
        <v>860</v>
      </c>
      <c r="K4" t="s">
        <v>1067</v>
      </c>
      <c r="L4" t="s">
        <v>792</v>
      </c>
      <c r="O4">
        <v>1</v>
      </c>
      <c r="P4" t="s">
        <v>1066</v>
      </c>
      <c r="R4" t="s">
        <v>1066</v>
      </c>
      <c r="T4" t="s">
        <v>8</v>
      </c>
      <c r="U4" t="s">
        <v>5</v>
      </c>
      <c r="V4" t="s">
        <v>6</v>
      </c>
      <c r="W4" t="s">
        <v>9</v>
      </c>
      <c r="X4" t="s">
        <v>10</v>
      </c>
      <c r="Y4" t="s">
        <v>252</v>
      </c>
      <c r="Z4" t="s">
        <v>298</v>
      </c>
      <c r="AA4" t="s">
        <v>299</v>
      </c>
      <c r="AB4" t="s">
        <v>7</v>
      </c>
    </row>
    <row r="5" spans="1:28" ht="30">
      <c r="A5" s="6" t="s">
        <v>302</v>
      </c>
      <c r="B5" s="7" t="s">
        <v>303</v>
      </c>
      <c r="C5" s="6"/>
      <c r="D5" s="6" t="s">
        <v>304</v>
      </c>
      <c r="E5" s="6"/>
      <c r="F5" s="6">
        <v>1</v>
      </c>
      <c r="G5" s="6" t="s">
        <v>6</v>
      </c>
      <c r="H5" s="6">
        <v>1</v>
      </c>
      <c r="J5" t="s">
        <v>302</v>
      </c>
      <c r="K5" t="s">
        <v>1069</v>
      </c>
      <c r="O5">
        <v>1</v>
      </c>
      <c r="P5" t="s">
        <v>1068</v>
      </c>
      <c r="R5" t="s">
        <v>1068</v>
      </c>
      <c r="T5">
        <v>1</v>
      </c>
      <c r="U5">
        <v>1</v>
      </c>
      <c r="V5">
        <v>1</v>
      </c>
      <c r="W5">
        <v>1</v>
      </c>
      <c r="X5">
        <v>1</v>
      </c>
      <c r="Y5">
        <v>1</v>
      </c>
      <c r="Z5">
        <v>1</v>
      </c>
      <c r="AA5">
        <v>1</v>
      </c>
      <c r="AB5">
        <v>1</v>
      </c>
    </row>
    <row r="6" spans="1:28">
      <c r="A6" s="6" t="s">
        <v>302</v>
      </c>
      <c r="B6" s="7" t="s">
        <v>307</v>
      </c>
      <c r="C6" s="6"/>
      <c r="D6" s="6" t="s">
        <v>308</v>
      </c>
      <c r="E6" s="9"/>
      <c r="F6" s="6">
        <v>1</v>
      </c>
      <c r="G6" s="6" t="s">
        <v>6</v>
      </c>
      <c r="H6" s="6">
        <v>1</v>
      </c>
      <c r="J6" t="s">
        <v>903</v>
      </c>
      <c r="K6" t="s">
        <v>1070</v>
      </c>
      <c r="O6">
        <v>1</v>
      </c>
      <c r="P6" t="s">
        <v>1068</v>
      </c>
    </row>
    <row r="7" spans="1:28">
      <c r="A7" s="6" t="s">
        <v>309</v>
      </c>
      <c r="B7" s="7" t="s">
        <v>310</v>
      </c>
      <c r="C7" s="6"/>
      <c r="D7" s="6"/>
      <c r="E7" s="6"/>
      <c r="F7" s="6">
        <v>1</v>
      </c>
      <c r="G7" s="6" t="s">
        <v>6</v>
      </c>
      <c r="H7" s="6">
        <v>1</v>
      </c>
      <c r="J7" t="s">
        <v>903</v>
      </c>
      <c r="K7" t="s">
        <v>1071</v>
      </c>
      <c r="O7">
        <v>1</v>
      </c>
      <c r="P7" t="s">
        <v>1068</v>
      </c>
    </row>
    <row r="8" spans="1:28">
      <c r="A8" s="6" t="s">
        <v>53</v>
      </c>
      <c r="B8" s="7" t="s">
        <v>234</v>
      </c>
      <c r="C8" s="6"/>
      <c r="D8" s="6"/>
      <c r="E8" s="6"/>
      <c r="F8" s="6">
        <v>4</v>
      </c>
      <c r="G8" s="6" t="s">
        <v>9</v>
      </c>
      <c r="H8" s="6">
        <v>1</v>
      </c>
    </row>
    <row r="9" spans="1:28">
      <c r="A9" s="6" t="s">
        <v>11</v>
      </c>
      <c r="B9" s="7" t="s">
        <v>311</v>
      </c>
      <c r="C9" s="6" t="s">
        <v>121</v>
      </c>
      <c r="D9" s="6"/>
      <c r="E9" s="6"/>
      <c r="F9" s="6">
        <v>4</v>
      </c>
      <c r="G9" s="6" t="s">
        <v>9</v>
      </c>
      <c r="H9" s="6">
        <v>1</v>
      </c>
    </row>
    <row r="10" spans="1:28">
      <c r="A10" s="6" t="s">
        <v>11</v>
      </c>
      <c r="B10" s="7" t="s">
        <v>311</v>
      </c>
      <c r="C10" s="6" t="s">
        <v>79</v>
      </c>
      <c r="D10" s="6"/>
      <c r="E10" s="6"/>
      <c r="F10" s="6">
        <v>1</v>
      </c>
      <c r="G10" s="6" t="s">
        <v>9</v>
      </c>
      <c r="H10" s="6">
        <v>1</v>
      </c>
    </row>
    <row r="11" spans="1:28">
      <c r="A11" s="6" t="s">
        <v>46</v>
      </c>
      <c r="B11" s="7"/>
      <c r="C11" s="6"/>
      <c r="D11" s="6"/>
      <c r="E11" s="6"/>
      <c r="F11" s="6">
        <v>3</v>
      </c>
      <c r="G11" s="6" t="s">
        <v>10</v>
      </c>
      <c r="H11" s="6">
        <v>1</v>
      </c>
    </row>
    <row r="12" spans="1:28">
      <c r="A12" s="6" t="s">
        <v>185</v>
      </c>
      <c r="B12" s="7" t="s">
        <v>312</v>
      </c>
      <c r="C12" s="6"/>
      <c r="D12" s="6"/>
      <c r="E12" s="6"/>
      <c r="F12" s="6">
        <v>2</v>
      </c>
      <c r="G12" s="6" t="s">
        <v>10</v>
      </c>
      <c r="H12" s="6">
        <v>1</v>
      </c>
    </row>
    <row r="13" spans="1:28" ht="30">
      <c r="A13" s="6" t="s">
        <v>32</v>
      </c>
      <c r="B13" s="7" t="s">
        <v>313</v>
      </c>
      <c r="C13" s="6" t="s">
        <v>72</v>
      </c>
      <c r="D13" s="6"/>
      <c r="E13" s="6"/>
      <c r="F13" s="6">
        <v>1</v>
      </c>
      <c r="G13" s="6" t="s">
        <v>252</v>
      </c>
      <c r="H13" s="6">
        <v>1</v>
      </c>
    </row>
    <row r="14" spans="1:28">
      <c r="A14" s="6" t="s">
        <v>11</v>
      </c>
      <c r="B14" s="7" t="s">
        <v>311</v>
      </c>
      <c r="C14" t="s">
        <v>77</v>
      </c>
      <c r="D14" s="6"/>
      <c r="E14" s="6"/>
      <c r="F14" s="6">
        <v>1</v>
      </c>
      <c r="G14" s="6" t="s">
        <v>252</v>
      </c>
      <c r="H14" s="6">
        <v>1</v>
      </c>
    </row>
    <row r="15" spans="1:28">
      <c r="A15" s="6" t="s">
        <v>171</v>
      </c>
      <c r="B15" s="7"/>
      <c r="C15" s="6" t="s">
        <v>232</v>
      </c>
      <c r="D15" s="6"/>
      <c r="E15" s="6"/>
      <c r="F15" s="6">
        <v>1</v>
      </c>
      <c r="G15" s="6" t="s">
        <v>298</v>
      </c>
      <c r="H15" s="6">
        <v>1</v>
      </c>
    </row>
    <row r="16" spans="1:28">
      <c r="A16" s="6" t="s">
        <v>88</v>
      </c>
      <c r="B16" s="7" t="s">
        <v>314</v>
      </c>
      <c r="C16" s="6"/>
      <c r="D16" s="6"/>
      <c r="E16" s="6"/>
      <c r="F16" s="6">
        <v>1</v>
      </c>
      <c r="G16" s="6" t="s">
        <v>298</v>
      </c>
      <c r="H16" s="6">
        <v>1</v>
      </c>
    </row>
    <row r="17" spans="1:8" ht="30">
      <c r="A17" s="6" t="s">
        <v>315</v>
      </c>
      <c r="B17" s="7" t="s">
        <v>316</v>
      </c>
      <c r="C17" s="6"/>
      <c r="D17" s="6" t="s">
        <v>317</v>
      </c>
      <c r="E17" s="6"/>
      <c r="F17" s="6">
        <v>1</v>
      </c>
      <c r="G17" s="6" t="s">
        <v>298</v>
      </c>
      <c r="H17" s="6">
        <v>1</v>
      </c>
    </row>
    <row r="18" spans="1:8">
      <c r="A18" s="6" t="s">
        <v>302</v>
      </c>
      <c r="B18" s="7" t="s">
        <v>307</v>
      </c>
      <c r="C18" s="6"/>
      <c r="D18" s="6" t="s">
        <v>318</v>
      </c>
      <c r="E18" s="6"/>
      <c r="F18" s="6">
        <v>1</v>
      </c>
      <c r="G18" s="6" t="s">
        <v>298</v>
      </c>
      <c r="H18" s="6">
        <v>1</v>
      </c>
    </row>
    <row r="19" spans="1:8">
      <c r="A19" s="6" t="s">
        <v>157</v>
      </c>
      <c r="B19" s="7" t="s">
        <v>319</v>
      </c>
      <c r="C19" s="6" t="s">
        <v>636</v>
      </c>
      <c r="D19" s="6"/>
      <c r="E19" s="6"/>
      <c r="F19" s="6">
        <v>2</v>
      </c>
      <c r="G19" s="6" t="s">
        <v>299</v>
      </c>
      <c r="H19" s="6">
        <v>1</v>
      </c>
    </row>
    <row r="20" spans="1:8">
      <c r="A20" s="6" t="s">
        <v>53</v>
      </c>
      <c r="B20" s="7" t="s">
        <v>234</v>
      </c>
      <c r="C20" s="6"/>
      <c r="D20" s="6"/>
      <c r="E20" s="6"/>
      <c r="F20" s="6">
        <v>5</v>
      </c>
      <c r="G20" s="6" t="s">
        <v>299</v>
      </c>
      <c r="H20" s="6">
        <v>1</v>
      </c>
    </row>
    <row r="21" spans="1:8" ht="30">
      <c r="A21" s="6" t="s">
        <v>214</v>
      </c>
      <c r="B21" s="7" t="s">
        <v>320</v>
      </c>
      <c r="C21" s="6"/>
      <c r="D21" s="6"/>
      <c r="E21" s="6"/>
      <c r="F21" s="6">
        <v>4</v>
      </c>
      <c r="G21" s="6" t="s">
        <v>7</v>
      </c>
      <c r="H21" s="6">
        <v>1</v>
      </c>
    </row>
    <row r="22" spans="1:8" ht="45">
      <c r="A22" s="6" t="s">
        <v>92</v>
      </c>
      <c r="B22" s="7" t="str">
        <f>bolso("Bolso altura 1",Table69132932[])</f>
        <v xml:space="preserve">Bolso altura 1 Contiene:  1 Cuerda semiestática (blanca y roja) de 48 metros x1, </v>
      </c>
      <c r="C22" s="6"/>
      <c r="D22" s="6"/>
      <c r="E22" s="6"/>
      <c r="F22" s="6">
        <v>1</v>
      </c>
      <c r="G22" s="6" t="s">
        <v>6</v>
      </c>
      <c r="H22" s="6">
        <v>1</v>
      </c>
    </row>
    <row r="23" spans="1:8" ht="75">
      <c r="A23" s="6" t="s">
        <v>92</v>
      </c>
      <c r="B23" s="7" t="str">
        <f>bolso("Bolso de altura 2 petzl",Table69132932[])</f>
        <v xml:space="preserve">Bolso de altura 2 petzl Contiene:  1 Arnes Petzl anticaídas x1,  1 Conector de anclaje Eslingar WXECOR080 x1,  2 Mosquetones B de acero x1, </v>
      </c>
      <c r="C23" s="6"/>
      <c r="D23" s="6"/>
      <c r="E23" s="6"/>
      <c r="F23" s="6">
        <v>1</v>
      </c>
      <c r="G23" s="6" t="s">
        <v>6</v>
      </c>
      <c r="H23" s="6">
        <v>1</v>
      </c>
    </row>
  </sheetData>
  <mergeCells count="1">
    <mergeCell ref="T3:Y3"/>
  </mergeCells>
  <dataValidations count="7">
    <dataValidation type="list" allowBlank="1" showInputMessage="1" showErrorMessage="1" sqref="C1 C7">
      <formula1>Medidas</formula1>
    </dataValidation>
    <dataValidation type="list" allowBlank="1" showInputMessage="1" showErrorMessage="1" sqref="J1:J1048576 A1:A1048576">
      <formula1>categorias</formula1>
    </dataValidation>
    <dataValidation type="list" allowBlank="1" showInputMessage="1" showErrorMessage="1" sqref="O14:P15 O1:P2 O8:P9">
      <formula1>BolsosM52</formula1>
    </dataValidation>
    <dataValidation type="list" allowBlank="1" showInputMessage="1" showErrorMessage="1" sqref="G1:G1048576">
      <formula1>CajonerasM52</formula1>
    </dataValidation>
    <dataValidation type="list" allowBlank="1" showInputMessage="1" showErrorMessage="1" sqref="H1:H1048576">
      <formula1>INDEX(CompartimientosM52,0,MATCH(OFFSET(INDIRECT(ADDRESS(ROW(), COLUMN())),0,-1),CajonerasM52,0))</formula1>
    </dataValidation>
    <dataValidation type="list" allowBlank="1" showInputMessage="1" showErrorMessage="1" sqref="L4:L7">
      <formula1>INDEX(Medidas,0,MATCH(OFFSET(INDIRECT(ADDRESS(ROW(), COLUMN())),0,-2),categoriasDeMedidas,0))</formula1>
    </dataValidation>
    <dataValidation type="list" allowBlank="1" showInputMessage="1" showErrorMessage="1" sqref="P3">
      <formula1>BolsosM39</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9">
        <x14:dataValidation type="list" allowBlank="1" showInputMessage="1" showErrorMessage="1" xr:uid="{654917F6-8232-4BD7-9A27-23C858C415F5}">
          <x14:formula1>
            <xm:f>Configuracion!$S$2:$S$11</xm:f>
          </x14:formula1>
          <xm:sqref>C4 C11:C12</xm:sqref>
        </x14:dataValidation>
        <x14:dataValidation type="list" allowBlank="1" showInputMessage="1" showErrorMessage="1" xr:uid="{E54D2135-1140-4C8A-B256-438B7FA64CBD}">
          <x14:formula1>
            <xm:f>Configuracion!$F$2:$F$11</xm:f>
          </x14:formula1>
          <xm:sqref>C3 C9:C10</xm:sqref>
        </x14:dataValidation>
        <x14:dataValidation type="list" allowBlank="1" showInputMessage="1" showErrorMessage="1" xr:uid="{24D9DCDC-43D6-4958-9444-C586D1FCB3EB}">
          <x14:formula1>
            <xm:f>Configuracion!$G$2:$G$6</xm:f>
          </x14:formula1>
          <xm:sqref>C8 C13</xm:sqref>
        </x14:dataValidation>
        <x14:dataValidation type="list" allowBlank="1" showInputMessage="1" showErrorMessage="1" xr:uid="{4B6BB9E0-626D-4A5A-BDDC-91C5C50E6B53}">
          <x14:formula1>
            <xm:f>Configuracion!$H$2:$H$3</xm:f>
          </x14:formula1>
          <xm:sqref>C5</xm:sqref>
        </x14:dataValidation>
        <x14:dataValidation type="list" allowBlank="1" showInputMessage="1" showErrorMessage="1" xr:uid="{5C4C6FCE-47B9-4C89-8F6A-01A00FFB447E}">
          <x14:formula1>
            <xm:f>Configuracion!$G$2:$G$4</xm:f>
          </x14:formula1>
          <xm:sqref>C2</xm:sqref>
        </x14:dataValidation>
        <x14:dataValidation type="list" allowBlank="1" showInputMessage="1" showErrorMessage="1" xr:uid="{88BFC9B6-278A-4005-BD2F-6848A245B852}">
          <x14:formula1>
            <xm:f>Configuracion!$J$2:$J$3</xm:f>
          </x14:formula1>
          <xm:sqref>C16</xm:sqref>
        </x14:dataValidation>
        <x14:dataValidation type="list" allowBlank="1" showInputMessage="1" showErrorMessage="1" xr:uid="{D858E76B-4C21-4FF3-B7EA-89E3A71D38BD}">
          <x14:formula1>
            <xm:f>Configuracion!$R$2:$R$11</xm:f>
          </x14:formula1>
          <xm:sqref>C15</xm:sqref>
        </x14:dataValidation>
        <x14:dataValidation type="list" allowBlank="1" showInputMessage="1" showErrorMessage="1" xr:uid="{227E798E-2BF1-415F-BD73-64B8B10F0CBA}">
          <x14:formula1>
            <xm:f>Configuracion!$V$2:$V$4</xm:f>
          </x14:formula1>
          <xm:sqref>C19</xm:sqref>
        </x14:dataValidation>
        <x14:dataValidation type="list" allowBlank="1" showInputMessage="1" showErrorMessage="1" xr:uid="{8959D12C-4957-4B88-A461-C3302D42CA0B}">
          <x14:formula1>
            <xm:f>Configuracion!$I$2:$I$6</xm:f>
          </x14:formula1>
          <xm:sqref>C6</xm:sqref>
        </x14:dataValidation>
      </x14:dataValidations>
    </ext>
  </extLst>
</worksheet>
</file>

<file path=xl/worksheets/sheet7.xml><?xml version="1.0" encoding="utf-8"?>
<worksheet xmlns="http://schemas.openxmlformats.org/spreadsheetml/2006/main" xmlns:r="http://schemas.openxmlformats.org/officeDocument/2006/relationships">
  <sheetPr codeName="Sheet7">
    <pageSetUpPr fitToPage="1"/>
  </sheetPr>
  <dimension ref="A1:AA136"/>
  <sheetViews>
    <sheetView topLeftCell="O1" workbookViewId="0">
      <pane ySplit="1" topLeftCell="A2" activePane="bottomLeft" state="frozen"/>
      <selection pane="bottomLeft" activeCell="T10" sqref="T10"/>
    </sheetView>
  </sheetViews>
  <sheetFormatPr baseColWidth="10" defaultColWidth="9.140625" defaultRowHeight="1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0.8554687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9" max="19" width="21.5703125" bestFit="1" customWidth="1"/>
    <col min="20" max="20" width="14.7109375" customWidth="1"/>
    <col min="21" max="21" width="26" customWidth="1"/>
    <col min="23" max="27" width="12.42578125" customWidth="1"/>
    <col min="28" max="28" width="9.85546875" customWidth="1"/>
  </cols>
  <sheetData>
    <row r="1" spans="1:27">
      <c r="A1" s="4" t="s">
        <v>0</v>
      </c>
      <c r="B1" s="5" t="s">
        <v>1</v>
      </c>
      <c r="C1" s="4" t="s">
        <v>2</v>
      </c>
      <c r="D1" s="4" t="s">
        <v>3</v>
      </c>
      <c r="E1" s="4" t="s">
        <v>4</v>
      </c>
      <c r="F1" s="4" t="s">
        <v>236</v>
      </c>
      <c r="G1" s="4" t="s">
        <v>13</v>
      </c>
      <c r="H1" s="4" t="s">
        <v>228</v>
      </c>
    </row>
    <row r="2" spans="1:27">
      <c r="A2" s="4" t="s">
        <v>395</v>
      </c>
      <c r="B2" s="7"/>
      <c r="C2" s="6"/>
      <c r="D2" s="6"/>
      <c r="E2" s="6"/>
      <c r="F2" s="6">
        <v>3</v>
      </c>
      <c r="G2" s="6" t="s">
        <v>231</v>
      </c>
      <c r="H2" s="6" t="s">
        <v>468</v>
      </c>
    </row>
    <row r="3" spans="1:27">
      <c r="A3" s="6" t="s">
        <v>469</v>
      </c>
      <c r="B3" s="7" t="s">
        <v>470</v>
      </c>
      <c r="C3" s="6"/>
      <c r="D3" s="6"/>
      <c r="E3" s="6"/>
      <c r="F3" s="6">
        <v>1</v>
      </c>
      <c r="G3" s="6" t="s">
        <v>231</v>
      </c>
      <c r="H3" s="6" t="s">
        <v>468</v>
      </c>
      <c r="J3" t="s">
        <v>0</v>
      </c>
      <c r="K3" t="s">
        <v>1</v>
      </c>
      <c r="L3" t="s">
        <v>2</v>
      </c>
      <c r="M3" s="4" t="s">
        <v>3</v>
      </c>
      <c r="N3" s="4" t="s">
        <v>4</v>
      </c>
      <c r="O3" s="4" t="s">
        <v>236</v>
      </c>
      <c r="P3" t="s">
        <v>14</v>
      </c>
      <c r="Q3" t="s">
        <v>680</v>
      </c>
      <c r="R3" t="s">
        <v>681</v>
      </c>
      <c r="T3" t="s">
        <v>28</v>
      </c>
      <c r="V3" s="26" t="s">
        <v>226</v>
      </c>
      <c r="W3" s="26"/>
      <c r="X3" s="26"/>
      <c r="Y3" s="26"/>
      <c r="Z3" s="26"/>
      <c r="AA3" s="26"/>
    </row>
    <row r="4" spans="1:27">
      <c r="A4" s="6" t="s">
        <v>92</v>
      </c>
      <c r="B4" s="7" t="str">
        <f>bolso("Bolso de RCP",Table621[])</f>
        <v xml:space="preserve">Bolso de RCP Contiene:  BVM x1, </v>
      </c>
      <c r="C4" s="6"/>
      <c r="D4" s="6"/>
      <c r="E4" s="6"/>
      <c r="F4" s="6">
        <v>1</v>
      </c>
      <c r="G4" t="s">
        <v>482</v>
      </c>
      <c r="H4" s="6" t="s">
        <v>468</v>
      </c>
      <c r="J4" t="s">
        <v>463</v>
      </c>
      <c r="K4" t="s">
        <v>473</v>
      </c>
      <c r="O4">
        <v>1</v>
      </c>
      <c r="P4" t="s">
        <v>471</v>
      </c>
      <c r="T4" t="s">
        <v>471</v>
      </c>
      <c r="V4" t="s">
        <v>482</v>
      </c>
      <c r="W4" t="s">
        <v>231</v>
      </c>
      <c r="X4" t="s">
        <v>8</v>
      </c>
      <c r="Y4" t="s">
        <v>5</v>
      </c>
    </row>
    <row r="5" spans="1:27" ht="45">
      <c r="A5" s="6" t="s">
        <v>92</v>
      </c>
      <c r="B5" s="7" t="str">
        <f>bolso("Bolso via aerea",Table621[])</f>
        <v xml:space="preserve">Bolso via aerea Contiene:  BVM x1,  Kit de canulas de mayo x5,  Pinza de maguill x1,  Kit de intubacion c/ larngoscopio x1, </v>
      </c>
      <c r="C5" s="6"/>
      <c r="D5" s="6"/>
      <c r="E5" s="6"/>
      <c r="F5" s="6">
        <v>1</v>
      </c>
      <c r="G5" t="s">
        <v>482</v>
      </c>
      <c r="H5" s="6" t="s">
        <v>468</v>
      </c>
      <c r="J5" t="s">
        <v>463</v>
      </c>
      <c r="K5" t="s">
        <v>473</v>
      </c>
      <c r="O5">
        <v>1</v>
      </c>
      <c r="P5" t="s">
        <v>472</v>
      </c>
      <c r="T5" t="s">
        <v>472</v>
      </c>
      <c r="V5">
        <v>1</v>
      </c>
      <c r="W5" t="s">
        <v>468</v>
      </c>
      <c r="X5">
        <v>1</v>
      </c>
      <c r="Y5">
        <v>1</v>
      </c>
    </row>
    <row r="6" spans="1:27" ht="30">
      <c r="A6" s="6" t="s">
        <v>92</v>
      </c>
      <c r="B6" s="7" t="str">
        <f>bolso("Bolso trauma liviano",Table621[])</f>
        <v xml:space="preserve">Bolso trauma liviano Contiene:  Mascara oxigeno x1,  Mascara rcp x1, </v>
      </c>
      <c r="C6" s="6"/>
      <c r="D6" s="6"/>
      <c r="E6" s="6"/>
      <c r="F6" s="6">
        <v>1</v>
      </c>
      <c r="G6" t="s">
        <v>482</v>
      </c>
      <c r="H6" s="6" t="s">
        <v>468</v>
      </c>
      <c r="J6" t="s">
        <v>474</v>
      </c>
      <c r="K6" t="s">
        <v>475</v>
      </c>
      <c r="O6">
        <v>5</v>
      </c>
      <c r="P6" t="s">
        <v>472</v>
      </c>
      <c r="T6" t="s">
        <v>479</v>
      </c>
      <c r="V6">
        <v>2</v>
      </c>
    </row>
    <row r="7" spans="1:27">
      <c r="A7" s="6" t="s">
        <v>395</v>
      </c>
      <c r="B7" s="7"/>
      <c r="C7" s="6"/>
      <c r="D7" s="6"/>
      <c r="E7" s="6"/>
      <c r="F7" s="6">
        <v>1</v>
      </c>
      <c r="G7" t="s">
        <v>482</v>
      </c>
      <c r="H7" s="6" t="s">
        <v>468</v>
      </c>
      <c r="J7" t="s">
        <v>476</v>
      </c>
      <c r="K7" t="s">
        <v>476</v>
      </c>
      <c r="O7">
        <v>1</v>
      </c>
      <c r="P7" t="s">
        <v>472</v>
      </c>
      <c r="T7" t="s">
        <v>501</v>
      </c>
      <c r="V7">
        <v>3</v>
      </c>
    </row>
    <row r="8" spans="1:27">
      <c r="A8" s="6" t="s">
        <v>463</v>
      </c>
      <c r="B8" s="7"/>
      <c r="C8" s="6"/>
      <c r="D8" s="6"/>
      <c r="E8" s="6"/>
      <c r="F8" s="6">
        <v>2</v>
      </c>
      <c r="G8" t="s">
        <v>482</v>
      </c>
      <c r="H8" s="6">
        <v>1</v>
      </c>
      <c r="J8" t="s">
        <v>477</v>
      </c>
      <c r="K8" t="s">
        <v>478</v>
      </c>
      <c r="O8">
        <v>1</v>
      </c>
      <c r="P8" t="s">
        <v>472</v>
      </c>
      <c r="T8" t="s">
        <v>503</v>
      </c>
      <c r="V8">
        <v>4</v>
      </c>
    </row>
    <row r="9" spans="1:27">
      <c r="A9" s="6" t="s">
        <v>207</v>
      </c>
      <c r="B9" s="7">
        <v>2008</v>
      </c>
      <c r="C9" s="6"/>
      <c r="D9" s="6"/>
      <c r="E9" s="6"/>
      <c r="F9" s="6">
        <v>1</v>
      </c>
      <c r="G9" t="s">
        <v>482</v>
      </c>
      <c r="H9" s="6">
        <v>1</v>
      </c>
      <c r="J9" t="s">
        <v>465</v>
      </c>
      <c r="K9" t="s">
        <v>480</v>
      </c>
      <c r="O9">
        <v>1</v>
      </c>
      <c r="P9" t="s">
        <v>479</v>
      </c>
      <c r="T9" t="s">
        <v>512</v>
      </c>
      <c r="V9">
        <v>5</v>
      </c>
    </row>
    <row r="10" spans="1:27">
      <c r="A10" s="6" t="s">
        <v>464</v>
      </c>
      <c r="B10" s="7" t="s">
        <v>483</v>
      </c>
      <c r="C10" s="6"/>
      <c r="D10" s="6"/>
      <c r="E10" s="6"/>
      <c r="F10" s="6">
        <v>1</v>
      </c>
      <c r="G10" t="s">
        <v>482</v>
      </c>
      <c r="H10" s="6">
        <v>1</v>
      </c>
      <c r="J10" t="s">
        <v>481</v>
      </c>
      <c r="K10" t="s">
        <v>481</v>
      </c>
      <c r="O10">
        <v>1</v>
      </c>
      <c r="P10" t="s">
        <v>479</v>
      </c>
      <c r="T10" t="s">
        <v>93</v>
      </c>
      <c r="V10">
        <v>6</v>
      </c>
    </row>
    <row r="11" spans="1:27">
      <c r="A11" s="6" t="s">
        <v>465</v>
      </c>
      <c r="B11" s="7" t="s">
        <v>484</v>
      </c>
      <c r="C11" s="6"/>
      <c r="D11" s="6"/>
      <c r="E11" s="6"/>
      <c r="F11" s="6">
        <v>1</v>
      </c>
      <c r="G11" t="s">
        <v>482</v>
      </c>
      <c r="H11" s="6">
        <v>1</v>
      </c>
      <c r="J11" t="s">
        <v>474</v>
      </c>
      <c r="K11" t="s">
        <v>504</v>
      </c>
      <c r="O11">
        <v>1</v>
      </c>
      <c r="P11" t="s">
        <v>503</v>
      </c>
      <c r="V11">
        <v>7</v>
      </c>
    </row>
    <row r="12" spans="1:27">
      <c r="A12" s="6" t="s">
        <v>465</v>
      </c>
      <c r="B12" s="7" t="s">
        <v>485</v>
      </c>
      <c r="C12" s="6"/>
      <c r="D12" s="6"/>
      <c r="E12" s="6"/>
      <c r="F12" s="6">
        <v>1</v>
      </c>
      <c r="G12" s="6" t="s">
        <v>482</v>
      </c>
      <c r="H12" s="6">
        <v>1</v>
      </c>
      <c r="J12" t="s">
        <v>390</v>
      </c>
      <c r="K12" t="s">
        <v>390</v>
      </c>
      <c r="L12" t="s">
        <v>568</v>
      </c>
      <c r="O12">
        <v>3</v>
      </c>
      <c r="P12" t="s">
        <v>503</v>
      </c>
      <c r="V12" t="s">
        <v>468</v>
      </c>
    </row>
    <row r="13" spans="1:27">
      <c r="A13" s="6" t="s">
        <v>486</v>
      </c>
      <c r="B13" s="7"/>
      <c r="C13" s="6"/>
      <c r="D13" s="6"/>
      <c r="E13" s="6"/>
      <c r="F13" s="6">
        <v>5</v>
      </c>
      <c r="G13" s="6" t="s">
        <v>482</v>
      </c>
      <c r="H13" s="6">
        <v>1</v>
      </c>
      <c r="J13" t="s">
        <v>463</v>
      </c>
      <c r="K13" t="s">
        <v>682</v>
      </c>
      <c r="O13">
        <v>2</v>
      </c>
      <c r="P13" t="s">
        <v>503</v>
      </c>
    </row>
    <row r="14" spans="1:27">
      <c r="A14" s="6" t="s">
        <v>487</v>
      </c>
      <c r="B14" s="7"/>
      <c r="C14" s="6"/>
      <c r="D14" s="6"/>
      <c r="E14" s="6"/>
      <c r="F14" s="6">
        <v>1</v>
      </c>
      <c r="G14" s="6" t="s">
        <v>482</v>
      </c>
      <c r="H14" s="6">
        <v>2</v>
      </c>
      <c r="J14" t="s">
        <v>505</v>
      </c>
      <c r="K14" t="s">
        <v>506</v>
      </c>
      <c r="O14">
        <v>5</v>
      </c>
      <c r="P14" t="s">
        <v>503</v>
      </c>
    </row>
    <row r="15" spans="1:27">
      <c r="A15" s="6" t="s">
        <v>488</v>
      </c>
      <c r="B15" s="7"/>
      <c r="C15" s="6"/>
      <c r="D15" s="6"/>
      <c r="E15" s="6"/>
      <c r="F15" s="6">
        <v>1</v>
      </c>
      <c r="G15" s="6" t="s">
        <v>482</v>
      </c>
      <c r="H15" s="6">
        <v>2</v>
      </c>
      <c r="J15" t="s">
        <v>507</v>
      </c>
      <c r="K15" t="s">
        <v>508</v>
      </c>
      <c r="O15">
        <v>1</v>
      </c>
      <c r="P15" t="s">
        <v>503</v>
      </c>
    </row>
    <row r="16" spans="1:27">
      <c r="A16" s="6" t="s">
        <v>490</v>
      </c>
      <c r="B16" s="7"/>
      <c r="C16" s="6"/>
      <c r="D16" s="6" t="s">
        <v>491</v>
      </c>
      <c r="E16" s="6" t="s">
        <v>492</v>
      </c>
      <c r="F16" s="6">
        <v>1</v>
      </c>
      <c r="G16" s="6" t="s">
        <v>482</v>
      </c>
      <c r="H16" s="6">
        <v>2</v>
      </c>
      <c r="J16" t="s">
        <v>464</v>
      </c>
      <c r="K16" t="s">
        <v>509</v>
      </c>
      <c r="O16">
        <v>1</v>
      </c>
      <c r="P16" t="s">
        <v>503</v>
      </c>
    </row>
    <row r="17" spans="1:16">
      <c r="A17" s="6" t="s">
        <v>208</v>
      </c>
      <c r="B17" s="7" t="s">
        <v>493</v>
      </c>
      <c r="C17" s="6"/>
      <c r="D17" s="6"/>
      <c r="E17" s="6"/>
      <c r="F17" s="6">
        <v>1</v>
      </c>
      <c r="G17" s="6" t="s">
        <v>482</v>
      </c>
      <c r="H17" s="6">
        <v>2</v>
      </c>
      <c r="J17" t="s">
        <v>144</v>
      </c>
      <c r="K17" t="s">
        <v>144</v>
      </c>
      <c r="O17">
        <v>1</v>
      </c>
      <c r="P17" t="s">
        <v>503</v>
      </c>
    </row>
    <row r="18" spans="1:16">
      <c r="A18" s="6" t="s">
        <v>494</v>
      </c>
      <c r="B18" s="7"/>
      <c r="C18" s="6"/>
      <c r="D18" s="6" t="s">
        <v>495</v>
      </c>
      <c r="E18" s="6" t="s">
        <v>496</v>
      </c>
      <c r="F18" s="6">
        <v>1</v>
      </c>
      <c r="G18" s="6" t="s">
        <v>482</v>
      </c>
      <c r="H18" s="6">
        <v>2</v>
      </c>
      <c r="J18" t="s">
        <v>487</v>
      </c>
      <c r="K18" t="s">
        <v>510</v>
      </c>
      <c r="O18">
        <v>1</v>
      </c>
      <c r="P18" t="s">
        <v>503</v>
      </c>
    </row>
    <row r="19" spans="1:16">
      <c r="A19" s="6" t="s">
        <v>497</v>
      </c>
      <c r="B19" s="7"/>
      <c r="C19" s="6"/>
      <c r="D19" s="6"/>
      <c r="E19" s="6"/>
      <c r="F19" s="6">
        <v>1</v>
      </c>
      <c r="G19" s="6" t="s">
        <v>482</v>
      </c>
      <c r="H19" s="6">
        <v>4</v>
      </c>
      <c r="J19" t="s">
        <v>481</v>
      </c>
      <c r="K19" t="s">
        <v>143</v>
      </c>
      <c r="O19">
        <v>1</v>
      </c>
      <c r="P19" t="s">
        <v>512</v>
      </c>
    </row>
    <row r="20" spans="1:16">
      <c r="A20" s="6" t="s">
        <v>498</v>
      </c>
      <c r="B20" s="7"/>
      <c r="C20" s="6"/>
      <c r="D20" s="6"/>
      <c r="E20" s="6"/>
      <c r="F20" s="6">
        <v>1</v>
      </c>
      <c r="G20" s="6" t="s">
        <v>482</v>
      </c>
      <c r="H20" s="6">
        <v>5</v>
      </c>
      <c r="J20" t="s">
        <v>390</v>
      </c>
      <c r="K20" t="s">
        <v>390</v>
      </c>
      <c r="L20" t="s">
        <v>568</v>
      </c>
      <c r="O20">
        <v>3</v>
      </c>
      <c r="P20" t="s">
        <v>93</v>
      </c>
    </row>
    <row r="21" spans="1:16">
      <c r="A21" s="6" t="s">
        <v>499</v>
      </c>
      <c r="B21" s="7"/>
      <c r="C21" s="6"/>
      <c r="D21" s="6"/>
      <c r="E21" s="6"/>
      <c r="F21" s="6">
        <v>4</v>
      </c>
      <c r="G21" s="6" t="s">
        <v>482</v>
      </c>
      <c r="H21" s="6">
        <v>5</v>
      </c>
      <c r="J21" t="s">
        <v>390</v>
      </c>
      <c r="K21" t="s">
        <v>390</v>
      </c>
      <c r="L21" t="s">
        <v>518</v>
      </c>
      <c r="O21">
        <v>2</v>
      </c>
      <c r="P21" t="s">
        <v>93</v>
      </c>
    </row>
    <row r="22" spans="1:16">
      <c r="A22" s="6" t="s">
        <v>500</v>
      </c>
      <c r="B22" s="7"/>
      <c r="C22" s="6"/>
      <c r="D22" s="6"/>
      <c r="E22" s="6"/>
      <c r="F22" s="6">
        <v>12</v>
      </c>
      <c r="G22" s="6" t="s">
        <v>482</v>
      </c>
      <c r="H22" s="6">
        <v>6</v>
      </c>
      <c r="J22" t="s">
        <v>390</v>
      </c>
      <c r="K22" t="s">
        <v>519</v>
      </c>
      <c r="L22" t="s">
        <v>520</v>
      </c>
      <c r="O22">
        <v>1</v>
      </c>
      <c r="P22" t="s">
        <v>93</v>
      </c>
    </row>
    <row r="23" spans="1:16">
      <c r="A23" s="6" t="s">
        <v>395</v>
      </c>
      <c r="B23" s="7"/>
      <c r="C23" s="6"/>
      <c r="D23" s="6"/>
      <c r="E23" s="6"/>
      <c r="F23" s="6">
        <v>1</v>
      </c>
      <c r="G23" s="6" t="s">
        <v>482</v>
      </c>
      <c r="H23" s="6">
        <v>7</v>
      </c>
      <c r="J23" t="s">
        <v>390</v>
      </c>
      <c r="K23" t="s">
        <v>521</v>
      </c>
      <c r="L23" t="s">
        <v>391</v>
      </c>
      <c r="O23">
        <v>1</v>
      </c>
      <c r="P23" t="s">
        <v>93</v>
      </c>
    </row>
    <row r="24" spans="1:16">
      <c r="A24" s="6" t="s">
        <v>92</v>
      </c>
      <c r="B24" s="7" t="s">
        <v>502</v>
      </c>
      <c r="C24" s="6"/>
      <c r="D24" s="6"/>
      <c r="E24" s="6"/>
      <c r="F24" s="6">
        <v>1</v>
      </c>
      <c r="G24" s="6" t="s">
        <v>482</v>
      </c>
      <c r="H24" s="6">
        <v>7</v>
      </c>
      <c r="J24" t="s">
        <v>390</v>
      </c>
      <c r="K24" t="s">
        <v>522</v>
      </c>
      <c r="L24" t="s">
        <v>392</v>
      </c>
      <c r="O24">
        <v>9</v>
      </c>
      <c r="P24" t="s">
        <v>93</v>
      </c>
    </row>
    <row r="25" spans="1:16" ht="120">
      <c r="A25" s="6" t="s">
        <v>92</v>
      </c>
      <c r="B25" s="7" t="str">
        <f>bolso("Bolso trauma pesado",Table621[])</f>
        <v xml:space="preserve">Bolso trauma pesado Contiene:  kit canulas de mayo x1,  Collar cervical x3,  bolsa valvula mascara Pediatrico y adulto x2,  Ferulas inflables pierna, 1/2 pierna, brazo, 1/2 brazo, bota x5,  Manta termica para victimas x1,  Dispositivo manual de succion x1,  Tijera de trauma x1,  Tensiometro pediatrico x1, </v>
      </c>
      <c r="C25" s="6"/>
      <c r="D25" s="6"/>
      <c r="E25" s="6"/>
      <c r="F25" s="6">
        <v>1</v>
      </c>
      <c r="G25" s="6" t="s">
        <v>8</v>
      </c>
      <c r="H25" s="6">
        <v>1</v>
      </c>
      <c r="J25" t="s">
        <v>463</v>
      </c>
      <c r="K25" t="s">
        <v>463</v>
      </c>
      <c r="O25">
        <v>1</v>
      </c>
      <c r="P25" t="s">
        <v>886</v>
      </c>
    </row>
    <row r="26" spans="1:16">
      <c r="A26" s="6" t="s">
        <v>88</v>
      </c>
      <c r="B26" s="7" t="s">
        <v>511</v>
      </c>
      <c r="C26" s="6"/>
      <c r="D26" s="6"/>
      <c r="E26" s="6"/>
      <c r="F26" s="6">
        <v>2</v>
      </c>
      <c r="G26" s="6" t="s">
        <v>8</v>
      </c>
      <c r="H26" s="6">
        <v>1</v>
      </c>
      <c r="J26" t="s">
        <v>887</v>
      </c>
      <c r="K26" t="s">
        <v>887</v>
      </c>
      <c r="L26" t="s">
        <v>792</v>
      </c>
      <c r="O26">
        <v>1</v>
      </c>
      <c r="P26" t="s">
        <v>886</v>
      </c>
    </row>
    <row r="27" spans="1:16">
      <c r="A27" s="6" t="s">
        <v>140</v>
      </c>
      <c r="B27" s="7"/>
      <c r="C27" s="6"/>
      <c r="D27" s="6"/>
      <c r="E27" s="6"/>
      <c r="F27" s="6">
        <v>1</v>
      </c>
      <c r="G27" s="6" t="s">
        <v>8</v>
      </c>
      <c r="H27" s="6">
        <v>1</v>
      </c>
    </row>
    <row r="28" spans="1:16" ht="30">
      <c r="A28" s="6" t="s">
        <v>92</v>
      </c>
      <c r="B28" s="7" t="str">
        <f>bolso("Bolso quemados",Table621[])</f>
        <v xml:space="preserve">Bolso quemados Contiene:  Mascara RCP x1, </v>
      </c>
      <c r="C28" s="6"/>
      <c r="D28" s="6"/>
      <c r="E28" s="6"/>
      <c r="F28" s="6">
        <v>1</v>
      </c>
      <c r="G28" s="6" t="s">
        <v>8</v>
      </c>
      <c r="H28" s="6">
        <v>1</v>
      </c>
    </row>
    <row r="29" spans="1:16" ht="45">
      <c r="A29" s="6" t="s">
        <v>92</v>
      </c>
      <c r="B29" s="7" t="str">
        <f>bolso("Bolso de collares",Table621[])</f>
        <v xml:space="preserve">Bolso de collares Contiene:  Collar cervical x3,  Collar cervical x2,  Collar cervical ch x1,  Collar cervical M x1,  Collar cervical G x9, </v>
      </c>
      <c r="C29" s="6"/>
      <c r="D29" s="6"/>
      <c r="E29" s="6"/>
      <c r="F29" s="6">
        <v>1</v>
      </c>
      <c r="G29" s="6" t="s">
        <v>8</v>
      </c>
      <c r="H29" s="6">
        <v>1</v>
      </c>
    </row>
    <row r="30" spans="1:16">
      <c r="A30" s="6" t="s">
        <v>513</v>
      </c>
      <c r="B30" s="7" t="s">
        <v>514</v>
      </c>
      <c r="C30" s="6"/>
      <c r="D30" s="6"/>
      <c r="E30" s="6"/>
      <c r="F30" s="6">
        <v>1</v>
      </c>
      <c r="G30" s="6" t="s">
        <v>5</v>
      </c>
      <c r="H30" s="6">
        <v>1</v>
      </c>
    </row>
    <row r="31" spans="1:16">
      <c r="A31" s="6" t="s">
        <v>513</v>
      </c>
      <c r="B31" s="7" t="s">
        <v>515</v>
      </c>
      <c r="C31" s="6"/>
      <c r="D31" s="6"/>
      <c r="E31" s="6"/>
      <c r="F31" s="6">
        <v>1</v>
      </c>
      <c r="G31" s="6" t="s">
        <v>5</v>
      </c>
      <c r="H31" s="6">
        <v>1</v>
      </c>
    </row>
    <row r="32" spans="1:16">
      <c r="A32" s="6" t="s">
        <v>513</v>
      </c>
      <c r="B32" s="7" t="s">
        <v>516</v>
      </c>
      <c r="C32" s="6"/>
      <c r="D32" s="6"/>
      <c r="E32" s="6"/>
      <c r="F32" s="6">
        <v>5</v>
      </c>
      <c r="G32" s="6" t="s">
        <v>5</v>
      </c>
      <c r="H32" s="6">
        <v>1</v>
      </c>
    </row>
    <row r="33" spans="1:8">
      <c r="A33" s="6" t="s">
        <v>513</v>
      </c>
      <c r="B33" s="7" t="s">
        <v>517</v>
      </c>
      <c r="C33" s="6"/>
      <c r="D33" s="6"/>
      <c r="E33" s="6"/>
      <c r="F33" s="6">
        <v>1</v>
      </c>
      <c r="G33" s="6" t="s">
        <v>5</v>
      </c>
      <c r="H33" s="6">
        <v>1</v>
      </c>
    </row>
    <row r="34" spans="1:8">
      <c r="A34" s="6"/>
      <c r="B34" s="7"/>
      <c r="C34" s="6"/>
      <c r="D34" s="6"/>
      <c r="E34" s="6"/>
      <c r="F34" s="6"/>
      <c r="G34" s="6"/>
      <c r="H34" s="6"/>
    </row>
    <row r="35" spans="1:8">
      <c r="A35" s="6"/>
      <c r="B35" s="7"/>
      <c r="C35" s="6"/>
      <c r="D35" s="6"/>
      <c r="E35" s="6"/>
      <c r="F35" s="6"/>
      <c r="G35" s="6"/>
      <c r="H35" s="6"/>
    </row>
    <row r="36" spans="1:8">
      <c r="A36" s="6"/>
      <c r="B36" s="7"/>
      <c r="C36" s="6"/>
      <c r="D36" s="6"/>
      <c r="E36" s="6"/>
      <c r="F36" s="6"/>
      <c r="G36" s="6"/>
      <c r="H36" s="6"/>
    </row>
    <row r="37" spans="1:8">
      <c r="A37" s="6"/>
      <c r="B37" s="7"/>
      <c r="C37" s="6"/>
      <c r="D37" s="6"/>
      <c r="E37" s="6"/>
      <c r="F37" s="6"/>
      <c r="G37" s="6"/>
      <c r="H37" s="6"/>
    </row>
    <row r="38" spans="1:8">
      <c r="A38" s="6"/>
      <c r="B38" s="7"/>
      <c r="C38" s="6"/>
      <c r="D38" s="6"/>
      <c r="E38" s="6"/>
      <c r="F38" s="6"/>
      <c r="G38" s="6"/>
      <c r="H38" s="6"/>
    </row>
    <row r="39" spans="1:8">
      <c r="A39" s="6"/>
      <c r="B39" s="7"/>
      <c r="C39" s="6"/>
      <c r="D39" s="6"/>
      <c r="E39" s="6"/>
      <c r="F39" s="6"/>
      <c r="G39" s="6"/>
      <c r="H39" s="6"/>
    </row>
    <row r="40" spans="1:8">
      <c r="A40" s="6"/>
      <c r="B40" s="7"/>
      <c r="C40" s="6"/>
      <c r="D40" s="6"/>
      <c r="E40" s="6"/>
      <c r="F40" s="6"/>
      <c r="G40" s="6"/>
      <c r="H40" s="6"/>
    </row>
    <row r="41" spans="1:8">
      <c r="A41" s="6"/>
      <c r="B41" s="7"/>
      <c r="C41" s="6"/>
      <c r="D41" s="6"/>
      <c r="E41" s="6"/>
      <c r="F41" s="6"/>
      <c r="G41" s="6"/>
      <c r="H41" s="6"/>
    </row>
    <row r="42" spans="1:8">
      <c r="A42" s="6"/>
      <c r="B42" s="7"/>
      <c r="C42" s="6"/>
      <c r="D42" s="6"/>
      <c r="E42" s="6"/>
      <c r="F42" s="6"/>
      <c r="G42" s="6"/>
      <c r="H42" s="6"/>
    </row>
    <row r="43" spans="1:8">
      <c r="A43" s="6"/>
      <c r="B43" s="7"/>
      <c r="C43" s="6"/>
      <c r="D43" s="6"/>
      <c r="E43" s="6"/>
      <c r="F43" s="6"/>
      <c r="G43" s="6"/>
      <c r="H43" s="6"/>
    </row>
    <row r="44" spans="1:8">
      <c r="A44" s="6"/>
      <c r="B44" s="7"/>
      <c r="C44" s="6"/>
      <c r="D44" s="6"/>
      <c r="E44" s="6"/>
      <c r="F44" s="6"/>
      <c r="G44" s="6"/>
      <c r="H44" s="6"/>
    </row>
    <row r="45" spans="1:8">
      <c r="A45" s="6"/>
      <c r="B45" s="7"/>
      <c r="C45" s="6"/>
      <c r="D45" s="6"/>
      <c r="E45" s="6"/>
      <c r="F45" s="6"/>
      <c r="G45" s="6"/>
      <c r="H45" s="6"/>
    </row>
    <row r="46" spans="1:8">
      <c r="A46" s="6"/>
      <c r="B46" s="7"/>
      <c r="C46" s="6"/>
      <c r="D46" s="6"/>
      <c r="E46" s="6"/>
      <c r="F46" s="6"/>
      <c r="G46" s="6"/>
      <c r="H46" s="6"/>
    </row>
    <row r="47" spans="1:8">
      <c r="A47" s="6"/>
      <c r="B47" s="7"/>
      <c r="C47" s="6"/>
      <c r="D47" s="6"/>
      <c r="E47" s="6"/>
      <c r="F47" s="6"/>
      <c r="G47" s="6"/>
      <c r="H47" s="6"/>
    </row>
    <row r="48" spans="1:8">
      <c r="A48" s="6"/>
      <c r="B48" s="7"/>
      <c r="C48" s="6"/>
      <c r="D48" s="6"/>
      <c r="E48" s="6"/>
      <c r="F48" s="6"/>
      <c r="G48" s="6"/>
      <c r="H48" s="6"/>
    </row>
    <row r="49" spans="1:8">
      <c r="A49" s="6"/>
      <c r="B49" s="7"/>
      <c r="C49" s="6"/>
      <c r="D49" s="6"/>
      <c r="E49" s="6"/>
      <c r="F49" s="6"/>
      <c r="G49" s="6"/>
      <c r="H49" s="6"/>
    </row>
    <row r="50" spans="1:8">
      <c r="A50" s="6"/>
      <c r="B50" s="7"/>
      <c r="C50" s="6"/>
      <c r="D50" s="6"/>
      <c r="E50" s="6"/>
      <c r="F50" s="6"/>
      <c r="G50" s="6"/>
      <c r="H50" s="6"/>
    </row>
    <row r="51" spans="1:8">
      <c r="A51" s="6"/>
      <c r="B51" s="7"/>
      <c r="C51" s="6"/>
      <c r="D51" s="6"/>
      <c r="E51" s="6"/>
      <c r="F51" s="6"/>
      <c r="G51" s="6"/>
      <c r="H51" s="6"/>
    </row>
    <row r="52" spans="1:8">
      <c r="A52" s="6"/>
      <c r="B52" s="7"/>
      <c r="C52" s="6"/>
      <c r="D52" s="6"/>
      <c r="E52" s="6"/>
      <c r="F52" s="6"/>
      <c r="G52" s="6"/>
      <c r="H52" s="6"/>
    </row>
    <row r="53" spans="1:8">
      <c r="A53" s="6"/>
      <c r="B53" s="7"/>
      <c r="C53" s="6"/>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B67" s="7"/>
      <c r="C67" s="6"/>
      <c r="D67" s="6"/>
      <c r="E67" s="6"/>
      <c r="F67" s="6"/>
      <c r="G67" s="6"/>
      <c r="H67" s="6"/>
    </row>
    <row r="68" spans="1:8">
      <c r="A68" s="6"/>
      <c r="B68" s="7"/>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B81" s="7"/>
      <c r="C81" s="6"/>
      <c r="D81" s="6"/>
      <c r="E81" s="6"/>
      <c r="F81" s="6"/>
      <c r="G81" s="6"/>
      <c r="H81" s="6"/>
    </row>
    <row r="82" spans="1:8">
      <c r="A82" s="6"/>
      <c r="B82" s="7"/>
      <c r="C82" s="6"/>
      <c r="D82" s="6"/>
      <c r="E82" s="6"/>
      <c r="F82" s="6"/>
      <c r="G82" s="6"/>
      <c r="H82" s="6"/>
    </row>
    <row r="83" spans="1:8">
      <c r="A83" s="6"/>
      <c r="B83" s="7"/>
      <c r="C83" s="6"/>
      <c r="D83" s="6"/>
      <c r="E83" s="6"/>
      <c r="F83" s="6"/>
      <c r="G83" s="6"/>
      <c r="H83" s="6"/>
    </row>
    <row r="84" spans="1:8">
      <c r="A84" s="6"/>
      <c r="B84" s="7"/>
      <c r="C84" s="6"/>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7">
    <dataValidation type="list" allowBlank="1" showInputMessage="1" showErrorMessage="1" sqref="T14">
      <formula1>INDEX(Medidas,0,MATCH(OFFSET(INDIRECT(ADDRESS(ROW(), COLUMN())),0,-1),categoriasDeMedidas,0))</formula1>
    </dataValidation>
    <dataValidation type="list" allowBlank="1" showInputMessage="1" showErrorMessage="1" sqref="L47:L1048576 H137:H1048576 L1:L3 H1:H12 H14:H33 H35:H135">
      <formula1>INDEX(Compartimientos,0,MATCH(OFFSET(INDIRECT(ADDRESS(ROW(), COLUMN())),0,-1),Cajoneras,0))</formula1>
    </dataValidation>
    <dataValidation type="list" allowBlank="1" showInputMessage="1" showErrorMessage="1" sqref="H136 G1:G1048576">
      <formula1>Cajoneras</formula1>
    </dataValidation>
    <dataValidation type="list" allowBlank="1" showInputMessage="1" showErrorMessage="1" sqref="P4:P26">
      <formula1>Bolsos</formula1>
    </dataValidation>
    <dataValidation type="list" allowBlank="1" showInputMessage="1" showErrorMessage="1" sqref="C1 C7:C8 C11:C12 C14">
      <formula1>Medidas</formula1>
    </dataValidation>
    <dataValidation type="list" allowBlank="1" showInputMessage="1" showErrorMessage="1" sqref="A101 A105:A108 A112:A117 A119:A128 A130:A133 A135:A1048576 J4:J8 A35:A99 A1:A21 A23:A33 J10:J24 J26:J1048576">
      <formula1>categorias</formula1>
    </dataValidation>
    <dataValidation type="list" allowBlank="1" showInputMessage="1" showErrorMessage="1" sqref="L4:L26">
      <formula1>INDEX(Medidas,0,MATCH(OFFSET(INDIRECT(ADDRESS(ROW(), COLUMN())),0,-2),categoriasDeMedidas,0))</formula1>
    </dataValidation>
  </dataValidations>
  <pageMargins left="0.70866141732283472" right="0.70866141732283472" top="0.74803149606299213" bottom="0.74803149606299213" header="0.31496062992125984" footer="0.31496062992125984"/>
  <pageSetup paperSize="9" scale="92" fitToHeight="0" orientation="landscape"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5">
        <x14:dataValidation type="list" allowBlank="1" showInputMessage="1" showErrorMessage="1" xr:uid="{08F10873-845A-4AFC-896D-C344466B77DB}">
          <x14:formula1>
            <xm:f>Configuracion!$P$2:$P$4</xm:f>
          </x14:formula1>
          <xm:sqref>C52</xm:sqref>
        </x14:dataValidation>
        <x14:dataValidation type="list" allowBlank="1" showInputMessage="1" showErrorMessage="1" xr:uid="{83E3931F-6C3D-4FCE-9BFE-063A8FCC6DC8}">
          <x14:formula1>
            <xm:f>Configuracion!$K$2:$K$4</xm:f>
          </x14:formula1>
          <xm:sqref>C23 C4:C6</xm:sqref>
        </x14:dataValidation>
        <x14:dataValidation type="list" allowBlank="1" showInputMessage="1" showErrorMessage="1" xr:uid="{7FC69D71-5AFC-4D0E-948B-FC79AA0CE8CE}">
          <x14:formula1>
            <xm:f>Configuracion!$K$2:$K$3</xm:f>
          </x14:formula1>
          <xm:sqref>C21</xm:sqref>
        </x14:dataValidation>
        <x14:dataValidation type="list" allowBlank="1" showInputMessage="1" showErrorMessage="1" xr:uid="{4C993AD6-1B02-499E-9521-9667513AF872}">
          <x14:formula1>
            <xm:f>Configuracion!$G$2:$G$5</xm:f>
          </x14:formula1>
          <xm:sqref>C25</xm:sqref>
        </x14:dataValidation>
        <x14:dataValidation type="list" allowBlank="1" showInputMessage="1" showErrorMessage="1" xr:uid="{ABCF4B5D-9063-4AD1-BE3A-251405C5B9B7}">
          <x14:formula1>
            <xm:f>Configuracion!$N$2:$N$9</xm:f>
          </x14:formula1>
          <xm:sqref>C120 C122</xm:sqref>
        </x14:dataValidation>
        <x14:dataValidation type="list" allowBlank="1" showInputMessage="1" showErrorMessage="1" xr:uid="{DFBBC7EF-3020-4B69-B5CB-D3886525A278}">
          <x14:formula1>
            <xm:f>Configuracion!$S$2:$S$10</xm:f>
          </x14:formula1>
          <xm:sqref>C96 C100:C101 C105</xm:sqref>
        </x14:dataValidation>
        <x14:dataValidation type="list" allowBlank="1" showInputMessage="1" showErrorMessage="1" xr:uid="{6323199C-B73B-4952-AF10-29E71331AB33}">
          <x14:formula1>
            <xm:f>Configuracion!$J$2:$J$5</xm:f>
          </x14:formula1>
          <xm:sqref>C24 C18:C19 C9:C10</xm:sqref>
        </x14:dataValidation>
        <x14:dataValidation type="list" allowBlank="1" showInputMessage="1" showErrorMessage="1" xr:uid="{B578C26D-C835-45E2-A0F4-EB2879D5836A}">
          <x14:formula1>
            <xm:f>Configuracion!$J$2:$J$3</xm:f>
          </x14:formula1>
          <xm:sqref>C22</xm:sqref>
        </x14:dataValidation>
        <x14:dataValidation type="list" allowBlank="1" showInputMessage="1" showErrorMessage="1" xr:uid="{FE935924-CB12-4A67-93E4-FDC117379640}">
          <x14:formula1>
            <xm:f>Configuracion!$H$2:$H$6</xm:f>
          </x14:formula1>
          <xm:sqref>C20</xm:sqref>
        </x14:dataValidation>
        <x14:dataValidation type="list" allowBlank="1" showInputMessage="1" showErrorMessage="1" xr:uid="{225F5C36-C358-4021-9158-4EEF44B147A1}">
          <x14:formula1>
            <xm:f>Configuracion!$H$2:$H$5</xm:f>
          </x14:formula1>
          <xm:sqref>C2</xm:sqref>
        </x14:dataValidation>
        <x14:dataValidation type="list" allowBlank="1" showInputMessage="1" showErrorMessage="1" xr:uid="{22437FE1-AE49-47D7-996A-40C2B0851DF2}">
          <x14:formula1>
            <xm:f>Configuracion!$Q$2:$Q$7</xm:f>
          </x14:formula1>
          <xm:sqref>C66:C67 C53 C70</xm:sqref>
        </x14:dataValidation>
        <x14:dataValidation type="list" allowBlank="1" showInputMessage="1" showErrorMessage="1" xr:uid="{42AF795F-81B7-465E-928E-0B3B224E210A}">
          <x14:formula1>
            <xm:f>Configuracion!$F$2:$F$10</xm:f>
          </x14:formula1>
          <xm:sqref>C64:C65 C125:C126</xm:sqref>
        </x14:dataValidation>
        <x14:dataValidation type="list" allowBlank="1" showInputMessage="1" showErrorMessage="1" xr:uid="{36CEDA65-B8C4-49E5-8473-06F258D121C5}">
          <x14:formula1>
            <xm:f>Configuracion!$F$2:$F$9</xm:f>
          </x14:formula1>
          <xm:sqref>C63</xm:sqref>
        </x14:dataValidation>
        <x14:dataValidation type="list" allowBlank="1" showInputMessage="1" showErrorMessage="1" xr:uid="{E204640C-7DF9-441F-8615-F29F29EEE379}">
          <x14:formula1>
            <xm:f>Configuracion!$F$2:$F$8</xm:f>
          </x14:formula1>
          <xm:sqref>C61:C62</xm:sqref>
        </x14:dataValidation>
        <x14:dataValidation type="list" allowBlank="1" showInputMessage="1" showErrorMessage="1" xr:uid="{4E863B45-B9C2-4CA0-98B5-AC4574D7161A}">
          <x14:formula1>
            <xm:f>Configuracion!$O$2:$O$7</xm:f>
          </x14:formula1>
          <xm:sqref>C38 C41</xm:sqref>
        </x14:dataValidation>
        <x14:dataValidation type="list" allowBlank="1" showInputMessage="1" showErrorMessage="1" xr:uid="{06E78889-8370-4F9D-BD15-D3229A455638}">
          <x14:formula1>
            <xm:f>Configuracion!$F$2:$F$7</xm:f>
          </x14:formula1>
          <xm:sqref>C31</xm:sqref>
        </x14:dataValidation>
        <x14:dataValidation type="list" allowBlank="1" showInputMessage="1" showErrorMessage="1" xr:uid="{DAB025CD-B785-484D-B653-6D8239019941}">
          <x14:formula1>
            <xm:f>Configuracion!$M$2:$M$6</xm:f>
          </x14:formula1>
          <xm:sqref>C17</xm:sqref>
        </x14:dataValidation>
        <x14:dataValidation type="list" allowBlank="1" showInputMessage="1" showErrorMessage="1" xr:uid="{545B00E0-B0CE-4BE8-A831-AB09C0887839}">
          <x14:formula1>
            <xm:f>Configuracion!$F$2:$F$3</xm:f>
          </x14:formula1>
          <xm:sqref>C16</xm:sqref>
        </x14:dataValidation>
        <x14:dataValidation type="list" allowBlank="1" showInputMessage="1" showErrorMessage="1" xr:uid="{9E549F42-B6AC-48B0-98AC-329C5A327163}">
          <x14:formula1>
            <xm:f>Configuracion!$F$2:$F$5</xm:f>
          </x14:formula1>
          <xm:sqref>C13 C27:C28</xm:sqref>
        </x14:dataValidation>
        <x14:dataValidation type="list" allowBlank="1" showInputMessage="1" showErrorMessage="1" xr:uid="{6F9459D1-C764-4F40-9D53-4B324BC26EC2}">
          <x14:formula1>
            <xm:f>Configuracion!$G$2:$G$3</xm:f>
          </x14:formula1>
          <xm:sqref>C26 C30 C127:C128</xm:sqref>
        </x14:dataValidation>
        <x14:dataValidation type="list" allowBlank="1" showInputMessage="1" showErrorMessage="1" xr:uid="{FB2E0A08-F617-4694-A136-111C486A3147}">
          <x14:formula1>
            <xm:f>Configuracion!$S$2:$S$11</xm:f>
          </x14:formula1>
          <xm:sqref>C15 C29</xm:sqref>
        </x14:dataValidation>
        <x14:dataValidation type="list" allowBlank="1" showInputMessage="1" showErrorMessage="1" xr:uid="{B8DE5393-EEB5-4C29-BCC1-279E6DC4BAC8}">
          <x14:formula1>
            <xm:f>Configuracion!$A$2:$A$72</xm:f>
          </x14:formula1>
          <xm:sqref>J1:J3</xm:sqref>
        </x14:dataValidation>
        <x14:dataValidation type="list" allowBlank="1" showInputMessage="1" showErrorMessage="1" xr:uid="{82001FD8-F059-4B5E-B947-D309ED7A7ED9}">
          <x14:formula1>
            <xm:f>Configuracion!$Y$2:$Y$17</xm:f>
          </x14:formula1>
          <xm:sqref>C35</xm:sqref>
        </x14:dataValidation>
        <x14:dataValidation type="list" allowBlank="1" showInputMessage="1" showErrorMessage="1" xr:uid="{0F95EB7B-0506-419E-8B8C-D7BAF9909280}">
          <x14:formula1>
            <xm:f>Configuracion!$I$2:$I$6</xm:f>
          </x14:formula1>
          <xm:sqref>C136</xm:sqref>
        </x14:dataValidation>
        <x14:dataValidation type="list" allowBlank="1" showInputMessage="1" showErrorMessage="1" xr:uid="{FEDDE663-595F-4359-8B30-A58644CB8D4C}">
          <x14:formula1>
            <xm:f>Configuracion!$I$2:$I$5</xm:f>
          </x14:formula1>
          <xm:sqref>C3</xm:sqref>
        </x14:dataValidation>
      </x14:dataValidations>
    </ext>
  </extLst>
</worksheet>
</file>

<file path=xl/worksheets/sheet8.xml><?xml version="1.0" encoding="utf-8"?>
<worksheet xmlns="http://schemas.openxmlformats.org/spreadsheetml/2006/main" xmlns:r="http://schemas.openxmlformats.org/officeDocument/2006/relationships">
  <sheetPr codeName="Sheet2"/>
  <dimension ref="A1"/>
  <sheetViews>
    <sheetView workbookViewId="0">
      <selection activeCell="M14" sqref="M14"/>
    </sheetView>
  </sheetViews>
  <sheetFormatPr baseColWidth="10" defaultColWidth="9.140625" defaultRowHeight="15"/>
  <sheetData/>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Sheet10"/>
  <dimension ref="A1:AA136"/>
  <sheetViews>
    <sheetView topLeftCell="B13" workbookViewId="0">
      <selection activeCell="E32" sqref="E32"/>
    </sheetView>
  </sheetViews>
  <sheetFormatPr baseColWidth="10" defaultColWidth="9.140625" defaultRowHeight="1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27">
      <c r="A1" s="4" t="s">
        <v>0</v>
      </c>
      <c r="B1" s="5" t="s">
        <v>1</v>
      </c>
      <c r="C1" s="4" t="s">
        <v>2</v>
      </c>
      <c r="D1" s="4" t="s">
        <v>3</v>
      </c>
      <c r="E1" s="4" t="s">
        <v>4</v>
      </c>
      <c r="F1" s="4" t="s">
        <v>236</v>
      </c>
      <c r="G1" s="4" t="s">
        <v>13</v>
      </c>
      <c r="H1" s="4" t="s">
        <v>228</v>
      </c>
    </row>
    <row r="2" spans="1:27">
      <c r="A2" s="4" t="s">
        <v>35</v>
      </c>
      <c r="B2" s="7" t="s">
        <v>684</v>
      </c>
      <c r="C2" s="6" t="s">
        <v>38</v>
      </c>
      <c r="D2" s="6"/>
      <c r="E2" s="6"/>
      <c r="F2" s="6">
        <v>1</v>
      </c>
      <c r="G2" s="13" t="s">
        <v>685</v>
      </c>
      <c r="H2" s="13" t="s">
        <v>468</v>
      </c>
    </row>
    <row r="3" spans="1:27">
      <c r="A3" s="6" t="s">
        <v>151</v>
      </c>
      <c r="B3" s="7" t="s">
        <v>152</v>
      </c>
      <c r="C3" s="6"/>
      <c r="D3" s="6"/>
      <c r="E3" s="6"/>
      <c r="F3" s="6">
        <v>1</v>
      </c>
      <c r="G3" s="13" t="s">
        <v>685</v>
      </c>
      <c r="H3" s="13" t="s">
        <v>468</v>
      </c>
      <c r="J3" t="s">
        <v>0</v>
      </c>
      <c r="K3" t="s">
        <v>1</v>
      </c>
      <c r="L3" t="s">
        <v>2</v>
      </c>
      <c r="M3" s="4" t="s">
        <v>3</v>
      </c>
      <c r="N3" s="4" t="s">
        <v>4</v>
      </c>
      <c r="O3" s="4" t="s">
        <v>236</v>
      </c>
      <c r="P3" t="s">
        <v>14</v>
      </c>
      <c r="T3" t="s">
        <v>28</v>
      </c>
      <c r="V3" s="26" t="s">
        <v>226</v>
      </c>
      <c r="W3" s="26"/>
      <c r="X3" s="26"/>
      <c r="Y3" s="26"/>
      <c r="Z3" s="26"/>
      <c r="AA3" s="26"/>
    </row>
    <row r="4" spans="1:27">
      <c r="A4" s="6" t="s">
        <v>249</v>
      </c>
      <c r="B4" s="7"/>
      <c r="C4" s="6"/>
      <c r="D4" s="6"/>
      <c r="E4" s="6"/>
      <c r="F4" s="6">
        <v>3</v>
      </c>
      <c r="G4" s="13"/>
      <c r="H4" s="13"/>
      <c r="V4" t="s">
        <v>685</v>
      </c>
      <c r="W4" t="s">
        <v>231</v>
      </c>
      <c r="X4" t="s">
        <v>8</v>
      </c>
      <c r="Y4" t="s">
        <v>5</v>
      </c>
    </row>
    <row r="5" spans="1:27">
      <c r="A5" s="6" t="s">
        <v>207</v>
      </c>
      <c r="B5" s="7">
        <v>2012</v>
      </c>
      <c r="C5" s="6"/>
      <c r="D5" s="6"/>
      <c r="E5" s="6"/>
      <c r="F5" s="6">
        <v>1</v>
      </c>
      <c r="G5" s="13"/>
      <c r="H5" s="13"/>
      <c r="V5" t="s">
        <v>685</v>
      </c>
    </row>
    <row r="6" spans="1:27">
      <c r="A6" s="6" t="s">
        <v>209</v>
      </c>
      <c r="B6" s="7"/>
      <c r="C6" s="6" t="s">
        <v>456</v>
      </c>
      <c r="D6" s="6" t="s">
        <v>686</v>
      </c>
      <c r="E6" s="6"/>
      <c r="F6" s="6">
        <v>1</v>
      </c>
      <c r="G6" s="13"/>
      <c r="H6" s="13"/>
    </row>
    <row r="7" spans="1:27">
      <c r="A7" s="6" t="s">
        <v>583</v>
      </c>
      <c r="B7" s="7"/>
      <c r="C7" s="6"/>
      <c r="D7" s="6" t="s">
        <v>687</v>
      </c>
      <c r="E7" s="6"/>
      <c r="F7" s="6">
        <v>1</v>
      </c>
      <c r="G7" s="13"/>
      <c r="H7" s="13"/>
    </row>
    <row r="8" spans="1:27">
      <c r="A8" s="6" t="s">
        <v>688</v>
      </c>
      <c r="B8" s="7"/>
      <c r="C8" s="6"/>
      <c r="D8" s="6" t="s">
        <v>689</v>
      </c>
      <c r="E8" s="6" t="s">
        <v>690</v>
      </c>
      <c r="F8" s="6">
        <v>1</v>
      </c>
      <c r="G8" s="13"/>
      <c r="H8" s="13"/>
    </row>
    <row r="9" spans="1:27">
      <c r="A9" s="6" t="s">
        <v>88</v>
      </c>
      <c r="B9" s="7" t="s">
        <v>516</v>
      </c>
      <c r="C9" s="6"/>
      <c r="D9" s="6"/>
      <c r="E9" s="6"/>
      <c r="F9" s="6">
        <v>3</v>
      </c>
      <c r="G9" s="13"/>
      <c r="H9" s="13"/>
    </row>
    <row r="10" spans="1:27">
      <c r="A10" s="6" t="s">
        <v>136</v>
      </c>
      <c r="B10" s="7"/>
      <c r="C10" s="6"/>
      <c r="D10" s="6"/>
      <c r="E10" s="6"/>
      <c r="F10" s="6">
        <v>3</v>
      </c>
      <c r="G10" s="13"/>
      <c r="H10" s="13"/>
    </row>
    <row r="11" spans="1:27">
      <c r="A11" s="6" t="s">
        <v>153</v>
      </c>
      <c r="B11" s="7" t="s">
        <v>691</v>
      </c>
      <c r="C11" s="6"/>
      <c r="D11" s="6"/>
      <c r="E11" s="6"/>
      <c r="F11" s="6">
        <v>1</v>
      </c>
      <c r="G11" s="13"/>
      <c r="H11" s="13"/>
    </row>
    <row r="12" spans="1:27">
      <c r="A12" s="6" t="s">
        <v>53</v>
      </c>
      <c r="B12" s="7"/>
      <c r="C12" s="6"/>
      <c r="D12" s="6"/>
      <c r="E12" s="6"/>
      <c r="F12" s="6">
        <v>5</v>
      </c>
      <c r="G12" s="13"/>
      <c r="H12" s="13"/>
    </row>
    <row r="13" spans="1:27">
      <c r="A13" s="6" t="s">
        <v>153</v>
      </c>
      <c r="B13" s="7" t="s">
        <v>692</v>
      </c>
      <c r="C13" s="6"/>
      <c r="D13" s="6"/>
      <c r="E13" s="6"/>
      <c r="F13" s="6">
        <v>1</v>
      </c>
      <c r="G13" s="13"/>
      <c r="H13" s="13"/>
    </row>
    <row r="14" spans="1:27">
      <c r="A14" s="6" t="s">
        <v>153</v>
      </c>
      <c r="B14" s="7" t="s">
        <v>693</v>
      </c>
      <c r="C14" s="6"/>
      <c r="D14" s="6"/>
      <c r="E14" s="6"/>
      <c r="F14" s="6">
        <v>1</v>
      </c>
      <c r="G14" s="13"/>
      <c r="H14" s="13"/>
    </row>
    <row r="15" spans="1:27">
      <c r="A15" s="6" t="s">
        <v>153</v>
      </c>
      <c r="B15" s="7" t="s">
        <v>694</v>
      </c>
      <c r="C15" s="6"/>
      <c r="D15" s="6"/>
      <c r="E15" s="6"/>
      <c r="F15" s="6">
        <v>1</v>
      </c>
      <c r="G15" s="13"/>
      <c r="H15" s="13"/>
    </row>
    <row r="16" spans="1:27">
      <c r="A16" s="6" t="s">
        <v>153</v>
      </c>
      <c r="B16" s="7" t="s">
        <v>695</v>
      </c>
      <c r="C16" s="6"/>
      <c r="D16" s="6"/>
      <c r="E16" s="6"/>
      <c r="F16" s="6">
        <v>1</v>
      </c>
      <c r="G16" s="13"/>
      <c r="H16" s="13"/>
    </row>
    <row r="17" spans="1:8">
      <c r="A17" s="6" t="s">
        <v>153</v>
      </c>
      <c r="B17" s="7" t="s">
        <v>696</v>
      </c>
      <c r="C17" s="6"/>
      <c r="D17" s="6"/>
      <c r="E17" s="6"/>
      <c r="F17" s="6">
        <v>1</v>
      </c>
      <c r="G17" s="13"/>
      <c r="H17" s="13"/>
    </row>
    <row r="18" spans="1:8">
      <c r="A18" s="6" t="s">
        <v>153</v>
      </c>
      <c r="B18" s="7" t="s">
        <v>439</v>
      </c>
      <c r="C18" s="6"/>
      <c r="D18" s="6"/>
      <c r="E18" s="6"/>
      <c r="F18" s="6">
        <v>1</v>
      </c>
      <c r="G18" s="13"/>
      <c r="H18" s="13"/>
    </row>
    <row r="19" spans="1:8">
      <c r="A19" s="6" t="s">
        <v>153</v>
      </c>
      <c r="B19" s="7" t="s">
        <v>438</v>
      </c>
      <c r="C19" s="6"/>
      <c r="D19" s="6"/>
      <c r="E19" s="6"/>
      <c r="F19" s="6">
        <v>1</v>
      </c>
      <c r="G19" s="13"/>
      <c r="H19" s="13"/>
    </row>
    <row r="20" spans="1:8">
      <c r="A20" s="6" t="s">
        <v>137</v>
      </c>
      <c r="B20" s="7" t="s">
        <v>193</v>
      </c>
      <c r="C20" s="6"/>
      <c r="D20" s="6"/>
      <c r="E20" s="6"/>
      <c r="F20" s="6">
        <v>1</v>
      </c>
      <c r="G20" s="13"/>
      <c r="H20" s="13"/>
    </row>
    <row r="21" spans="1:8">
      <c r="A21" s="6" t="s">
        <v>463</v>
      </c>
      <c r="B21" s="7"/>
      <c r="C21" s="6"/>
      <c r="D21" s="6"/>
      <c r="E21" s="6"/>
      <c r="F21" s="6">
        <v>1</v>
      </c>
      <c r="G21" s="13"/>
      <c r="H21" s="13"/>
    </row>
    <row r="22" spans="1:8">
      <c r="A22" s="6" t="s">
        <v>143</v>
      </c>
      <c r="B22" s="7"/>
      <c r="C22" s="6"/>
      <c r="D22" s="6"/>
      <c r="E22" s="6"/>
      <c r="F22" s="6">
        <v>1</v>
      </c>
      <c r="G22" s="13"/>
      <c r="H22" s="13"/>
    </row>
    <row r="23" spans="1:8" ht="30">
      <c r="A23" s="13" t="s">
        <v>697</v>
      </c>
      <c r="B23" s="12" t="s">
        <v>809</v>
      </c>
      <c r="C23" s="13"/>
      <c r="D23" s="13"/>
      <c r="E23" s="13"/>
      <c r="F23" s="13">
        <v>4</v>
      </c>
      <c r="G23" s="13"/>
      <c r="H23" s="13"/>
    </row>
    <row r="24" spans="1:8">
      <c r="A24" s="6" t="s">
        <v>698</v>
      </c>
      <c r="B24" s="7"/>
      <c r="C24" s="6"/>
      <c r="D24" s="6"/>
      <c r="E24" s="6"/>
      <c r="F24" s="6">
        <v>1</v>
      </c>
      <c r="G24" s="13"/>
      <c r="H24" s="13"/>
    </row>
    <row r="25" spans="1:8">
      <c r="A25" s="6" t="s">
        <v>390</v>
      </c>
      <c r="B25" s="7"/>
      <c r="C25" s="6" t="s">
        <v>685</v>
      </c>
      <c r="D25" s="6"/>
      <c r="E25" s="6"/>
      <c r="F25" s="6">
        <v>6</v>
      </c>
      <c r="G25" s="13"/>
      <c r="H25" s="13"/>
    </row>
    <row r="26" spans="1:8">
      <c r="A26" s="6" t="s">
        <v>500</v>
      </c>
      <c r="B26" s="7"/>
      <c r="C26" s="6"/>
      <c r="D26" s="6"/>
      <c r="E26" s="6"/>
      <c r="F26" s="6">
        <v>2</v>
      </c>
      <c r="G26" s="13"/>
      <c r="H26" s="13"/>
    </row>
    <row r="27" spans="1:8" ht="30">
      <c r="A27" s="13" t="s">
        <v>90</v>
      </c>
      <c r="B27" s="12" t="s">
        <v>810</v>
      </c>
      <c r="C27" s="13"/>
      <c r="D27" s="13"/>
      <c r="E27" s="13"/>
      <c r="F27" s="13">
        <v>6</v>
      </c>
      <c r="G27" s="13"/>
      <c r="H27" s="13"/>
    </row>
    <row r="28" spans="1:8">
      <c r="A28" s="6" t="s">
        <v>467</v>
      </c>
      <c r="B28" s="7"/>
      <c r="C28" s="6"/>
      <c r="D28" s="6"/>
      <c r="E28" s="6"/>
      <c r="F28" s="6">
        <v>2</v>
      </c>
      <c r="G28" s="13"/>
      <c r="H28" s="13"/>
    </row>
    <row r="29" spans="1:8">
      <c r="A29" s="11" t="s">
        <v>11</v>
      </c>
      <c r="B29" s="12" t="s">
        <v>811</v>
      </c>
      <c r="C29" s="13" t="s">
        <v>117</v>
      </c>
      <c r="D29" s="13"/>
      <c r="E29" s="13"/>
      <c r="F29" s="13">
        <v>3</v>
      </c>
      <c r="G29" s="13"/>
      <c r="H29" s="13"/>
    </row>
    <row r="30" spans="1:8">
      <c r="A30" s="6" t="s">
        <v>153</v>
      </c>
      <c r="B30" s="7" t="s">
        <v>647</v>
      </c>
      <c r="C30" s="6"/>
      <c r="D30" s="6"/>
      <c r="E30" s="6"/>
      <c r="F30" s="6">
        <v>1</v>
      </c>
      <c r="G30" s="13"/>
      <c r="H30" s="13"/>
    </row>
    <row r="31" spans="1:8">
      <c r="A31" s="6" t="s">
        <v>32</v>
      </c>
      <c r="B31" s="7" t="s">
        <v>699</v>
      </c>
      <c r="C31" s="6" t="s">
        <v>221</v>
      </c>
      <c r="D31" s="6"/>
      <c r="E31" s="6"/>
      <c r="F31" s="6">
        <v>1</v>
      </c>
      <c r="G31" s="13"/>
      <c r="H31" s="13"/>
    </row>
    <row r="32" spans="1:8">
      <c r="A32" s="13" t="s">
        <v>129</v>
      </c>
      <c r="B32" s="12"/>
      <c r="C32" s="13"/>
      <c r="D32" s="13" t="s">
        <v>792</v>
      </c>
      <c r="E32" s="13" t="s">
        <v>792</v>
      </c>
      <c r="F32" s="13">
        <v>1</v>
      </c>
      <c r="G32" s="13"/>
      <c r="H32" s="13"/>
    </row>
    <row r="33" spans="1:8">
      <c r="A33" s="6" t="s">
        <v>253</v>
      </c>
      <c r="B33" s="7" t="s">
        <v>700</v>
      </c>
      <c r="C33" s="6"/>
      <c r="D33" s="6"/>
      <c r="E33" s="6"/>
      <c r="F33" s="6">
        <v>1</v>
      </c>
      <c r="G33" s="13"/>
      <c r="H33" s="13"/>
    </row>
    <row r="34" spans="1:8">
      <c r="A34" s="6"/>
      <c r="B34" s="7"/>
      <c r="C34" s="6"/>
      <c r="D34" s="6"/>
      <c r="E34" s="6"/>
      <c r="F34" s="6"/>
      <c r="G34" s="6"/>
      <c r="H34" s="6"/>
    </row>
    <row r="35" spans="1:8">
      <c r="A35" s="6"/>
      <c r="B35" s="7"/>
      <c r="C35" s="6"/>
      <c r="D35" s="6"/>
      <c r="E35" s="6"/>
      <c r="F35" s="6"/>
      <c r="G35" s="6"/>
      <c r="H35" s="6"/>
    </row>
    <row r="36" spans="1:8">
      <c r="A36" s="6"/>
      <c r="B36" s="7"/>
      <c r="C36" s="6"/>
      <c r="D36" s="6"/>
      <c r="E36" s="6"/>
      <c r="F36" s="6"/>
      <c r="G36" s="6"/>
      <c r="H36" s="6"/>
    </row>
    <row r="37" spans="1:8">
      <c r="A37" s="6"/>
      <c r="B37" s="7"/>
      <c r="C37" s="6"/>
      <c r="D37" s="6"/>
      <c r="E37" s="6"/>
      <c r="F37" s="6"/>
      <c r="G37" s="6"/>
      <c r="H37" s="6"/>
    </row>
    <row r="38" spans="1:8">
      <c r="A38" s="6"/>
      <c r="B38" s="7"/>
      <c r="C38" s="6"/>
      <c r="D38" s="6"/>
      <c r="E38" s="6"/>
      <c r="F38" s="6"/>
      <c r="G38" s="6"/>
      <c r="H38" s="6"/>
    </row>
    <row r="39" spans="1:8">
      <c r="A39" s="6"/>
      <c r="B39" s="7"/>
      <c r="C39" s="6"/>
      <c r="D39" s="6"/>
      <c r="E39" s="6"/>
      <c r="F39" s="6"/>
      <c r="G39" s="6"/>
      <c r="H39" s="6"/>
    </row>
    <row r="40" spans="1:8">
      <c r="A40" s="6"/>
      <c r="B40" s="7"/>
      <c r="C40" s="6"/>
      <c r="D40" s="6"/>
      <c r="E40" s="6"/>
      <c r="F40" s="6"/>
      <c r="G40" s="6"/>
      <c r="H40" s="6"/>
    </row>
    <row r="41" spans="1:8">
      <c r="A41" s="6"/>
      <c r="B41" s="7"/>
      <c r="C41" s="6"/>
      <c r="D41" s="6"/>
      <c r="E41" s="6"/>
      <c r="F41" s="6"/>
      <c r="G41" s="6"/>
      <c r="H41" s="6"/>
    </row>
    <row r="42" spans="1:8">
      <c r="A42" s="6"/>
      <c r="B42" s="7"/>
      <c r="C42" s="6"/>
      <c r="D42" s="6"/>
      <c r="E42" s="6"/>
      <c r="F42" s="6"/>
      <c r="G42" s="6"/>
      <c r="H42" s="6"/>
    </row>
    <row r="43" spans="1:8">
      <c r="A43" s="6"/>
      <c r="B43" s="7"/>
      <c r="C43" s="6"/>
      <c r="D43" s="6"/>
      <c r="E43" s="6"/>
      <c r="F43" s="6"/>
      <c r="G43" s="6"/>
      <c r="H43" s="6"/>
    </row>
    <row r="44" spans="1:8">
      <c r="A44" s="6"/>
      <c r="B44" s="7"/>
      <c r="C44" s="6"/>
      <c r="D44" s="6"/>
      <c r="E44" s="6"/>
      <c r="F44" s="6"/>
      <c r="G44" s="6"/>
      <c r="H44" s="6"/>
    </row>
    <row r="45" spans="1:8">
      <c r="A45" s="6"/>
      <c r="B45" s="7"/>
      <c r="C45" s="6"/>
      <c r="D45" s="6"/>
      <c r="E45" s="6"/>
      <c r="F45" s="6"/>
      <c r="G45" s="6"/>
      <c r="H45" s="6"/>
    </row>
    <row r="46" spans="1:8">
      <c r="A46" s="6"/>
      <c r="B46" s="7"/>
      <c r="C46" s="6"/>
      <c r="D46" s="6"/>
      <c r="E46" s="6"/>
      <c r="F46" s="6"/>
      <c r="G46" s="6"/>
      <c r="H46" s="6"/>
    </row>
    <row r="47" spans="1:8">
      <c r="A47" s="6"/>
      <c r="B47" s="7"/>
      <c r="C47" s="6"/>
      <c r="D47" s="6"/>
      <c r="E47" s="6"/>
      <c r="F47" s="6"/>
      <c r="G47" s="6"/>
      <c r="H47" s="6"/>
    </row>
    <row r="48" spans="1:8">
      <c r="A48" s="6"/>
      <c r="B48" s="7"/>
      <c r="C48" s="6"/>
      <c r="D48" s="6"/>
      <c r="E48" s="6"/>
      <c r="F48" s="6"/>
      <c r="G48" s="6"/>
      <c r="H48" s="6"/>
    </row>
    <row r="49" spans="1:8">
      <c r="A49" s="6"/>
      <c r="B49" s="7"/>
      <c r="C49" s="6"/>
      <c r="D49" s="6"/>
      <c r="E49" s="6"/>
      <c r="F49" s="6"/>
      <c r="G49" s="6"/>
      <c r="H49" s="6"/>
    </row>
    <row r="50" spans="1:8">
      <c r="A50" s="6"/>
      <c r="B50" s="7"/>
      <c r="C50" s="6"/>
      <c r="D50" s="6"/>
      <c r="E50" s="6"/>
      <c r="F50" s="6"/>
      <c r="G50" s="6"/>
      <c r="H50" s="6"/>
    </row>
    <row r="51" spans="1:8">
      <c r="A51" s="6"/>
      <c r="B51" s="7"/>
      <c r="C51" s="6"/>
      <c r="D51" s="6"/>
      <c r="E51" s="6"/>
      <c r="F51" s="6"/>
      <c r="G51" s="6"/>
      <c r="H51" s="6"/>
    </row>
    <row r="52" spans="1:8">
      <c r="A52" s="6"/>
      <c r="B52" s="7"/>
      <c r="C52" s="6"/>
      <c r="D52" s="6"/>
      <c r="E52" s="6"/>
      <c r="F52" s="6"/>
      <c r="G52" s="6"/>
      <c r="H52" s="6"/>
    </row>
    <row r="53" spans="1:8">
      <c r="A53" s="6"/>
      <c r="B53" s="7"/>
      <c r="C53" s="6"/>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B67" s="7"/>
      <c r="C67" s="6"/>
      <c r="D67" s="6"/>
      <c r="E67" s="6"/>
      <c r="F67" s="6"/>
      <c r="G67" s="6"/>
      <c r="H67" s="6"/>
    </row>
    <row r="68" spans="1:8">
      <c r="A68" s="6"/>
      <c r="B68" s="7"/>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B81" s="7"/>
      <c r="C81" s="6"/>
      <c r="D81" s="6"/>
      <c r="E81" s="6"/>
      <c r="F81" s="6"/>
      <c r="G81" s="6"/>
      <c r="H81" s="6"/>
    </row>
    <row r="82" spans="1:8">
      <c r="A82" s="6"/>
      <c r="B82" s="7"/>
      <c r="C82" s="6"/>
      <c r="D82" s="6"/>
      <c r="E82" s="6"/>
      <c r="F82" s="6"/>
      <c r="G82" s="6"/>
      <c r="H82" s="6"/>
    </row>
    <row r="83" spans="1:8">
      <c r="A83" s="6"/>
      <c r="B83" s="7"/>
      <c r="C83" s="6"/>
      <c r="D83" s="6"/>
      <c r="E83" s="6"/>
      <c r="F83" s="6"/>
      <c r="G83" s="6"/>
      <c r="H83" s="6"/>
    </row>
    <row r="84" spans="1:8">
      <c r="A84" s="6"/>
      <c r="B84" s="7"/>
      <c r="C84" s="6"/>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9">
    <dataValidation type="list" allowBlank="1" showInputMessage="1" showErrorMessage="1" sqref="L4">
      <formula1>INDEX(Medidas,0,MATCH(OFFSET(INDIRECT(ADDRESS(ROW(), COLUMN())),0,-2),categoriasDeMedidas,0))</formula1>
    </dataValidation>
    <dataValidation type="list" allowBlank="1" showInputMessage="1" showErrorMessage="1" sqref="A101 A105:A108 A112:A117 A119:A128 A130:A133 A135:A1048576 J4:J8 J10:J1048576 A35:A99 A1:A27 A29:A33">
      <formula1>categorias</formula1>
    </dataValidation>
    <dataValidation type="list" allowBlank="1" showInputMessage="1" showErrorMessage="1" sqref="C1 C7:C8 C11:C12 C14">
      <formula1>Medidas</formula1>
    </dataValidation>
    <dataValidation type="list" allowBlank="1" showInputMessage="1" showErrorMessage="1" sqref="P4">
      <formula1>BolsosMovil54</formula1>
    </dataValidation>
    <dataValidation type="list" allowBlank="1" showInputMessage="1" showErrorMessage="1" sqref="H136 G35:G1048576 G1">
      <formula1>CajonerasMovil54</formula1>
    </dataValidation>
    <dataValidation type="list" allowBlank="1" showInputMessage="1" showErrorMessage="1" sqref="L47:L1048576 H137:H1048576 L1:L3 H35:H135 H14:H33 H1 H4:H12">
      <formula1>INDEX(Compartimentosmovil54,0,MATCH(OFFSET(INDIRECT(ADDRESS(ROW(), COLUMN())),0,-1),CajonerasMovil54,0))</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G2:G33">
      <formula1>$V$4:$Y$4</formula1>
    </dataValidation>
    <dataValidation type="list" allowBlank="1" showInputMessage="1" showErrorMessage="1" sqref="H2:H3">
      <formula1>INDEX($V$5:$Y$12,0,MATCH(OFFSET(INDIRECT(ADDRESS(ROW(), COLUMN())),0,-1),$V$4:$Y$4,0))</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7">
        <x14:dataValidation type="list" allowBlank="1" showInputMessage="1" showErrorMessage="1" xr:uid="{6B960079-339D-4CF9-A58B-33AA91AFE2D2}">
          <x14:formula1>
            <xm:f>Configuracion!$S$2:$S$11</xm:f>
          </x14:formula1>
          <xm:sqref>C15</xm:sqref>
        </x14:dataValidation>
        <x14:dataValidation type="list" allowBlank="1" showInputMessage="1" showErrorMessage="1" xr:uid="{C6490086-F504-44C6-B308-2A3FC14129EC}">
          <x14:formula1>
            <xm:f>Configuracion!$G$2:$G$3</xm:f>
          </x14:formula1>
          <xm:sqref>C127:C128 C30</xm:sqref>
        </x14:dataValidation>
        <x14:dataValidation type="list" allowBlank="1" showInputMessage="1" showErrorMessage="1" xr:uid="{C72F3C31-B180-445A-9447-E4242F3E930D}">
          <x14:formula1>
            <xm:f>Configuracion!$F$2:$F$5</xm:f>
          </x14:formula1>
          <xm:sqref>C13 C27:C28</xm:sqref>
        </x14:dataValidation>
        <x14:dataValidation type="list" allowBlank="1" showInputMessage="1" showErrorMessage="1" xr:uid="{A3224CFC-0B36-484C-9073-7E277CCB4088}">
          <x14:formula1>
            <xm:f>Configuracion!$F$2:$F$3</xm:f>
          </x14:formula1>
          <xm:sqref>C16</xm:sqref>
        </x14:dataValidation>
        <x14:dataValidation type="list" allowBlank="1" showInputMessage="1" showErrorMessage="1" xr:uid="{31517965-1650-443E-960E-F325B1D0F936}">
          <x14:formula1>
            <xm:f>Configuracion!$M$2:$M$6</xm:f>
          </x14:formula1>
          <xm:sqref>C17</xm:sqref>
        </x14:dataValidation>
        <x14:dataValidation type="list" allowBlank="1" showInputMessage="1" showErrorMessage="1" xr:uid="{5306E92E-D692-4F21-8225-3A8E1E7730D5}">
          <x14:formula1>
            <xm:f>Configuracion!$O$2:$O$7</xm:f>
          </x14:formula1>
          <xm:sqref>C38 C41</xm:sqref>
        </x14:dataValidation>
        <x14:dataValidation type="list" allowBlank="1" showInputMessage="1" showErrorMessage="1" xr:uid="{837437F8-6A65-4BB4-81CD-FFF75465C36A}">
          <x14:formula1>
            <xm:f>Configuracion!$F$2:$F$8</xm:f>
          </x14:formula1>
          <xm:sqref>C61:C62</xm:sqref>
        </x14:dataValidation>
        <x14:dataValidation type="list" allowBlank="1" showInputMessage="1" showErrorMessage="1" xr:uid="{9DA6518E-9B1E-464B-A47B-33464D137FE8}">
          <x14:formula1>
            <xm:f>Configuracion!$F$2:$F$9</xm:f>
          </x14:formula1>
          <xm:sqref>C63</xm:sqref>
        </x14:dataValidation>
        <x14:dataValidation type="list" allowBlank="1" showInputMessage="1" showErrorMessage="1" xr:uid="{B8E4F596-9424-4102-8AC9-F7A34393E28A}">
          <x14:formula1>
            <xm:f>Configuracion!$F$2:$F$10</xm:f>
          </x14:formula1>
          <xm:sqref>C64:C65 C125:C126</xm:sqref>
        </x14:dataValidation>
        <x14:dataValidation type="list" allowBlank="1" showInputMessage="1" showErrorMessage="1" xr:uid="{BD4D8469-69B2-454E-8A0E-497412908D90}">
          <x14:formula1>
            <xm:f>Configuracion!$Q$2:$Q$7</xm:f>
          </x14:formula1>
          <xm:sqref>C66:C67 C53 C70</xm:sqref>
        </x14:dataValidation>
        <x14:dataValidation type="list" allowBlank="1" showInputMessage="1" showErrorMessage="1" xr:uid="{104D5668-2BDE-42CF-A3AC-6ADA84713C18}">
          <x14:formula1>
            <xm:f>Configuracion!$H$2:$H$6</xm:f>
          </x14:formula1>
          <xm:sqref>C20</xm:sqref>
        </x14:dataValidation>
        <x14:dataValidation type="list" allowBlank="1" showInputMessage="1" showErrorMessage="1" xr:uid="{815831E1-0B7C-4F64-8618-4109973522B2}">
          <x14:formula1>
            <xm:f>Configuracion!$J$2:$J$3</xm:f>
          </x14:formula1>
          <xm:sqref>C22</xm:sqref>
        </x14:dataValidation>
        <x14:dataValidation type="list" allowBlank="1" showInputMessage="1" showErrorMessage="1" xr:uid="{B00157E6-0A61-4DCD-80D9-171483DEBDC1}">
          <x14:formula1>
            <xm:f>Configuracion!$J$2:$J$5</xm:f>
          </x14:formula1>
          <xm:sqref>C24 C18:C19 C9:C10</xm:sqref>
        </x14:dataValidation>
        <x14:dataValidation type="list" allowBlank="1" showInputMessage="1" showErrorMessage="1" xr:uid="{A0473AFA-FD0A-4F55-A669-B0E5D89738D7}">
          <x14:formula1>
            <xm:f>Configuracion!$S$2:$S$10</xm:f>
          </x14:formula1>
          <xm:sqref>C96 C100:C101 C105</xm:sqref>
        </x14:dataValidation>
        <x14:dataValidation type="list" allowBlank="1" showInputMessage="1" showErrorMessage="1" xr:uid="{4F2FC2FF-F5A7-4328-9EC3-928E19313A7E}">
          <x14:formula1>
            <xm:f>Configuracion!$N$2:$N$9</xm:f>
          </x14:formula1>
          <xm:sqref>C120 C122</xm:sqref>
        </x14:dataValidation>
        <x14:dataValidation type="list" allowBlank="1" showInputMessage="1" showErrorMessage="1" xr:uid="{26191310-60E4-4037-BE32-110F98C6004E}">
          <x14:formula1>
            <xm:f>Configuracion!$K$2:$K$4</xm:f>
          </x14:formula1>
          <xm:sqref>C23 C4:C5</xm:sqref>
        </x14:dataValidation>
        <x14:dataValidation type="list" allowBlank="1" showInputMessage="1" showErrorMessage="1" xr:uid="{0FB69A61-3123-4D12-BA02-93750070AA25}">
          <x14:formula1>
            <xm:f>Configuracion!$P$2:$P$4</xm:f>
          </x14:formula1>
          <xm:sqref>C52</xm:sqref>
        </x14:dataValidation>
        <x14:dataValidation type="list" allowBlank="1" showInputMessage="1" showErrorMessage="1" xr:uid="{B222A68F-DDE2-4D6F-ACAE-5F649F868F7D}">
          <x14:formula1>
            <xm:f>Configuracion!$U$2:$U$3</xm:f>
          </x14:formula1>
          <xm:sqref>C6</xm:sqref>
        </x14:dataValidation>
        <x14:dataValidation type="list" allowBlank="1" showInputMessage="1" showErrorMessage="1" xr:uid="{33BB1C49-34A0-40D4-B011-5C48092B9AA4}">
          <x14:formula1>
            <xm:f>Configuracion!$H$2:$H$4</xm:f>
          </x14:formula1>
          <xm:sqref>C2</xm:sqref>
        </x14:dataValidation>
        <x14:dataValidation type="list" allowBlank="1" showInputMessage="1" showErrorMessage="1" xr:uid="{632E733F-BE0E-4483-A3C4-81B169032108}">
          <x14:formula1>
            <xm:f>Configuracion!$V$2:$V$4</xm:f>
          </x14:formula1>
          <xm:sqref>C21 C26</xm:sqref>
        </x14:dataValidation>
        <x14:dataValidation type="list" allowBlank="1" showInputMessage="1" showErrorMessage="1" xr:uid="{105FB6C8-83B4-48E0-99AA-35720F904F27}">
          <x14:formula1>
            <xm:f>Configuracion!$G$2:$G$6</xm:f>
          </x14:formula1>
          <xm:sqref>C31</xm:sqref>
        </x14:dataValidation>
        <x14:dataValidation type="list" allowBlank="1" showInputMessage="1" showErrorMessage="1" xr:uid="{20F6E2F5-E3C3-432C-A1CC-20ECE9A838E3}">
          <x14:formula1>
            <xm:f>Configuracion!$T$2:$T$7</xm:f>
          </x14:formula1>
          <xm:sqref>C25</xm:sqref>
        </x14:dataValidation>
        <x14:dataValidation type="list" allowBlank="1" showInputMessage="1" showErrorMessage="1" xr:uid="{C67FD9C4-CAC3-44CA-B2EB-807556A1405B}">
          <x14:formula1>
            <xm:f>Configuracion!$F$2:$F$11</xm:f>
          </x14:formula1>
          <xm:sqref>C29</xm:sqref>
        </x14:dataValidation>
        <x14:dataValidation type="list" allowBlank="1" showInputMessage="1" showErrorMessage="1" xr:uid="{0097D8F5-142E-42BD-A94A-C345A28C4CDA}">
          <x14:formula1>
            <xm:f>Configuracion!$A$2:$A$72</xm:f>
          </x14:formula1>
          <xm:sqref>J1:J3</xm:sqref>
        </x14:dataValidation>
        <x14:dataValidation type="list" allowBlank="1" showInputMessage="1" showErrorMessage="1" xr:uid="{79C17083-8BC4-43FD-AD32-F0BD575CFD8E}">
          <x14:formula1>
            <xm:f>Configuracion!$I$2:$I$5</xm:f>
          </x14:formula1>
          <xm:sqref>C3</xm:sqref>
        </x14:dataValidation>
        <x14:dataValidation type="list" allowBlank="1" showInputMessage="1" showErrorMessage="1" xr:uid="{81C5BCD2-640B-4A79-84FC-D3F9033DA3AE}">
          <x14:formula1>
            <xm:f>Configuracion!$I$2:$I$6</xm:f>
          </x14:formula1>
          <xm:sqref>C136</xm:sqref>
        </x14:dataValidation>
        <x14:dataValidation type="list" allowBlank="1" showInputMessage="1" showErrorMessage="1" xr:uid="{1AE07A2E-6804-469F-8CC2-779143C49BD4}">
          <x14:formula1>
            <xm:f>Configuracion!$A:$A</xm:f>
          </x14:formula1>
          <xm:sqref>A28</xm:sqref>
        </x14:dataValidation>
      </x14:dataValidations>
    </ext>
  </extLst>
</worksheet>
</file>

<file path=xl/worksheets/sheet10.xml><?xml version="1.0" encoding="utf-8"?>
<worksheet xmlns="http://schemas.openxmlformats.org/spreadsheetml/2006/main" xmlns:r="http://schemas.openxmlformats.org/officeDocument/2006/relationships">
  <sheetPr codeName="Sheet11"/>
  <dimension ref="A1:AA136"/>
  <sheetViews>
    <sheetView topLeftCell="B1" workbookViewId="0">
      <selection activeCell="E3" sqref="E3"/>
    </sheetView>
  </sheetViews>
  <sheetFormatPr baseColWidth="10" defaultColWidth="9.140625" defaultRowHeight="1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27">
      <c r="A1" s="4" t="s">
        <v>0</v>
      </c>
      <c r="B1" s="5" t="s">
        <v>1</v>
      </c>
      <c r="C1" s="4" t="s">
        <v>2</v>
      </c>
      <c r="D1" s="4" t="s">
        <v>3</v>
      </c>
      <c r="E1" s="4" t="s">
        <v>4</v>
      </c>
      <c r="F1" s="4" t="s">
        <v>236</v>
      </c>
      <c r="G1" s="4" t="s">
        <v>13</v>
      </c>
      <c r="H1" s="4" t="s">
        <v>228</v>
      </c>
    </row>
    <row r="2" spans="1:27">
      <c r="A2" s="4" t="s">
        <v>11</v>
      </c>
      <c r="B2" s="7"/>
      <c r="C2" s="6" t="s">
        <v>117</v>
      </c>
      <c r="D2" s="6"/>
      <c r="E2" s="6"/>
      <c r="F2" s="6">
        <v>1</v>
      </c>
      <c r="G2" s="13" t="s">
        <v>685</v>
      </c>
      <c r="H2" s="13" t="s">
        <v>685</v>
      </c>
    </row>
    <row r="3" spans="1:27">
      <c r="A3" s="6" t="s">
        <v>701</v>
      </c>
      <c r="B3" s="7"/>
      <c r="C3" s="6"/>
      <c r="D3" s="13" t="s">
        <v>792</v>
      </c>
      <c r="E3" s="13" t="s">
        <v>792</v>
      </c>
      <c r="F3" s="6">
        <v>1</v>
      </c>
      <c r="G3" s="13" t="s">
        <v>685</v>
      </c>
      <c r="H3" s="13" t="s">
        <v>685</v>
      </c>
      <c r="J3" t="s">
        <v>0</v>
      </c>
      <c r="K3" t="s">
        <v>1</v>
      </c>
      <c r="L3" t="s">
        <v>2</v>
      </c>
      <c r="M3" s="4" t="s">
        <v>3</v>
      </c>
      <c r="N3" s="4" t="s">
        <v>4</v>
      </c>
      <c r="O3" s="4" t="s">
        <v>236</v>
      </c>
      <c r="P3" t="s">
        <v>14</v>
      </c>
      <c r="T3" t="s">
        <v>28</v>
      </c>
      <c r="V3" s="26" t="s">
        <v>226</v>
      </c>
      <c r="W3" s="26"/>
      <c r="X3" s="26"/>
      <c r="Y3" s="26"/>
      <c r="Z3" s="26"/>
      <c r="AA3" s="26"/>
    </row>
    <row r="4" spans="1:27">
      <c r="A4" s="6" t="s">
        <v>253</v>
      </c>
      <c r="B4" s="7" t="s">
        <v>702</v>
      </c>
      <c r="C4" s="6"/>
      <c r="D4" s="6"/>
      <c r="E4" s="6"/>
      <c r="F4" s="6">
        <v>1</v>
      </c>
      <c r="G4" s="13" t="s">
        <v>685</v>
      </c>
      <c r="H4" s="13" t="s">
        <v>685</v>
      </c>
      <c r="J4" t="s">
        <v>463</v>
      </c>
      <c r="K4" t="s">
        <v>473</v>
      </c>
      <c r="O4">
        <v>1</v>
      </c>
      <c r="P4" t="s">
        <v>471</v>
      </c>
      <c r="V4" t="s">
        <v>685</v>
      </c>
      <c r="W4" t="s">
        <v>231</v>
      </c>
      <c r="X4" t="s">
        <v>8</v>
      </c>
      <c r="Y4" t="s">
        <v>5</v>
      </c>
    </row>
    <row r="5" spans="1:27">
      <c r="A5" s="6" t="s">
        <v>136</v>
      </c>
      <c r="B5" s="7"/>
      <c r="C5" s="6"/>
      <c r="D5" s="6"/>
      <c r="E5" s="6"/>
      <c r="F5" s="6">
        <v>1</v>
      </c>
      <c r="G5" s="13" t="s">
        <v>685</v>
      </c>
      <c r="H5" s="13" t="s">
        <v>685</v>
      </c>
      <c r="V5" t="s">
        <v>685</v>
      </c>
    </row>
    <row r="6" spans="1:27">
      <c r="A6" s="6" t="s">
        <v>53</v>
      </c>
      <c r="B6" s="7"/>
      <c r="C6" s="6"/>
      <c r="D6" s="6"/>
      <c r="E6" s="6"/>
      <c r="F6" s="6">
        <v>4</v>
      </c>
      <c r="G6" s="13" t="s">
        <v>685</v>
      </c>
      <c r="H6" s="13" t="s">
        <v>685</v>
      </c>
    </row>
    <row r="7" spans="1:27">
      <c r="A7" s="6"/>
      <c r="B7" s="7"/>
      <c r="C7" s="6"/>
      <c r="D7" s="6"/>
      <c r="E7" s="6"/>
      <c r="F7" s="6"/>
      <c r="G7" s="13"/>
      <c r="H7" s="13"/>
    </row>
    <row r="8" spans="1:27">
      <c r="A8" s="6"/>
      <c r="B8" s="7"/>
      <c r="C8" s="6"/>
      <c r="D8" s="6"/>
      <c r="E8" s="6"/>
      <c r="F8" s="6"/>
      <c r="G8" s="6"/>
      <c r="H8" s="6"/>
    </row>
    <row r="9" spans="1:27">
      <c r="A9" s="6"/>
      <c r="B9" s="7"/>
      <c r="C9" s="6"/>
      <c r="D9" s="6"/>
      <c r="E9" s="6"/>
      <c r="F9" s="6"/>
      <c r="G9" s="6"/>
      <c r="H9" s="6"/>
    </row>
    <row r="10" spans="1:27">
      <c r="A10" s="6"/>
      <c r="B10" s="7"/>
      <c r="C10" s="6"/>
      <c r="D10" s="6"/>
      <c r="E10" s="6"/>
      <c r="F10" s="6"/>
      <c r="G10" s="6"/>
      <c r="H10" s="6"/>
    </row>
    <row r="11" spans="1:27">
      <c r="A11" s="6"/>
      <c r="B11" s="7"/>
      <c r="C11" s="6"/>
      <c r="D11" s="6"/>
      <c r="E11" s="6"/>
      <c r="F11" s="6"/>
      <c r="G11" s="6"/>
      <c r="H11" s="6"/>
    </row>
    <row r="12" spans="1:27">
      <c r="A12" s="6"/>
      <c r="B12" s="7"/>
      <c r="C12" s="6"/>
      <c r="D12" s="6"/>
      <c r="E12" s="6"/>
      <c r="F12" s="6"/>
      <c r="G12" s="6"/>
      <c r="H12" s="6"/>
    </row>
    <row r="13" spans="1:27">
      <c r="A13" s="6"/>
      <c r="B13" s="7"/>
      <c r="C13" s="6"/>
      <c r="D13" s="6"/>
      <c r="E13" s="6"/>
      <c r="F13" s="6"/>
      <c r="G13" s="6"/>
      <c r="H13" s="6"/>
    </row>
    <row r="14" spans="1:27">
      <c r="A14" s="6"/>
      <c r="B14" s="7"/>
      <c r="C14" s="6"/>
      <c r="D14" s="6"/>
      <c r="E14" s="6"/>
      <c r="F14" s="6"/>
      <c r="G14" s="6"/>
      <c r="H14" s="6"/>
    </row>
    <row r="15" spans="1:27">
      <c r="A15" s="6"/>
      <c r="B15" s="7"/>
      <c r="C15" s="6"/>
      <c r="D15" s="6"/>
      <c r="E15" s="6"/>
      <c r="F15" s="6"/>
      <c r="G15" s="6"/>
      <c r="H15" s="6"/>
    </row>
    <row r="16" spans="1:27">
      <c r="A16" s="6"/>
      <c r="B16" s="7"/>
      <c r="C16" s="6"/>
      <c r="D16" s="6"/>
      <c r="E16" s="6"/>
      <c r="F16" s="6"/>
      <c r="G16" s="6"/>
      <c r="H16" s="6"/>
    </row>
    <row r="17" spans="1:8">
      <c r="A17" s="6"/>
      <c r="B17" s="7"/>
      <c r="C17" s="6"/>
      <c r="D17" s="6"/>
      <c r="E17" s="6"/>
      <c r="F17" s="6"/>
      <c r="G17" s="6"/>
      <c r="H17" s="6"/>
    </row>
    <row r="18" spans="1:8">
      <c r="A18" s="6"/>
      <c r="B18" s="7"/>
      <c r="C18" s="6"/>
      <c r="D18" s="6"/>
      <c r="E18" s="6"/>
      <c r="F18" s="6"/>
      <c r="G18" s="6"/>
      <c r="H18" s="6"/>
    </row>
    <row r="19" spans="1:8">
      <c r="A19" s="6"/>
      <c r="B19" s="7"/>
      <c r="C19" s="6"/>
      <c r="D19" s="6"/>
      <c r="E19" s="6"/>
      <c r="F19" s="6"/>
      <c r="G19" s="6"/>
      <c r="H19" s="6"/>
    </row>
    <row r="20" spans="1:8">
      <c r="A20" s="6"/>
      <c r="B20" s="7"/>
      <c r="C20" s="6"/>
      <c r="D20" s="6"/>
      <c r="E20" s="6"/>
      <c r="F20" s="6"/>
      <c r="G20" s="6"/>
      <c r="H20" s="6"/>
    </row>
    <row r="21" spans="1:8">
      <c r="A21" s="6"/>
      <c r="B21" s="7"/>
      <c r="C21" s="6"/>
      <c r="D21" s="6"/>
      <c r="E21" s="6"/>
      <c r="F21" s="6"/>
      <c r="G21" s="6"/>
      <c r="H21" s="6"/>
    </row>
    <row r="22" spans="1:8">
      <c r="A22" s="6"/>
      <c r="B22" s="7"/>
      <c r="C22" s="6"/>
      <c r="D22" s="6"/>
      <c r="E22" s="6"/>
      <c r="F22" s="6"/>
      <c r="G22" s="6"/>
      <c r="H22" s="6"/>
    </row>
    <row r="23" spans="1:8">
      <c r="A23" s="6"/>
      <c r="B23" s="7"/>
      <c r="C23" s="6"/>
      <c r="D23" s="6"/>
      <c r="E23" s="6"/>
      <c r="F23" s="6"/>
      <c r="G23" s="6"/>
      <c r="H23" s="6"/>
    </row>
    <row r="24" spans="1:8">
      <c r="A24" s="6"/>
      <c r="B24" s="7"/>
      <c r="C24" s="6"/>
      <c r="D24" s="6"/>
      <c r="E24" s="6"/>
      <c r="F24" s="6"/>
      <c r="G24" s="6"/>
      <c r="H24" s="6"/>
    </row>
    <row r="25" spans="1:8">
      <c r="A25" s="6"/>
      <c r="B25" s="7"/>
      <c r="C25" s="6"/>
      <c r="D25" s="6"/>
      <c r="E25" s="6"/>
      <c r="F25" s="6"/>
      <c r="G25" s="6"/>
      <c r="H25" s="6"/>
    </row>
    <row r="26" spans="1:8">
      <c r="A26" s="6"/>
      <c r="B26" s="7"/>
      <c r="C26" s="6"/>
      <c r="D26" s="6"/>
      <c r="E26" s="6"/>
      <c r="F26" s="6"/>
      <c r="G26" s="6"/>
      <c r="H26" s="6"/>
    </row>
    <row r="27" spans="1:8">
      <c r="A27" s="6"/>
      <c r="B27" s="7"/>
      <c r="C27" s="6"/>
      <c r="D27" s="6"/>
      <c r="E27" s="6"/>
      <c r="F27" s="6"/>
      <c r="G27" s="6"/>
      <c r="H27" s="6"/>
    </row>
    <row r="28" spans="1:8">
      <c r="A28" s="6"/>
      <c r="B28" s="7"/>
      <c r="C28" s="6"/>
      <c r="D28" s="6"/>
      <c r="E28" s="6"/>
      <c r="F28" s="6"/>
      <c r="G28" s="6"/>
      <c r="H28" s="6"/>
    </row>
    <row r="29" spans="1:8">
      <c r="A29" s="14"/>
      <c r="B29" s="7"/>
      <c r="C29" s="6"/>
      <c r="D29" s="6"/>
      <c r="E29" s="6"/>
      <c r="F29" s="6"/>
      <c r="G29" s="6"/>
      <c r="H29" s="6"/>
    </row>
    <row r="30" spans="1:8">
      <c r="A30" s="6"/>
      <c r="B30" s="7"/>
      <c r="C30" s="6"/>
      <c r="D30" s="6"/>
      <c r="E30" s="6"/>
      <c r="F30" s="6"/>
      <c r="G30" s="6"/>
      <c r="H30" s="6"/>
    </row>
    <row r="31" spans="1:8">
      <c r="A31" s="6"/>
      <c r="B31" s="7"/>
      <c r="C31" s="6"/>
      <c r="D31" s="6"/>
      <c r="E31" s="6"/>
      <c r="F31" s="6"/>
      <c r="G31" s="6"/>
      <c r="H31" s="6"/>
    </row>
    <row r="32" spans="1:8">
      <c r="A32" s="6"/>
      <c r="B32" s="7"/>
      <c r="C32" s="6"/>
      <c r="D32" s="6"/>
      <c r="E32" s="6"/>
      <c r="F32" s="6"/>
      <c r="G32" s="6"/>
      <c r="H32" s="6"/>
    </row>
    <row r="33" spans="1:8">
      <c r="A33" s="6"/>
      <c r="B33" s="7"/>
      <c r="C33" s="6"/>
      <c r="D33" s="6"/>
      <c r="E33" s="6"/>
      <c r="F33" s="6"/>
      <c r="G33" s="6"/>
      <c r="H33" s="6"/>
    </row>
    <row r="34" spans="1:8">
      <c r="A34" s="6"/>
      <c r="B34" s="7"/>
      <c r="C34" s="6"/>
      <c r="D34" s="6"/>
      <c r="E34" s="6"/>
      <c r="F34" s="6"/>
      <c r="G34" s="6"/>
      <c r="H34" s="6"/>
    </row>
    <row r="35" spans="1:8">
      <c r="A35" s="6"/>
      <c r="B35" s="7"/>
      <c r="C35" s="6"/>
      <c r="D35" s="6"/>
      <c r="E35" s="6"/>
      <c r="F35" s="6"/>
      <c r="G35" s="6"/>
      <c r="H35" s="6"/>
    </row>
    <row r="36" spans="1:8">
      <c r="A36" s="6"/>
      <c r="B36" s="7"/>
      <c r="C36" s="6"/>
      <c r="D36" s="6"/>
      <c r="E36" s="6"/>
      <c r="F36" s="6"/>
      <c r="G36" s="6"/>
      <c r="H36" s="6"/>
    </row>
    <row r="37" spans="1:8">
      <c r="A37" s="6"/>
      <c r="B37" s="7"/>
      <c r="C37" s="6"/>
      <c r="D37" s="6"/>
      <c r="E37" s="6"/>
      <c r="F37" s="6"/>
      <c r="G37" s="6"/>
      <c r="H37" s="6"/>
    </row>
    <row r="38" spans="1:8">
      <c r="A38" s="6"/>
      <c r="B38" s="7"/>
      <c r="C38" s="6"/>
      <c r="D38" s="6"/>
      <c r="E38" s="6"/>
      <c r="F38" s="6"/>
      <c r="G38" s="6"/>
      <c r="H38" s="6"/>
    </row>
    <row r="39" spans="1:8">
      <c r="A39" s="6"/>
      <c r="B39" s="7"/>
      <c r="C39" s="6"/>
      <c r="D39" s="6"/>
      <c r="E39" s="6"/>
      <c r="F39" s="6"/>
      <c r="G39" s="6"/>
      <c r="H39" s="6"/>
    </row>
    <row r="40" spans="1:8">
      <c r="A40" s="6"/>
      <c r="B40" s="7"/>
      <c r="C40" s="6"/>
      <c r="D40" s="6"/>
      <c r="E40" s="6"/>
      <c r="F40" s="6"/>
      <c r="G40" s="6"/>
      <c r="H40" s="6"/>
    </row>
    <row r="41" spans="1:8">
      <c r="A41" s="6"/>
      <c r="B41" s="7"/>
      <c r="C41" s="6"/>
      <c r="D41" s="6"/>
      <c r="E41" s="6"/>
      <c r="F41" s="6"/>
      <c r="G41" s="6"/>
      <c r="H41" s="6"/>
    </row>
    <row r="42" spans="1:8">
      <c r="A42" s="6"/>
      <c r="B42" s="7"/>
      <c r="C42" s="6"/>
      <c r="D42" s="6"/>
      <c r="E42" s="6"/>
      <c r="F42" s="6"/>
      <c r="G42" s="6"/>
      <c r="H42" s="6"/>
    </row>
    <row r="43" spans="1:8">
      <c r="A43" s="6"/>
      <c r="B43" s="7"/>
      <c r="C43" s="6"/>
      <c r="D43" s="6"/>
      <c r="E43" s="6"/>
      <c r="F43" s="6"/>
      <c r="G43" s="6"/>
      <c r="H43" s="6"/>
    </row>
    <row r="44" spans="1:8">
      <c r="A44" s="6"/>
      <c r="B44" s="7"/>
      <c r="C44" s="6"/>
      <c r="D44" s="6"/>
      <c r="E44" s="6"/>
      <c r="F44" s="6"/>
      <c r="G44" s="6"/>
      <c r="H44" s="6"/>
    </row>
    <row r="45" spans="1:8">
      <c r="A45" s="6"/>
      <c r="B45" s="7"/>
      <c r="C45" s="6"/>
      <c r="D45" s="6"/>
      <c r="E45" s="6"/>
      <c r="F45" s="6"/>
      <c r="G45" s="6"/>
      <c r="H45" s="6"/>
    </row>
    <row r="46" spans="1:8">
      <c r="A46" s="6"/>
      <c r="B46" s="7"/>
      <c r="C46" s="6"/>
      <c r="D46" s="6"/>
      <c r="E46" s="6"/>
      <c r="F46" s="6"/>
      <c r="G46" s="6"/>
      <c r="H46" s="6"/>
    </row>
    <row r="47" spans="1:8">
      <c r="A47" s="6"/>
      <c r="B47" s="7"/>
      <c r="C47" s="6"/>
      <c r="D47" s="6"/>
      <c r="E47" s="6"/>
      <c r="F47" s="6"/>
      <c r="G47" s="6"/>
      <c r="H47" s="6"/>
    </row>
    <row r="48" spans="1:8">
      <c r="A48" s="6"/>
      <c r="B48" s="7"/>
      <c r="C48" s="6"/>
      <c r="D48" s="6"/>
      <c r="E48" s="6"/>
      <c r="F48" s="6"/>
      <c r="G48" s="6"/>
      <c r="H48" s="6"/>
    </row>
    <row r="49" spans="1:8">
      <c r="A49" s="6"/>
      <c r="B49" s="7"/>
      <c r="C49" s="6"/>
      <c r="D49" s="6"/>
      <c r="E49" s="6"/>
      <c r="F49" s="6"/>
      <c r="G49" s="6"/>
      <c r="H49" s="6"/>
    </row>
    <row r="50" spans="1:8">
      <c r="A50" s="6"/>
      <c r="B50" s="7"/>
      <c r="C50" s="6"/>
      <c r="D50" s="6"/>
      <c r="E50" s="6"/>
      <c r="F50" s="6"/>
      <c r="G50" s="6"/>
      <c r="H50" s="6"/>
    </row>
    <row r="51" spans="1:8">
      <c r="A51" s="6"/>
      <c r="B51" s="7"/>
      <c r="C51" s="6"/>
      <c r="D51" s="6"/>
      <c r="E51" s="6"/>
      <c r="F51" s="6"/>
      <c r="G51" s="6"/>
      <c r="H51" s="6"/>
    </row>
    <row r="52" spans="1:8">
      <c r="A52" s="6"/>
      <c r="B52" s="7"/>
      <c r="C52" s="6"/>
      <c r="D52" s="6"/>
      <c r="E52" s="6"/>
      <c r="F52" s="6"/>
      <c r="G52" s="6"/>
      <c r="H52" s="6"/>
    </row>
    <row r="53" spans="1:8">
      <c r="A53" s="6"/>
      <c r="B53" s="7"/>
      <c r="C53" s="6"/>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B67" s="7"/>
      <c r="C67" s="6"/>
      <c r="D67" s="6"/>
      <c r="E67" s="6"/>
      <c r="F67" s="6"/>
      <c r="G67" s="6"/>
      <c r="H67" s="6"/>
    </row>
    <row r="68" spans="1:8">
      <c r="A68" s="6"/>
      <c r="B68" s="7"/>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B81" s="7"/>
      <c r="C81" s="6"/>
      <c r="D81" s="6"/>
      <c r="E81" s="6"/>
      <c r="F81" s="6"/>
      <c r="G81" s="6"/>
      <c r="H81" s="6"/>
    </row>
    <row r="82" spans="1:8">
      <c r="A82" s="6"/>
      <c r="B82" s="7"/>
      <c r="C82" s="6"/>
      <c r="D82" s="6"/>
      <c r="E82" s="6"/>
      <c r="F82" s="6"/>
      <c r="G82" s="6"/>
      <c r="H82" s="6"/>
    </row>
    <row r="83" spans="1:8">
      <c r="A83" s="6"/>
      <c r="B83" s="7"/>
      <c r="C83" s="6"/>
      <c r="D83" s="6"/>
      <c r="E83" s="6"/>
      <c r="F83" s="6"/>
      <c r="G83" s="6"/>
      <c r="H83" s="6"/>
    </row>
    <row r="84" spans="1:8">
      <c r="A84" s="6"/>
      <c r="B84" s="7"/>
      <c r="C84" s="6"/>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9">
    <dataValidation type="list" allowBlank="1" showInputMessage="1" showErrorMessage="1" sqref="H2:H6">
      <formula1>INDEX($V$5:$Y$12,0,MATCH(OFFSET(INDIRECT(ADDRESS(ROW(), COLUMN())),0,-1),$V$4:$Y$4,0))</formula1>
    </dataValidation>
    <dataValidation type="list" allowBlank="1" showInputMessage="1" showErrorMessage="1" sqref="G2:G6">
      <formula1>$V$4:$Y$4</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L47:L1048576 H137:H1048576 L1:L3 H35:H135 H14:H33 H1 H7:H12">
      <formula1>INDEX(Compartimentosmovil54,0,MATCH(OFFSET(INDIRECT(ADDRESS(ROW(), COLUMN())),0,-1),CajonerasMovil54,0))</formula1>
    </dataValidation>
    <dataValidation type="list" allowBlank="1" showInputMessage="1" showErrorMessage="1" sqref="H136 G35:G1048576 G1">
      <formula1>CajonerasMovil54</formula1>
    </dataValidation>
    <dataValidation type="list" allowBlank="1" showInputMessage="1" showErrorMessage="1" sqref="P4">
      <formula1>BolsosMovil54</formula1>
    </dataValidation>
    <dataValidation type="list" allowBlank="1" showInputMessage="1" showErrorMessage="1" sqref="C1 C7:C8 C11:C12 C14">
      <formula1>Medidas</formula1>
    </dataValidation>
    <dataValidation type="list" allowBlank="1" showInputMessage="1" showErrorMessage="1" sqref="A101 A105:A108 A112:A117 A119:A128 A130:A133 A135:A1048576 J4:J8 J10:J1048576 A35:A99 A1:A27 A29:A33">
      <formula1>categorias</formula1>
    </dataValidation>
    <dataValidation type="list" allowBlank="1" showInputMessage="1" showErrorMessage="1" sqref="L4">
      <formula1>INDEX(Medidas,0,MATCH(OFFSET(INDIRECT(ADDRESS(ROW(), COLUMN())),0,-2),categoriasDeMedidas,0))</formula1>
    </dataValidation>
  </dataValidations>
  <pageMargins left="0.7" right="0.7" top="0.75" bottom="0.75" header="0.3" footer="0.3"/>
  <tableParts count="4">
    <tablePart r:id="rId1"/>
    <tablePart r:id="rId2"/>
    <tablePart r:id="rId3"/>
    <tablePart r:id="rId4"/>
  </tableParts>
  <extLst xmlns:xr="http://schemas.microsoft.com/office/spreadsheetml/2014/revision">
    <ext xmlns:x14="http://schemas.microsoft.com/office/spreadsheetml/2009/9/main" uri="{CCE6A557-97BC-4b89-ADB6-D9C93CAAB3DF}">
      <x14:dataValidations xmlns:xm="http://schemas.microsoft.com/office/excel/2006/main" count="26">
        <x14:dataValidation type="list" allowBlank="1" showInputMessage="1" showErrorMessage="1" xr:uid="{74B643D2-66E4-4B09-84B1-67B19CB0AF36}">
          <x14:formula1>
            <xm:f>Configuracion!$F$2:$F$11</xm:f>
          </x14:formula1>
          <xm:sqref>C29 C2</xm:sqref>
        </x14:dataValidation>
        <x14:dataValidation type="list" allowBlank="1" showInputMessage="1" showErrorMessage="1" xr:uid="{84571240-C51C-4C42-BA71-8D53737085F6}">
          <x14:formula1>
            <xm:f>Configuracion!$T$2:$T$7</xm:f>
          </x14:formula1>
          <xm:sqref>C25</xm:sqref>
        </x14:dataValidation>
        <x14:dataValidation type="list" allowBlank="1" showInputMessage="1" showErrorMessage="1" xr:uid="{1C5941EF-19DD-4121-8851-F91150E80B2D}">
          <x14:formula1>
            <xm:f>Configuracion!$G$2:$G$6</xm:f>
          </x14:formula1>
          <xm:sqref>C31</xm:sqref>
        </x14:dataValidation>
        <x14:dataValidation type="list" allowBlank="1" showInputMessage="1" showErrorMessage="1" xr:uid="{6CDC2BEE-BFA1-48BA-9C3E-84995A07651F}">
          <x14:formula1>
            <xm:f>Configuracion!$V$2:$V$4</xm:f>
          </x14:formula1>
          <xm:sqref>C21 C26</xm:sqref>
        </x14:dataValidation>
        <x14:dataValidation type="list" allowBlank="1" showInputMessage="1" showErrorMessage="1" xr:uid="{D14EBA1C-1915-45BF-86E3-0DB5B3E6FD4C}">
          <x14:formula1>
            <xm:f>Configuracion!$U$2:$U$3</xm:f>
          </x14:formula1>
          <xm:sqref>C6</xm:sqref>
        </x14:dataValidation>
        <x14:dataValidation type="list" allowBlank="1" showInputMessage="1" showErrorMessage="1" xr:uid="{8963B67E-068F-40E4-99E9-B5834B189F49}">
          <x14:formula1>
            <xm:f>Configuracion!$P$2:$P$4</xm:f>
          </x14:formula1>
          <xm:sqref>C52</xm:sqref>
        </x14:dataValidation>
        <x14:dataValidation type="list" allowBlank="1" showInputMessage="1" showErrorMessage="1" xr:uid="{7944BADE-849C-4803-8D65-6419B5C3C9C5}">
          <x14:formula1>
            <xm:f>Configuracion!$K$2:$K$4</xm:f>
          </x14:formula1>
          <xm:sqref>C23 C4:C5</xm:sqref>
        </x14:dataValidation>
        <x14:dataValidation type="list" allowBlank="1" showInputMessage="1" showErrorMessage="1" xr:uid="{32D1A8EE-808F-4E34-A54A-6DBD023664CA}">
          <x14:formula1>
            <xm:f>Configuracion!$N$2:$N$9</xm:f>
          </x14:formula1>
          <xm:sqref>C120 C122</xm:sqref>
        </x14:dataValidation>
        <x14:dataValidation type="list" allowBlank="1" showInputMessage="1" showErrorMessage="1" xr:uid="{6D360013-F166-4187-BFAC-AEA448DC6FA9}">
          <x14:formula1>
            <xm:f>Configuracion!$S$2:$S$10</xm:f>
          </x14:formula1>
          <xm:sqref>C96 C100:C101 C105</xm:sqref>
        </x14:dataValidation>
        <x14:dataValidation type="list" allowBlank="1" showInputMessage="1" showErrorMessage="1" xr:uid="{AD965A9C-5F9C-4922-B17E-D879570E3A39}">
          <x14:formula1>
            <xm:f>Configuracion!$J$2:$J$5</xm:f>
          </x14:formula1>
          <xm:sqref>C24 C18:C19 C9:C10</xm:sqref>
        </x14:dataValidation>
        <x14:dataValidation type="list" allowBlank="1" showInputMessage="1" showErrorMessage="1" xr:uid="{5CA7B962-2773-4093-AAC9-6AB8FD9BDD4C}">
          <x14:formula1>
            <xm:f>Configuracion!$J$2:$J$3</xm:f>
          </x14:formula1>
          <xm:sqref>C22</xm:sqref>
        </x14:dataValidation>
        <x14:dataValidation type="list" allowBlank="1" showInputMessage="1" showErrorMessage="1" xr:uid="{D8ECC28A-CC0F-453F-B0E7-06B3D6AC3472}">
          <x14:formula1>
            <xm:f>Configuracion!$H$2:$H$6</xm:f>
          </x14:formula1>
          <xm:sqref>C20</xm:sqref>
        </x14:dataValidation>
        <x14:dataValidation type="list" allowBlank="1" showInputMessage="1" showErrorMessage="1" xr:uid="{F650027D-511A-42DA-904E-4BFD2E2EC039}">
          <x14:formula1>
            <xm:f>Configuracion!$Q$2:$Q$7</xm:f>
          </x14:formula1>
          <xm:sqref>C66:C67 C53 C70</xm:sqref>
        </x14:dataValidation>
        <x14:dataValidation type="list" allowBlank="1" showInputMessage="1" showErrorMessage="1" xr:uid="{6F3FC195-277E-42C7-839D-26CC3E947D54}">
          <x14:formula1>
            <xm:f>Configuracion!$F$2:$F$10</xm:f>
          </x14:formula1>
          <xm:sqref>C64:C65 C125:C126</xm:sqref>
        </x14:dataValidation>
        <x14:dataValidation type="list" allowBlank="1" showInputMessage="1" showErrorMessage="1" xr:uid="{3514842E-7FCD-4754-98BC-16F4908C9021}">
          <x14:formula1>
            <xm:f>Configuracion!$F$2:$F$9</xm:f>
          </x14:formula1>
          <xm:sqref>C63</xm:sqref>
        </x14:dataValidation>
        <x14:dataValidation type="list" allowBlank="1" showInputMessage="1" showErrorMessage="1" xr:uid="{4CA8F15D-910A-44A6-81B4-604E05CFEB15}">
          <x14:formula1>
            <xm:f>Configuracion!$F$2:$F$8</xm:f>
          </x14:formula1>
          <xm:sqref>C61:C62</xm:sqref>
        </x14:dataValidation>
        <x14:dataValidation type="list" allowBlank="1" showInputMessage="1" showErrorMessage="1" xr:uid="{6880B940-B84A-4145-803A-18C504F418C7}">
          <x14:formula1>
            <xm:f>Configuracion!$O$2:$O$7</xm:f>
          </x14:formula1>
          <xm:sqref>C38 C41</xm:sqref>
        </x14:dataValidation>
        <x14:dataValidation type="list" allowBlank="1" showInputMessage="1" showErrorMessage="1" xr:uid="{FBC1973D-4A5D-4A8C-BB57-FF7F3AC85995}">
          <x14:formula1>
            <xm:f>Configuracion!$M$2:$M$6</xm:f>
          </x14:formula1>
          <xm:sqref>C17</xm:sqref>
        </x14:dataValidation>
        <x14:dataValidation type="list" allowBlank="1" showInputMessage="1" showErrorMessage="1" xr:uid="{E6B43B06-CE6F-4675-ADE5-351170CBA84A}">
          <x14:formula1>
            <xm:f>Configuracion!$F$2:$F$3</xm:f>
          </x14:formula1>
          <xm:sqref>C16</xm:sqref>
        </x14:dataValidation>
        <x14:dataValidation type="list" allowBlank="1" showInputMessage="1" showErrorMessage="1" xr:uid="{D3A58FD0-CF75-49E2-9BBF-0A7706525956}">
          <x14:formula1>
            <xm:f>Configuracion!$F$2:$F$5</xm:f>
          </x14:formula1>
          <xm:sqref>C13 C27:C28</xm:sqref>
        </x14:dataValidation>
        <x14:dataValidation type="list" allowBlank="1" showInputMessage="1" showErrorMessage="1" xr:uid="{2B034C43-A4D0-4E3E-9292-9534ED821369}">
          <x14:formula1>
            <xm:f>Configuracion!$G$2:$G$3</xm:f>
          </x14:formula1>
          <xm:sqref>C127:C128 C30</xm:sqref>
        </x14:dataValidation>
        <x14:dataValidation type="list" allowBlank="1" showInputMessage="1" showErrorMessage="1" xr:uid="{ECA3BE1C-8B72-4BAE-B8C3-C8712AAB4B2A}">
          <x14:formula1>
            <xm:f>Configuracion!$S$2:$S$11</xm:f>
          </x14:formula1>
          <xm:sqref>C15</xm:sqref>
        </x14:dataValidation>
        <x14:dataValidation type="list" allowBlank="1" showInputMessage="1" showErrorMessage="1" xr:uid="{27A956C7-B52A-4E6C-85D6-21F1FC63A7F6}">
          <x14:formula1>
            <xm:f>Configuracion!$A$2:$A$72</xm:f>
          </x14:formula1>
          <xm:sqref>J1:J3</xm:sqref>
        </x14:dataValidation>
        <x14:dataValidation type="list" allowBlank="1" showInputMessage="1" showErrorMessage="1" xr:uid="{E4F9FBA5-8137-4638-A891-74988D167A84}">
          <x14:formula1>
            <xm:f>Configuracion!$I$2:$I$6</xm:f>
          </x14:formula1>
          <xm:sqref>C136</xm:sqref>
        </x14:dataValidation>
        <x14:dataValidation type="list" allowBlank="1" showInputMessage="1" showErrorMessage="1" xr:uid="{EACA0D2E-59D6-4AF9-B328-511C81E58C47}">
          <x14:formula1>
            <xm:f>Configuracion!$I$2:$I$5</xm:f>
          </x14:formula1>
          <xm:sqref>C3</xm:sqref>
        </x14:dataValidation>
        <x14:dataValidation type="list" allowBlank="1" showInputMessage="1" showErrorMessage="1" xr:uid="{DC09AEAB-FD0B-40D5-9BFE-337484D19C5A}">
          <x14:formula1>
            <xm:f>Configuracion!$A:$A</xm:f>
          </x14:formula1>
          <xm:sqref>A28</xm:sqref>
        </x14:dataValidation>
      </x14:dataValidations>
    </ext>
  </extLst>
</worksheet>
</file>

<file path=xl/worksheets/sheet11.xml><?xml version="1.0" encoding="utf-8"?>
<worksheet xmlns="http://schemas.openxmlformats.org/spreadsheetml/2006/main" xmlns:r="http://schemas.openxmlformats.org/officeDocument/2006/relationships">
  <sheetPr codeName="Sheet12"/>
  <dimension ref="A1:AA176"/>
  <sheetViews>
    <sheetView topLeftCell="A16" workbookViewId="0">
      <selection activeCell="B27" sqref="B27"/>
    </sheetView>
  </sheetViews>
  <sheetFormatPr baseColWidth="10" defaultColWidth="9.140625" defaultRowHeight="1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27">
      <c r="A1" s="4" t="s">
        <v>0</v>
      </c>
      <c r="B1" s="5" t="s">
        <v>1</v>
      </c>
      <c r="C1" s="4" t="s">
        <v>2</v>
      </c>
      <c r="D1" s="4" t="s">
        <v>3</v>
      </c>
      <c r="E1" s="4" t="s">
        <v>4</v>
      </c>
      <c r="F1" s="4" t="s">
        <v>236</v>
      </c>
      <c r="G1" s="4" t="s">
        <v>13</v>
      </c>
      <c r="H1" s="4" t="s">
        <v>228</v>
      </c>
    </row>
    <row r="2" spans="1:27">
      <c r="A2" s="15" t="s">
        <v>724</v>
      </c>
      <c r="B2" s="15" t="s">
        <v>722</v>
      </c>
      <c r="C2" s="4" t="s">
        <v>725</v>
      </c>
      <c r="D2" s="6"/>
      <c r="E2" s="6"/>
      <c r="F2" s="15">
        <v>1</v>
      </c>
      <c r="G2" s="6"/>
      <c r="H2" s="6"/>
    </row>
    <row r="3" spans="1:27">
      <c r="A3" s="15" t="s">
        <v>724</v>
      </c>
      <c r="B3" s="15" t="s">
        <v>722</v>
      </c>
      <c r="C3" s="4" t="s">
        <v>726</v>
      </c>
      <c r="D3" s="6"/>
      <c r="E3" s="6"/>
      <c r="F3" s="15">
        <v>1</v>
      </c>
      <c r="G3" s="6"/>
      <c r="H3" s="6"/>
      <c r="J3" t="s">
        <v>0</v>
      </c>
      <c r="K3" t="s">
        <v>1</v>
      </c>
      <c r="L3" t="s">
        <v>2</v>
      </c>
      <c r="M3" s="4" t="s">
        <v>3</v>
      </c>
      <c r="N3" s="4" t="s">
        <v>4</v>
      </c>
      <c r="O3" s="4" t="s">
        <v>236</v>
      </c>
      <c r="P3" t="s">
        <v>14</v>
      </c>
      <c r="T3" t="s">
        <v>28</v>
      </c>
      <c r="V3" s="26" t="s">
        <v>226</v>
      </c>
      <c r="W3" s="26"/>
      <c r="X3" s="26"/>
      <c r="Y3" s="26"/>
      <c r="Z3" s="26"/>
      <c r="AA3" s="26"/>
    </row>
    <row r="4" spans="1:27">
      <c r="A4" s="15" t="s">
        <v>724</v>
      </c>
      <c r="B4" s="15" t="s">
        <v>723</v>
      </c>
      <c r="C4" s="4" t="s">
        <v>726</v>
      </c>
      <c r="D4" s="6"/>
      <c r="E4" s="6"/>
      <c r="F4" s="15">
        <v>2</v>
      </c>
      <c r="G4" s="6"/>
      <c r="H4" s="6"/>
      <c r="V4" t="s">
        <v>685</v>
      </c>
      <c r="W4" t="s">
        <v>231</v>
      </c>
      <c r="X4" t="s">
        <v>8</v>
      </c>
      <c r="Y4" t="s">
        <v>5</v>
      </c>
    </row>
    <row r="5" spans="1:27">
      <c r="A5" s="15" t="s">
        <v>724</v>
      </c>
      <c r="B5" s="15" t="s">
        <v>723</v>
      </c>
      <c r="C5" s="4" t="s">
        <v>726</v>
      </c>
      <c r="D5" s="6"/>
      <c r="E5" s="6"/>
      <c r="F5" s="15">
        <v>3</v>
      </c>
      <c r="G5" s="6"/>
      <c r="H5" s="6"/>
    </row>
    <row r="6" spans="1:27">
      <c r="A6" s="15" t="s">
        <v>724</v>
      </c>
      <c r="B6" s="15" t="s">
        <v>243</v>
      </c>
      <c r="C6" t="s">
        <v>63</v>
      </c>
      <c r="D6" s="6"/>
      <c r="E6" s="6"/>
      <c r="F6" s="15">
        <v>5</v>
      </c>
      <c r="G6" s="6"/>
      <c r="H6" s="6"/>
    </row>
    <row r="7" spans="1:27">
      <c r="A7" s="15" t="s">
        <v>724</v>
      </c>
      <c r="B7" s="15" t="s">
        <v>729</v>
      </c>
      <c r="C7" s="4" t="s">
        <v>728</v>
      </c>
      <c r="D7" s="6"/>
      <c r="E7" s="6"/>
      <c r="F7" s="15">
        <v>4</v>
      </c>
      <c r="G7" s="6"/>
      <c r="H7" s="6"/>
    </row>
    <row r="8" spans="1:27">
      <c r="A8" s="15" t="s">
        <v>724</v>
      </c>
      <c r="B8" s="15"/>
      <c r="C8" s="4" t="s">
        <v>33</v>
      </c>
      <c r="D8" s="6"/>
      <c r="E8" s="6"/>
      <c r="F8" s="15">
        <v>9</v>
      </c>
      <c r="G8" s="6"/>
      <c r="H8" s="6"/>
    </row>
    <row r="9" spans="1:27">
      <c r="A9" s="15" t="s">
        <v>724</v>
      </c>
      <c r="B9" s="15"/>
      <c r="C9" s="4" t="s">
        <v>52</v>
      </c>
      <c r="D9" s="6"/>
      <c r="E9" s="6"/>
      <c r="F9" s="15">
        <v>12</v>
      </c>
      <c r="G9" s="6"/>
      <c r="H9" s="6"/>
    </row>
    <row r="10" spans="1:27">
      <c r="A10" s="15" t="s">
        <v>724</v>
      </c>
      <c r="B10" s="15" t="s">
        <v>68</v>
      </c>
      <c r="C10" s="4" t="s">
        <v>63</v>
      </c>
      <c r="D10" s="6"/>
      <c r="E10" s="6"/>
      <c r="F10" s="15">
        <v>5</v>
      </c>
      <c r="G10" s="6"/>
      <c r="H10" s="6"/>
    </row>
    <row r="11" spans="1:27">
      <c r="A11" s="15" t="s">
        <v>724</v>
      </c>
      <c r="B11" s="15"/>
      <c r="C11" s="4" t="s">
        <v>72</v>
      </c>
      <c r="D11" s="6"/>
      <c r="E11" s="6"/>
      <c r="F11" s="15">
        <v>6</v>
      </c>
      <c r="G11" s="6"/>
      <c r="H11" s="6"/>
    </row>
    <row r="12" spans="1:27">
      <c r="A12" s="15" t="s">
        <v>724</v>
      </c>
      <c r="B12" s="15" t="s">
        <v>68</v>
      </c>
      <c r="C12" s="4" t="s">
        <v>727</v>
      </c>
      <c r="D12" s="6"/>
      <c r="E12" s="6"/>
      <c r="F12" s="15">
        <v>2</v>
      </c>
      <c r="G12" s="6"/>
      <c r="H12" s="6"/>
    </row>
    <row r="13" spans="1:27">
      <c r="A13" s="15" t="s">
        <v>724</v>
      </c>
      <c r="B13" s="15" t="s">
        <v>243</v>
      </c>
      <c r="C13" s="4" t="s">
        <v>727</v>
      </c>
      <c r="D13" s="6"/>
      <c r="E13" s="6"/>
      <c r="F13" s="15">
        <v>1</v>
      </c>
      <c r="G13" s="6"/>
      <c r="H13" s="6"/>
    </row>
    <row r="14" spans="1:27">
      <c r="A14" s="15" t="s">
        <v>724</v>
      </c>
      <c r="B14" s="15" t="s">
        <v>243</v>
      </c>
      <c r="C14" s="4" t="s">
        <v>728</v>
      </c>
      <c r="D14" s="6"/>
      <c r="E14" s="6"/>
      <c r="F14" s="15">
        <v>2</v>
      </c>
      <c r="G14" s="6"/>
      <c r="H14" s="6"/>
    </row>
    <row r="15" spans="1:27">
      <c r="A15" s="15" t="s">
        <v>11</v>
      </c>
      <c r="B15" s="15" t="s">
        <v>731</v>
      </c>
      <c r="C15" s="4" t="s">
        <v>730</v>
      </c>
      <c r="D15" s="6"/>
      <c r="E15" s="6"/>
      <c r="F15" s="15">
        <v>1</v>
      </c>
      <c r="G15" s="6"/>
      <c r="H15" s="6"/>
    </row>
    <row r="16" spans="1:27">
      <c r="A16" s="15" t="s">
        <v>53</v>
      </c>
      <c r="B16" s="15" t="s">
        <v>245</v>
      </c>
      <c r="D16" s="6"/>
      <c r="E16" s="6"/>
      <c r="F16" s="15">
        <v>2</v>
      </c>
      <c r="G16" s="6"/>
      <c r="H16" s="6"/>
    </row>
    <row r="17" spans="1:8">
      <c r="A17" s="15" t="s">
        <v>153</v>
      </c>
      <c r="B17" s="15" t="s">
        <v>703</v>
      </c>
      <c r="D17" s="6"/>
      <c r="E17" s="6"/>
      <c r="F17" s="15">
        <v>2</v>
      </c>
      <c r="G17" s="6"/>
      <c r="H17" s="6"/>
    </row>
    <row r="18" spans="1:8">
      <c r="A18" s="17" t="s">
        <v>92</v>
      </c>
      <c r="B18" s="17" t="s">
        <v>704</v>
      </c>
      <c r="C18" s="18"/>
      <c r="D18" s="13"/>
      <c r="E18" s="13"/>
      <c r="F18" s="17">
        <v>1</v>
      </c>
      <c r="G18" s="6"/>
      <c r="H18" s="6"/>
    </row>
    <row r="19" spans="1:8">
      <c r="A19" t="s">
        <v>705</v>
      </c>
      <c r="B19" s="16"/>
      <c r="D19" s="6"/>
      <c r="E19" s="6"/>
      <c r="F19" s="15">
        <v>1</v>
      </c>
      <c r="G19" s="6"/>
      <c r="H19" s="6"/>
    </row>
    <row r="20" spans="1:8">
      <c r="A20" t="s">
        <v>673</v>
      </c>
      <c r="B20" s="15" t="s">
        <v>706</v>
      </c>
      <c r="D20" s="13" t="s">
        <v>792</v>
      </c>
      <c r="E20" s="13" t="s">
        <v>792</v>
      </c>
      <c r="F20" s="15">
        <v>15</v>
      </c>
      <c r="G20" s="6"/>
      <c r="H20" s="6"/>
    </row>
    <row r="21" spans="1:8">
      <c r="A21" s="19" t="s">
        <v>732</v>
      </c>
      <c r="B21" s="15" t="s">
        <v>707</v>
      </c>
      <c r="D21" s="6"/>
      <c r="E21" s="6"/>
      <c r="F21" s="15">
        <v>5</v>
      </c>
      <c r="G21" s="6"/>
      <c r="H21" s="6"/>
    </row>
    <row r="22" spans="1:8">
      <c r="A22" s="19" t="s">
        <v>732</v>
      </c>
      <c r="B22" s="15" t="s">
        <v>708</v>
      </c>
      <c r="D22" s="6"/>
      <c r="E22" s="6"/>
      <c r="F22" s="15">
        <v>2</v>
      </c>
      <c r="G22" s="6"/>
      <c r="H22" s="6"/>
    </row>
    <row r="23" spans="1:8">
      <c r="A23" t="s">
        <v>143</v>
      </c>
      <c r="B23" s="15" t="s">
        <v>709</v>
      </c>
      <c r="D23" s="6"/>
      <c r="E23" s="6"/>
      <c r="F23" s="15">
        <v>5</v>
      </c>
      <c r="G23" s="6"/>
      <c r="H23" s="6"/>
    </row>
    <row r="24" spans="1:8">
      <c r="A24" t="s">
        <v>486</v>
      </c>
      <c r="B24" s="16"/>
      <c r="D24" s="6"/>
      <c r="E24" s="6"/>
      <c r="F24" s="15">
        <v>7</v>
      </c>
      <c r="G24" s="6"/>
      <c r="H24" s="6"/>
    </row>
    <row r="25" spans="1:8">
      <c r="A25" s="15" t="s">
        <v>110</v>
      </c>
      <c r="B25" s="16" t="s">
        <v>733</v>
      </c>
      <c r="D25" s="6"/>
      <c r="E25" s="6"/>
      <c r="F25" s="15">
        <v>2</v>
      </c>
      <c r="G25" s="6"/>
      <c r="H25" s="6"/>
    </row>
    <row r="26" spans="1:8">
      <c r="A26" s="15" t="s">
        <v>734</v>
      </c>
      <c r="B26" s="15" t="s">
        <v>710</v>
      </c>
      <c r="D26" s="6"/>
      <c r="E26" s="6"/>
      <c r="F26" s="15">
        <v>1</v>
      </c>
      <c r="G26" s="6"/>
      <c r="H26" s="6"/>
    </row>
    <row r="27" spans="1:8">
      <c r="A27" s="15" t="s">
        <v>735</v>
      </c>
      <c r="B27" s="15" t="s">
        <v>711</v>
      </c>
      <c r="D27" s="6"/>
      <c r="E27" s="6"/>
      <c r="F27" s="15">
        <v>2</v>
      </c>
      <c r="G27" s="6"/>
      <c r="H27" s="6"/>
    </row>
    <row r="28" spans="1:8">
      <c r="A28" s="15" t="s">
        <v>153</v>
      </c>
      <c r="B28" s="15" t="s">
        <v>712</v>
      </c>
      <c r="D28" s="6"/>
      <c r="E28" s="6"/>
      <c r="F28" s="15">
        <v>1</v>
      </c>
      <c r="G28" s="6"/>
      <c r="H28" s="6"/>
    </row>
    <row r="29" spans="1:8">
      <c r="A29" s="15" t="s">
        <v>153</v>
      </c>
      <c r="B29" s="15" t="s">
        <v>736</v>
      </c>
      <c r="D29" s="6"/>
      <c r="E29" s="6"/>
      <c r="F29" s="15">
        <v>1</v>
      </c>
      <c r="G29" s="6"/>
      <c r="H29" s="6"/>
    </row>
    <row r="30" spans="1:8">
      <c r="A30" s="15" t="s">
        <v>500</v>
      </c>
      <c r="B30" s="16"/>
      <c r="D30" s="6"/>
      <c r="E30" s="6"/>
      <c r="F30" s="15">
        <v>2</v>
      </c>
      <c r="G30" s="6"/>
      <c r="H30" s="6"/>
    </row>
    <row r="31" spans="1:8">
      <c r="A31" t="s">
        <v>737</v>
      </c>
      <c r="B31" s="16" t="s">
        <v>738</v>
      </c>
      <c r="D31" s="6"/>
      <c r="E31" s="6"/>
      <c r="F31" s="15">
        <v>1</v>
      </c>
      <c r="G31" s="6"/>
      <c r="H31" s="6"/>
    </row>
    <row r="32" spans="1:8">
      <c r="A32" s="15" t="s">
        <v>739</v>
      </c>
      <c r="B32" s="15" t="s">
        <v>713</v>
      </c>
      <c r="C32" s="4" t="s">
        <v>740</v>
      </c>
      <c r="D32" s="6"/>
      <c r="E32" s="6"/>
      <c r="F32" s="15">
        <v>1</v>
      </c>
      <c r="G32" s="6"/>
      <c r="H32" s="6"/>
    </row>
    <row r="33" spans="1:8">
      <c r="A33" s="15" t="s">
        <v>309</v>
      </c>
      <c r="B33" s="15" t="s">
        <v>714</v>
      </c>
      <c r="D33" s="6"/>
      <c r="E33" s="6"/>
      <c r="F33" s="15">
        <v>1</v>
      </c>
      <c r="G33" s="6"/>
      <c r="H33" s="6"/>
    </row>
    <row r="34" spans="1:8">
      <c r="A34" s="15" t="s">
        <v>129</v>
      </c>
      <c r="B34" s="16"/>
      <c r="D34" s="6"/>
      <c r="E34" s="6"/>
      <c r="F34" s="15">
        <v>1</v>
      </c>
      <c r="G34" s="6"/>
      <c r="H34" s="6"/>
    </row>
    <row r="35" spans="1:8">
      <c r="A35" s="15" t="s">
        <v>741</v>
      </c>
      <c r="B35" s="15" t="s">
        <v>715</v>
      </c>
      <c r="D35" s="6"/>
      <c r="E35" s="6"/>
      <c r="F35" s="15">
        <v>2</v>
      </c>
      <c r="G35" s="6"/>
      <c r="H35" s="6"/>
    </row>
    <row r="36" spans="1:8">
      <c r="A36" s="15" t="s">
        <v>114</v>
      </c>
      <c r="B36" s="15" t="s">
        <v>716</v>
      </c>
      <c r="D36" s="6"/>
      <c r="E36" s="6"/>
      <c r="F36" s="15">
        <v>1</v>
      </c>
      <c r="G36" s="6"/>
      <c r="H36" s="6"/>
    </row>
    <row r="37" spans="1:8">
      <c r="A37" s="15" t="s">
        <v>253</v>
      </c>
      <c r="B37" s="15" t="s">
        <v>717</v>
      </c>
      <c r="D37" s="6"/>
      <c r="E37" s="6"/>
      <c r="F37" s="15">
        <v>2</v>
      </c>
      <c r="G37" s="6"/>
      <c r="H37" s="6"/>
    </row>
    <row r="38" spans="1:8">
      <c r="A38" s="15" t="s">
        <v>741</v>
      </c>
      <c r="B38" s="15" t="s">
        <v>718</v>
      </c>
      <c r="D38" s="6"/>
      <c r="E38" s="6"/>
      <c r="F38" s="15">
        <v>2</v>
      </c>
      <c r="G38" s="6"/>
      <c r="H38" s="6"/>
    </row>
    <row r="39" spans="1:8">
      <c r="A39" s="15" t="s">
        <v>741</v>
      </c>
      <c r="B39" s="15" t="s">
        <v>719</v>
      </c>
      <c r="D39" s="6"/>
      <c r="E39" s="6"/>
      <c r="F39" s="15">
        <v>1</v>
      </c>
      <c r="G39" s="6"/>
      <c r="H39" s="6"/>
    </row>
    <row r="40" spans="1:8">
      <c r="A40" s="15" t="s">
        <v>741</v>
      </c>
      <c r="B40" s="15" t="s">
        <v>742</v>
      </c>
      <c r="D40" s="6"/>
      <c r="E40" s="6"/>
      <c r="F40" s="15">
        <v>6</v>
      </c>
      <c r="G40" s="6"/>
      <c r="H40" s="6"/>
    </row>
    <row r="41" spans="1:8">
      <c r="A41" s="15" t="s">
        <v>741</v>
      </c>
      <c r="B41" s="15" t="s">
        <v>743</v>
      </c>
      <c r="D41" s="6"/>
      <c r="E41" s="6"/>
      <c r="F41" s="15">
        <v>3</v>
      </c>
      <c r="G41" s="6"/>
      <c r="H41" s="6"/>
    </row>
    <row r="42" spans="1:8">
      <c r="A42" s="15" t="s">
        <v>741</v>
      </c>
      <c r="B42" s="15" t="s">
        <v>744</v>
      </c>
      <c r="D42" s="6"/>
      <c r="E42" s="6"/>
      <c r="F42" s="15">
        <v>1</v>
      </c>
      <c r="G42" s="6"/>
      <c r="H42" s="6"/>
    </row>
    <row r="43" spans="1:8">
      <c r="A43" s="15" t="s">
        <v>741</v>
      </c>
      <c r="B43" s="15" t="s">
        <v>745</v>
      </c>
      <c r="D43" s="6"/>
      <c r="E43" s="6"/>
      <c r="F43" s="15">
        <v>1</v>
      </c>
      <c r="G43" s="6"/>
      <c r="H43" s="6"/>
    </row>
    <row r="44" spans="1:8">
      <c r="A44" s="15" t="s">
        <v>499</v>
      </c>
      <c r="B44" s="16"/>
      <c r="D44" s="6"/>
      <c r="E44" s="6"/>
      <c r="F44" s="20">
        <v>45</v>
      </c>
      <c r="G44" s="6"/>
      <c r="H44" s="6"/>
    </row>
    <row r="45" spans="1:8">
      <c r="A45" s="15" t="s">
        <v>40</v>
      </c>
      <c r="B45" s="15"/>
      <c r="C45" s="4" t="s">
        <v>251</v>
      </c>
      <c r="D45" s="6"/>
      <c r="E45" s="6"/>
      <c r="F45" s="20">
        <v>14</v>
      </c>
      <c r="G45" s="6"/>
      <c r="H45" s="6"/>
    </row>
    <row r="46" spans="1:8">
      <c r="A46" s="15" t="s">
        <v>148</v>
      </c>
      <c r="B46" s="15" t="s">
        <v>746</v>
      </c>
      <c r="D46" s="6"/>
      <c r="E46" s="6"/>
      <c r="F46" s="20">
        <v>1</v>
      </c>
      <c r="G46" s="6"/>
      <c r="H46" s="6"/>
    </row>
    <row r="47" spans="1:8">
      <c r="A47" s="15" t="s">
        <v>741</v>
      </c>
      <c r="B47" s="15" t="s">
        <v>747</v>
      </c>
      <c r="D47" s="6"/>
      <c r="E47" s="6"/>
      <c r="F47" s="20">
        <v>1</v>
      </c>
      <c r="G47" s="6"/>
      <c r="H47" s="6"/>
    </row>
    <row r="48" spans="1:8">
      <c r="A48" s="15" t="s">
        <v>757</v>
      </c>
      <c r="B48" s="15" t="s">
        <v>762</v>
      </c>
      <c r="C48" s="4" t="s">
        <v>759</v>
      </c>
      <c r="D48" s="6"/>
      <c r="E48" s="6"/>
      <c r="F48" s="20">
        <v>8</v>
      </c>
      <c r="G48" s="6"/>
      <c r="H48" s="6"/>
    </row>
    <row r="49" spans="1:8">
      <c r="A49" s="15" t="s">
        <v>88</v>
      </c>
      <c r="B49" s="16" t="s">
        <v>763</v>
      </c>
      <c r="D49" s="6"/>
      <c r="E49" s="6"/>
      <c r="F49" s="20">
        <v>3</v>
      </c>
      <c r="G49" s="6"/>
      <c r="H49" s="6"/>
    </row>
    <row r="50" spans="1:8">
      <c r="A50" s="15" t="s">
        <v>88</v>
      </c>
      <c r="B50" s="16" t="s">
        <v>764</v>
      </c>
      <c r="D50" s="6"/>
      <c r="E50" s="6"/>
      <c r="F50" s="20">
        <v>18</v>
      </c>
      <c r="G50" s="6"/>
      <c r="H50" s="6"/>
    </row>
    <row r="51" spans="1:8">
      <c r="A51" s="15" t="s">
        <v>88</v>
      </c>
      <c r="B51" s="16" t="s">
        <v>314</v>
      </c>
      <c r="D51" s="6"/>
      <c r="E51" s="6"/>
      <c r="F51" s="20">
        <v>13</v>
      </c>
      <c r="G51" s="6"/>
      <c r="H51" s="6"/>
    </row>
    <row r="52" spans="1:8">
      <c r="A52" s="15" t="s">
        <v>88</v>
      </c>
      <c r="B52" s="15" t="s">
        <v>765</v>
      </c>
      <c r="D52" s="6"/>
      <c r="E52" s="6"/>
      <c r="F52" s="20">
        <v>3</v>
      </c>
      <c r="G52" s="6"/>
      <c r="H52" s="6"/>
    </row>
    <row r="53" spans="1:8">
      <c r="A53" s="15" t="s">
        <v>757</v>
      </c>
      <c r="B53" s="15"/>
      <c r="C53" s="4" t="s">
        <v>759</v>
      </c>
      <c r="D53" s="6"/>
      <c r="E53" s="6"/>
      <c r="F53" s="20">
        <v>1</v>
      </c>
      <c r="G53" s="6"/>
      <c r="H53" s="6"/>
    </row>
    <row r="54" spans="1:8">
      <c r="A54" s="15" t="s">
        <v>757</v>
      </c>
      <c r="B54" s="15"/>
      <c r="C54" s="4" t="s">
        <v>758</v>
      </c>
      <c r="D54" s="6"/>
      <c r="E54" s="6"/>
      <c r="F54" s="20">
        <v>2</v>
      </c>
      <c r="G54" s="6"/>
      <c r="H54" s="6"/>
    </row>
    <row r="55" spans="1:8">
      <c r="A55" t="s">
        <v>748</v>
      </c>
      <c r="B55" s="16"/>
      <c r="D55" s="6"/>
      <c r="E55" s="6"/>
      <c r="F55" s="20">
        <v>1</v>
      </c>
      <c r="G55" s="6"/>
      <c r="H55" s="6"/>
    </row>
    <row r="56" spans="1:8">
      <c r="A56" s="15" t="s">
        <v>469</v>
      </c>
      <c r="B56" s="16" t="s">
        <v>766</v>
      </c>
      <c r="D56" s="6"/>
      <c r="E56" s="6"/>
      <c r="F56" s="20">
        <v>1</v>
      </c>
      <c r="G56" s="6"/>
      <c r="H56" s="6"/>
    </row>
    <row r="57" spans="1:8">
      <c r="A57" s="15" t="s">
        <v>741</v>
      </c>
      <c r="B57" s="15" t="s">
        <v>749</v>
      </c>
      <c r="D57" s="6"/>
      <c r="E57" s="6"/>
      <c r="F57" s="20">
        <v>1</v>
      </c>
      <c r="G57" s="6"/>
      <c r="H57" s="6"/>
    </row>
    <row r="58" spans="1:8">
      <c r="A58" s="15" t="s">
        <v>741</v>
      </c>
      <c r="B58" s="15" t="s">
        <v>750</v>
      </c>
      <c r="D58" s="6"/>
      <c r="E58" s="6"/>
      <c r="F58" s="20">
        <v>1</v>
      </c>
      <c r="G58" s="6"/>
      <c r="H58" s="6"/>
    </row>
    <row r="59" spans="1:8">
      <c r="A59" s="15" t="s">
        <v>89</v>
      </c>
      <c r="B59" s="15"/>
      <c r="D59" s="6"/>
      <c r="E59" s="6"/>
      <c r="F59" s="20">
        <v>2</v>
      </c>
      <c r="G59" s="6"/>
      <c r="H59" s="6"/>
    </row>
    <row r="60" spans="1:8">
      <c r="A60" t="s">
        <v>315</v>
      </c>
      <c r="B60" s="15" t="s">
        <v>751</v>
      </c>
      <c r="D60" s="6"/>
      <c r="E60" s="6"/>
      <c r="F60" s="20">
        <v>1</v>
      </c>
      <c r="G60" s="6"/>
      <c r="H60" s="6"/>
    </row>
    <row r="61" spans="1:8">
      <c r="A61" s="15" t="s">
        <v>170</v>
      </c>
      <c r="B61" s="16"/>
      <c r="D61" s="6"/>
      <c r="E61" s="6"/>
      <c r="F61" s="20">
        <v>3</v>
      </c>
      <c r="G61" s="6"/>
      <c r="H61" s="6"/>
    </row>
    <row r="62" spans="1:8">
      <c r="A62" s="15" t="s">
        <v>153</v>
      </c>
      <c r="B62" s="15" t="s">
        <v>752</v>
      </c>
      <c r="D62" s="6"/>
      <c r="E62" s="6"/>
      <c r="F62" s="20">
        <v>1</v>
      </c>
      <c r="G62" s="6"/>
      <c r="H62" s="6"/>
    </row>
    <row r="63" spans="1:8">
      <c r="A63" s="15" t="s">
        <v>741</v>
      </c>
      <c r="B63" s="15" t="s">
        <v>753</v>
      </c>
      <c r="D63" s="6"/>
      <c r="E63" s="6"/>
      <c r="F63" s="20">
        <v>11</v>
      </c>
      <c r="G63" s="6"/>
      <c r="H63" s="6"/>
    </row>
    <row r="64" spans="1:8">
      <c r="A64" s="15" t="s">
        <v>741</v>
      </c>
      <c r="B64" s="15" t="s">
        <v>768</v>
      </c>
      <c r="D64" s="6"/>
      <c r="E64" s="6"/>
      <c r="F64" s="20">
        <v>1</v>
      </c>
      <c r="G64" s="6"/>
      <c r="H64" s="6"/>
    </row>
    <row r="65" spans="1:8">
      <c r="A65" s="15" t="s">
        <v>32</v>
      </c>
      <c r="B65" s="16" t="s">
        <v>767</v>
      </c>
      <c r="C65" s="13" t="s">
        <v>685</v>
      </c>
      <c r="D65" s="6"/>
      <c r="E65" s="6"/>
      <c r="F65" s="20">
        <v>1</v>
      </c>
      <c r="G65" s="6"/>
      <c r="H65" s="6"/>
    </row>
    <row r="66" spans="1:8">
      <c r="A66" s="15" t="s">
        <v>59</v>
      </c>
      <c r="B66" s="16" t="s">
        <v>122</v>
      </c>
      <c r="C66" s="13" t="s">
        <v>685</v>
      </c>
      <c r="D66" s="6"/>
      <c r="E66" s="6"/>
      <c r="F66" s="20">
        <v>1</v>
      </c>
      <c r="G66" s="6"/>
      <c r="H66" s="6"/>
    </row>
    <row r="67" spans="1:8">
      <c r="A67" s="15" t="s">
        <v>32</v>
      </c>
      <c r="B67" s="16" t="s">
        <v>769</v>
      </c>
      <c r="C67" s="13" t="s">
        <v>685</v>
      </c>
      <c r="D67" s="6"/>
      <c r="E67" s="6"/>
      <c r="F67" s="20">
        <v>1</v>
      </c>
      <c r="G67" s="6"/>
      <c r="H67" s="6"/>
    </row>
    <row r="68" spans="1:8">
      <c r="A68" s="15" t="s">
        <v>32</v>
      </c>
      <c r="B68" s="16" t="s">
        <v>770</v>
      </c>
      <c r="C68" s="13" t="s">
        <v>685</v>
      </c>
      <c r="D68" s="6"/>
      <c r="E68" s="6"/>
      <c r="F68" s="20">
        <v>2</v>
      </c>
      <c r="G68" s="6"/>
      <c r="H68" s="6"/>
    </row>
    <row r="69" spans="1:8">
      <c r="A69" s="15" t="s">
        <v>757</v>
      </c>
      <c r="B69" s="15" t="s">
        <v>771</v>
      </c>
      <c r="C69" s="4" t="s">
        <v>760</v>
      </c>
      <c r="D69" s="6"/>
      <c r="E69" s="6"/>
      <c r="F69" s="20">
        <v>405</v>
      </c>
      <c r="G69" s="6"/>
      <c r="H69" s="6"/>
    </row>
    <row r="70" spans="1:8">
      <c r="A70" s="15" t="s">
        <v>757</v>
      </c>
      <c r="B70" s="15" t="s">
        <v>771</v>
      </c>
      <c r="C70" s="4" t="s">
        <v>758</v>
      </c>
      <c r="D70" s="6"/>
      <c r="E70" s="6"/>
      <c r="F70" s="20">
        <v>151</v>
      </c>
      <c r="G70" s="6"/>
      <c r="H70" s="6"/>
    </row>
    <row r="71" spans="1:8">
      <c r="A71" s="15" t="s">
        <v>757</v>
      </c>
      <c r="B71" s="15" t="s">
        <v>772</v>
      </c>
      <c r="C71" s="4" t="s">
        <v>760</v>
      </c>
      <c r="D71" s="6"/>
      <c r="E71" s="6"/>
      <c r="F71" s="20">
        <v>4</v>
      </c>
      <c r="G71" s="6"/>
      <c r="H71" s="6"/>
    </row>
    <row r="72" spans="1:8">
      <c r="A72" s="15" t="s">
        <v>757</v>
      </c>
      <c r="B72" s="15" t="s">
        <v>772</v>
      </c>
      <c r="C72" s="4" t="s">
        <v>758</v>
      </c>
      <c r="D72" s="6"/>
      <c r="E72" s="6"/>
      <c r="F72" s="20">
        <v>3</v>
      </c>
      <c r="G72" s="6"/>
      <c r="H72" s="6"/>
    </row>
    <row r="73" spans="1:8">
      <c r="A73" s="15" t="s">
        <v>773</v>
      </c>
      <c r="B73" s="16"/>
      <c r="D73" s="6"/>
      <c r="E73" s="6"/>
      <c r="F73" s="20">
        <v>2</v>
      </c>
      <c r="G73" s="6"/>
      <c r="H73" s="6"/>
    </row>
    <row r="74" spans="1:8">
      <c r="A74" s="15" t="s">
        <v>86</v>
      </c>
      <c r="B74" s="16"/>
      <c r="D74" s="6"/>
      <c r="E74" s="6"/>
      <c r="F74" s="20">
        <v>2</v>
      </c>
      <c r="G74" s="6"/>
      <c r="H74" s="6"/>
    </row>
    <row r="75" spans="1:8" ht="30">
      <c r="A75" s="15" t="s">
        <v>603</v>
      </c>
      <c r="B75" s="15" t="s">
        <v>774</v>
      </c>
      <c r="D75" s="6"/>
      <c r="E75" s="6"/>
      <c r="F75" s="20">
        <v>1</v>
      </c>
      <c r="G75" s="6"/>
      <c r="H75" s="6"/>
    </row>
    <row r="76" spans="1:8">
      <c r="A76" s="15" t="s">
        <v>11</v>
      </c>
      <c r="B76" s="15" t="s">
        <v>385</v>
      </c>
      <c r="C76" t="s">
        <v>775</v>
      </c>
      <c r="D76" s="6"/>
      <c r="E76" s="6"/>
      <c r="F76" s="20">
        <v>3</v>
      </c>
      <c r="G76" s="6"/>
      <c r="H76" s="6"/>
    </row>
    <row r="77" spans="1:8">
      <c r="A77" s="15" t="s">
        <v>11</v>
      </c>
      <c r="B77" s="15"/>
      <c r="C77" s="4" t="s">
        <v>121</v>
      </c>
      <c r="D77" s="6"/>
      <c r="E77" s="6"/>
      <c r="F77" s="20">
        <v>5</v>
      </c>
      <c r="G77" s="6"/>
      <c r="H77" s="6"/>
    </row>
    <row r="78" spans="1:8">
      <c r="A78" s="15" t="s">
        <v>11</v>
      </c>
      <c r="B78" s="15"/>
      <c r="C78" s="4" t="s">
        <v>41</v>
      </c>
      <c r="D78" s="6"/>
      <c r="E78" s="6"/>
      <c r="F78" s="20">
        <v>2</v>
      </c>
      <c r="G78" s="6"/>
      <c r="H78" s="6"/>
    </row>
    <row r="79" spans="1:8">
      <c r="A79" s="15" t="s">
        <v>11</v>
      </c>
      <c r="B79" s="15"/>
      <c r="C79" s="4" t="s">
        <v>776</v>
      </c>
      <c r="D79" s="6"/>
      <c r="E79" s="6"/>
      <c r="F79" s="20">
        <v>4</v>
      </c>
      <c r="G79" s="6"/>
      <c r="H79" s="6"/>
    </row>
    <row r="80" spans="1:8">
      <c r="A80" t="s">
        <v>754</v>
      </c>
      <c r="B80" s="16"/>
      <c r="D80" s="6"/>
      <c r="E80" s="6"/>
      <c r="F80" s="20">
        <v>5</v>
      </c>
      <c r="G80" s="6"/>
      <c r="H80" s="6"/>
    </row>
    <row r="81" spans="1:8">
      <c r="A81" s="15" t="s">
        <v>748</v>
      </c>
      <c r="B81" s="16"/>
      <c r="D81" s="6"/>
      <c r="E81" s="6"/>
      <c r="F81" s="20">
        <v>1</v>
      </c>
      <c r="G81" s="6"/>
      <c r="H81" s="6"/>
    </row>
    <row r="82" spans="1:8">
      <c r="A82" s="15" t="s">
        <v>499</v>
      </c>
      <c r="B82" s="16"/>
      <c r="D82" s="6"/>
      <c r="E82" s="6"/>
      <c r="F82" s="20">
        <v>45</v>
      </c>
      <c r="G82" s="6"/>
      <c r="H82" s="6"/>
    </row>
    <row r="83" spans="1:8">
      <c r="A83" s="15" t="s">
        <v>673</v>
      </c>
      <c r="B83" s="15" t="s">
        <v>755</v>
      </c>
      <c r="D83" s="6"/>
      <c r="E83" s="6"/>
      <c r="F83" s="20">
        <v>5</v>
      </c>
      <c r="G83" s="6"/>
      <c r="H83" s="6"/>
    </row>
    <row r="84" spans="1:8">
      <c r="A84" s="15" t="s">
        <v>673</v>
      </c>
      <c r="B84" s="15" t="s">
        <v>756</v>
      </c>
      <c r="D84" s="6"/>
      <c r="E84" s="6"/>
      <c r="F84" s="20">
        <v>5</v>
      </c>
      <c r="G84" s="6"/>
      <c r="H84" s="6"/>
    </row>
    <row r="85" spans="1:8">
      <c r="A85" s="15"/>
      <c r="B85" s="16"/>
      <c r="D85" s="6"/>
      <c r="E85" s="6"/>
      <c r="F85" s="20"/>
      <c r="G85" s="6"/>
      <c r="H85" s="6"/>
    </row>
    <row r="86" spans="1:8">
      <c r="A86" s="19"/>
      <c r="B86" s="21"/>
      <c r="D86" s="6"/>
      <c r="E86" s="6"/>
      <c r="F86" s="22"/>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B107" s="7"/>
      <c r="C107" s="6"/>
      <c r="D107" s="6"/>
      <c r="E107" s="6"/>
      <c r="F107" s="6"/>
      <c r="G107" s="6"/>
      <c r="H107" s="6"/>
    </row>
    <row r="108" spans="1:8">
      <c r="A108" s="6"/>
      <c r="B108" s="7"/>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B121" s="7"/>
      <c r="C121" s="6"/>
      <c r="D121" s="6"/>
      <c r="E121" s="6"/>
      <c r="F121" s="6"/>
      <c r="G121" s="6"/>
      <c r="H121" s="6"/>
    </row>
    <row r="122" spans="1:8">
      <c r="A122" s="6"/>
      <c r="B122" s="7"/>
      <c r="C122" s="6"/>
      <c r="D122" s="6"/>
      <c r="E122" s="6"/>
      <c r="F122" s="6"/>
      <c r="G122" s="6"/>
      <c r="H122" s="6"/>
    </row>
    <row r="123" spans="1:8">
      <c r="A123" s="6"/>
      <c r="B123" s="7"/>
      <c r="C123" s="6"/>
      <c r="D123" s="6"/>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6"/>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row r="137" spans="1:8">
      <c r="A137" s="6"/>
      <c r="B137" s="7"/>
      <c r="C137" s="6"/>
      <c r="D137" s="6"/>
      <c r="E137" s="6"/>
      <c r="F137" s="6"/>
      <c r="G137" s="6"/>
      <c r="H137" s="6"/>
    </row>
    <row r="138" spans="1:8">
      <c r="A138" s="6"/>
      <c r="B138" s="7"/>
      <c r="C138" s="6"/>
      <c r="D138" s="6"/>
      <c r="E138" s="6"/>
      <c r="F138" s="6"/>
      <c r="G138" s="6"/>
      <c r="H138" s="6"/>
    </row>
    <row r="139" spans="1:8">
      <c r="A139" s="6"/>
      <c r="B139" s="7"/>
      <c r="C139" s="6"/>
      <c r="D139" s="6"/>
      <c r="E139" s="6"/>
      <c r="F139" s="6"/>
      <c r="G139" s="6"/>
      <c r="H139" s="6"/>
    </row>
    <row r="140" spans="1:8">
      <c r="A140" s="6"/>
      <c r="B140" s="7"/>
      <c r="C140" s="6"/>
      <c r="D140" s="6"/>
      <c r="E140" s="6"/>
      <c r="F140" s="6"/>
      <c r="G140" s="6"/>
      <c r="H140" s="6"/>
    </row>
    <row r="141" spans="1:8">
      <c r="A141" s="6"/>
      <c r="B141" s="7"/>
      <c r="C141" s="6"/>
      <c r="D141" s="6"/>
      <c r="E141" s="6"/>
      <c r="F141" s="6"/>
      <c r="G141" s="6"/>
      <c r="H141" s="6"/>
    </row>
    <row r="142" spans="1:8">
      <c r="A142" s="6"/>
      <c r="B142" s="7"/>
      <c r="C142" s="6"/>
      <c r="D142" s="6"/>
      <c r="E142" s="6"/>
      <c r="F142" s="6"/>
      <c r="G142" s="6"/>
      <c r="H142" s="6"/>
    </row>
    <row r="143" spans="1:8">
      <c r="A143" s="6"/>
      <c r="B143" s="7"/>
      <c r="C143" s="6"/>
      <c r="D143" s="6"/>
      <c r="E143" s="6"/>
      <c r="F143" s="6"/>
      <c r="G143" s="6"/>
      <c r="H143" s="6"/>
    </row>
    <row r="144" spans="1:8">
      <c r="A144" s="6"/>
      <c r="B144" s="7"/>
      <c r="C144" s="6"/>
      <c r="D144" s="6"/>
      <c r="E144" s="6"/>
      <c r="F144" s="6"/>
      <c r="G144" s="6"/>
      <c r="H144" s="6"/>
    </row>
    <row r="145" spans="1:8">
      <c r="A145" s="6"/>
      <c r="B145" s="7"/>
      <c r="C145" s="6"/>
      <c r="D145" s="6"/>
      <c r="E145" s="6"/>
      <c r="F145" s="6"/>
      <c r="G145" s="6"/>
      <c r="H145" s="6"/>
    </row>
    <row r="146" spans="1:8">
      <c r="A146" s="6"/>
      <c r="B146" s="7"/>
      <c r="C146" s="6"/>
      <c r="D146" s="6"/>
      <c r="E146" s="6"/>
      <c r="F146" s="6"/>
      <c r="G146" s="6"/>
      <c r="H146" s="6"/>
    </row>
    <row r="147" spans="1:8">
      <c r="A147" s="6"/>
      <c r="B147" s="7"/>
      <c r="C147" s="6"/>
      <c r="D147" s="6"/>
      <c r="E147" s="6"/>
      <c r="F147" s="6"/>
      <c r="G147" s="6"/>
      <c r="H147" s="6"/>
    </row>
    <row r="148" spans="1:8">
      <c r="A148" s="6"/>
      <c r="B148" s="7"/>
      <c r="C148" s="6"/>
      <c r="D148" s="6"/>
      <c r="E148" s="6"/>
      <c r="F148" s="6"/>
      <c r="G148" s="6"/>
      <c r="H148" s="6"/>
    </row>
    <row r="149" spans="1:8">
      <c r="A149" s="6"/>
      <c r="B149" s="7"/>
      <c r="C149" s="6"/>
      <c r="D149" s="6"/>
      <c r="E149" s="6"/>
      <c r="F149" s="6"/>
      <c r="G149" s="6"/>
      <c r="H149" s="6"/>
    </row>
    <row r="150" spans="1:8">
      <c r="A150" s="6"/>
      <c r="B150" s="7"/>
      <c r="C150" s="6"/>
      <c r="D150" s="6"/>
      <c r="E150" s="6"/>
      <c r="F150" s="6"/>
      <c r="G150" s="6"/>
      <c r="H150" s="6"/>
    </row>
    <row r="151" spans="1:8">
      <c r="A151" s="6"/>
      <c r="B151" s="7"/>
      <c r="C151" s="6"/>
      <c r="D151" s="6"/>
      <c r="E151" s="6"/>
      <c r="F151" s="6"/>
      <c r="G151" s="6"/>
      <c r="H151" s="6"/>
    </row>
    <row r="152" spans="1:8">
      <c r="A152" s="6"/>
      <c r="B152" s="7"/>
      <c r="C152" s="6"/>
      <c r="D152" s="6"/>
      <c r="E152" s="6"/>
      <c r="F152" s="6"/>
      <c r="G152" s="6"/>
      <c r="H152" s="6"/>
    </row>
    <row r="153" spans="1:8">
      <c r="A153" s="6"/>
      <c r="B153" s="7"/>
      <c r="C153" s="6"/>
      <c r="D153" s="6"/>
      <c r="E153" s="6"/>
      <c r="F153" s="6"/>
      <c r="G153" s="6"/>
      <c r="H153" s="6"/>
    </row>
    <row r="154" spans="1:8">
      <c r="A154" s="6"/>
      <c r="B154" s="7"/>
      <c r="C154" s="6"/>
      <c r="D154" s="6"/>
      <c r="E154" s="6"/>
      <c r="F154" s="6"/>
      <c r="G154" s="6"/>
      <c r="H154" s="6"/>
    </row>
    <row r="155" spans="1:8">
      <c r="A155" s="6"/>
      <c r="B155" s="7"/>
      <c r="C155" s="6"/>
      <c r="D155" s="6"/>
      <c r="E155" s="6"/>
      <c r="F155" s="6"/>
      <c r="G155" s="6"/>
      <c r="H155" s="6"/>
    </row>
    <row r="156" spans="1:8">
      <c r="A156" s="6"/>
      <c r="B156" s="7"/>
      <c r="C156" s="6"/>
      <c r="D156" s="6"/>
      <c r="E156" s="6"/>
      <c r="F156" s="6"/>
      <c r="G156" s="6"/>
      <c r="H156" s="6"/>
    </row>
    <row r="157" spans="1:8">
      <c r="A157" s="6"/>
      <c r="B157" s="7"/>
      <c r="C157" s="6"/>
      <c r="D157" s="6"/>
      <c r="E157" s="6"/>
      <c r="F157" s="6"/>
      <c r="G157" s="6"/>
      <c r="H157" s="6"/>
    </row>
    <row r="158" spans="1:8">
      <c r="A158" s="6"/>
      <c r="B158" s="7"/>
      <c r="C158" s="6"/>
      <c r="D158" s="6"/>
      <c r="E158" s="6"/>
      <c r="F158" s="6"/>
      <c r="G158" s="6"/>
      <c r="H158" s="6"/>
    </row>
    <row r="159" spans="1:8">
      <c r="A159" s="6"/>
      <c r="B159" s="7"/>
      <c r="C159" s="6"/>
      <c r="D159" s="6"/>
      <c r="E159" s="6"/>
      <c r="F159" s="6"/>
      <c r="G159" s="6"/>
      <c r="H159" s="6"/>
    </row>
    <row r="160" spans="1:8">
      <c r="A160" s="6"/>
      <c r="B160" s="7"/>
      <c r="C160" s="6"/>
      <c r="D160" s="6"/>
      <c r="E160" s="6"/>
      <c r="F160" s="6"/>
      <c r="G160" s="6"/>
      <c r="H160" s="6"/>
    </row>
    <row r="161" spans="1:8">
      <c r="A161" s="6"/>
      <c r="B161" s="7"/>
      <c r="C161" s="6"/>
      <c r="D161" s="6"/>
      <c r="E161" s="6"/>
      <c r="F161" s="6"/>
      <c r="G161" s="6"/>
      <c r="H161" s="6"/>
    </row>
    <row r="162" spans="1:8">
      <c r="A162" s="6"/>
      <c r="B162" s="7"/>
      <c r="C162" s="6"/>
      <c r="D162" s="6"/>
      <c r="E162" s="6"/>
      <c r="F162" s="6"/>
      <c r="G162" s="6"/>
      <c r="H162" s="6"/>
    </row>
    <row r="163" spans="1:8">
      <c r="A163" s="6"/>
      <c r="B163" s="7"/>
      <c r="C163" s="6"/>
      <c r="D163" s="7"/>
      <c r="E163" s="6"/>
      <c r="F163" s="6"/>
      <c r="G163" s="6"/>
      <c r="H163" s="6"/>
    </row>
    <row r="164" spans="1:8">
      <c r="A164" s="6"/>
      <c r="B164" s="7"/>
      <c r="C164" s="6"/>
      <c r="D164" s="6"/>
      <c r="E164" s="6"/>
      <c r="F164" s="6"/>
      <c r="G164" s="6"/>
      <c r="H164" s="6"/>
    </row>
    <row r="165" spans="1:8">
      <c r="A165" s="6"/>
      <c r="B165" s="7"/>
      <c r="C165" s="6"/>
      <c r="D165" s="6"/>
      <c r="E165" s="6"/>
      <c r="F165" s="6"/>
      <c r="G165" s="6"/>
      <c r="H165" s="6"/>
    </row>
    <row r="166" spans="1:8">
      <c r="A166" s="6"/>
      <c r="B166" s="7"/>
      <c r="C166" s="6"/>
      <c r="D166" s="6"/>
      <c r="E166" s="6"/>
      <c r="F166" s="6"/>
      <c r="G166" s="6"/>
      <c r="H166" s="6"/>
    </row>
    <row r="167" spans="1:8">
      <c r="A167" s="6"/>
      <c r="B167" s="7"/>
      <c r="C167" s="6"/>
      <c r="D167" s="6"/>
      <c r="E167" s="6"/>
      <c r="F167" s="6"/>
      <c r="G167" s="6"/>
      <c r="H167" s="6"/>
    </row>
    <row r="168" spans="1:8">
      <c r="A168" s="6"/>
      <c r="B168" s="7"/>
      <c r="C168" s="6"/>
      <c r="D168" s="6"/>
      <c r="E168" s="6"/>
      <c r="F168" s="6"/>
      <c r="G168" s="6"/>
      <c r="H168" s="6"/>
    </row>
    <row r="169" spans="1:8">
      <c r="A169" s="6"/>
      <c r="B169" s="7"/>
      <c r="C169" s="7"/>
      <c r="D169" s="6"/>
      <c r="E169" s="6"/>
      <c r="F169" s="6"/>
      <c r="G169" s="6"/>
      <c r="H169" s="6"/>
    </row>
    <row r="170" spans="1:8">
      <c r="A170" s="6"/>
      <c r="B170" s="7"/>
      <c r="C170" s="6"/>
      <c r="D170" s="6"/>
      <c r="E170" s="6"/>
      <c r="F170" s="6"/>
      <c r="G170" s="6"/>
      <c r="H170" s="6"/>
    </row>
    <row r="171" spans="1:8">
      <c r="A171" s="6"/>
      <c r="B171" s="7"/>
      <c r="C171" s="6"/>
      <c r="D171" s="6"/>
      <c r="E171" s="6"/>
      <c r="F171" s="6"/>
      <c r="G171" s="6"/>
      <c r="H171" s="6"/>
    </row>
    <row r="172" spans="1:8">
      <c r="A172" s="6"/>
      <c r="B172" s="7"/>
      <c r="C172" s="6"/>
      <c r="D172" s="6"/>
      <c r="E172" s="6"/>
      <c r="F172" s="6"/>
      <c r="G172" s="6"/>
      <c r="H172" s="6"/>
    </row>
    <row r="173" spans="1:8">
      <c r="A173" s="6"/>
      <c r="B173" s="7"/>
      <c r="C173" s="6"/>
      <c r="D173" s="6"/>
      <c r="E173" s="6"/>
      <c r="F173" s="6"/>
      <c r="G173" s="6"/>
      <c r="H173" s="6"/>
    </row>
    <row r="174" spans="1:8">
      <c r="A174" s="6"/>
      <c r="B174" s="7"/>
      <c r="C174" s="6"/>
      <c r="D174" s="6"/>
      <c r="E174" s="6"/>
      <c r="F174" s="6"/>
      <c r="G174" s="6"/>
      <c r="H174" s="6"/>
    </row>
    <row r="175" spans="1:8">
      <c r="A175" s="6"/>
      <c r="B175" s="7"/>
      <c r="C175" s="6"/>
      <c r="D175" s="6"/>
      <c r="E175" s="6"/>
      <c r="F175" s="6"/>
      <c r="G175" s="6"/>
      <c r="H175" s="6"/>
    </row>
    <row r="176" spans="1:8">
      <c r="A176" s="6"/>
      <c r="B176" s="7"/>
      <c r="C176" s="6"/>
      <c r="D176" s="6"/>
      <c r="E176" s="6"/>
      <c r="F176" s="6"/>
      <c r="G176" s="6"/>
      <c r="H176" s="6"/>
    </row>
  </sheetData>
  <mergeCells count="1">
    <mergeCell ref="V3:AA3"/>
  </mergeCells>
  <dataValidations count="9">
    <dataValidation type="list" allowBlank="1" showInputMessage="1" showErrorMessage="1" sqref="L4">
      <formula1>INDEX(Medidas,0,MATCH(OFFSET(INDIRECT(ADDRESS(ROW(), COLUMN())),0,-2),categoriasDeMedidas,0))</formula1>
    </dataValidation>
    <dataValidation type="list" allowBlank="1" showInputMessage="1" showErrorMessage="1" sqref="A141 A145:A148 A152:A157 A159:A168 A170:A173 A175:A1048576 J4:J8 B33 B37:B39 B26:B27 B17 B20 J10:J1048576 B46:B47 A1:A54 B57:B60 A56:A59 B62:B63 A61:A79 B83:B84 A81:A139">
      <formula1>categorias</formula1>
    </dataValidation>
    <dataValidation type="list" allowBlank="1" showInputMessage="1" showErrorMessage="1" sqref="C1">
      <formula1>Medidas</formula1>
    </dataValidation>
    <dataValidation type="list" allowBlank="1" showInputMessage="1" showErrorMessage="1" sqref="P4">
      <formula1>BolsosMovil54</formula1>
    </dataValidation>
    <dataValidation type="list" allowBlank="1" showInputMessage="1" showErrorMessage="1" sqref="H176 G75:G1048576 G1">
      <formula1>CajonerasMovil54</formula1>
    </dataValidation>
    <dataValidation type="list" allowBlank="1" showInputMessage="1" showErrorMessage="1" sqref="H177:H1048576 L1:L3 H75:H175 H54:H73 H1 H47:H52 L46:L1048576">
      <formula1>INDEX(Compartimentosmovil54,0,MATCH(OFFSET(INDIRECT(ADDRESS(ROW(), COLUMN())),0,-1),CajonerasMovil54,0))</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G2:G43">
      <formula1>$V$4:$Y$4</formula1>
    </dataValidation>
    <dataValidation type="list" allowBlank="1" showInputMessage="1" showErrorMessage="1" sqref="H2:H43">
      <formula1>INDEX($V$5:$Y$12,0,MATCH(OFFSET(INDIRECT(ADDRESS(ROW(), COLUMN())),0,-1),$V$4:$Y$4,0))</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1">
        <x14:dataValidation type="list" allowBlank="1" showInputMessage="1" showErrorMessage="1" xr:uid="{B59AF2C0-016A-4EC0-90B8-50568121AA10}">
          <x14:formula1>
            <xm:f>Configuracion!$G$2:$G$3</xm:f>
          </x14:formula1>
          <xm:sqref>C167:C168</xm:sqref>
        </x14:dataValidation>
        <x14:dataValidation type="list" allowBlank="1" showInputMessage="1" showErrorMessage="1" xr:uid="{1084469E-5BE7-425C-B0FB-85919E95A8C6}">
          <x14:formula1>
            <xm:f>Configuracion!$F$2:$F$8</xm:f>
          </x14:formula1>
          <xm:sqref>C101:C102</xm:sqref>
        </x14:dataValidation>
        <x14:dataValidation type="list" allowBlank="1" showInputMessage="1" showErrorMessage="1" xr:uid="{E3A03781-9ABE-4D5A-A2BB-06629427BFD4}">
          <x14:formula1>
            <xm:f>Configuracion!$F$2:$F$9</xm:f>
          </x14:formula1>
          <xm:sqref>C103</xm:sqref>
        </x14:dataValidation>
        <x14:dataValidation type="list" allowBlank="1" showInputMessage="1" showErrorMessage="1" xr:uid="{01F8FFCD-FD6A-49A7-B86B-89837EE1B14B}">
          <x14:formula1>
            <xm:f>Configuracion!$F$2:$F$10</xm:f>
          </x14:formula1>
          <xm:sqref>C104:C105 C165:C166</xm:sqref>
        </x14:dataValidation>
        <x14:dataValidation type="list" allowBlank="1" showInputMessage="1" showErrorMessage="1" xr:uid="{C7943D7D-4E56-440B-8FDB-381857488C89}">
          <x14:formula1>
            <xm:f>Configuracion!$Q$2:$Q$7</xm:f>
          </x14:formula1>
          <xm:sqref>C106:C107 C93 C110</xm:sqref>
        </x14:dataValidation>
        <x14:dataValidation type="list" allowBlank="1" showInputMessage="1" showErrorMessage="1" xr:uid="{B9A9E1EE-5EBE-4560-83F0-170959353180}">
          <x14:formula1>
            <xm:f>Configuracion!$S$2:$S$10</xm:f>
          </x14:formula1>
          <xm:sqref>C136 C140:C141 C145</xm:sqref>
        </x14:dataValidation>
        <x14:dataValidation type="list" allowBlank="1" showInputMessage="1" showErrorMessage="1" xr:uid="{AEBCC832-432B-4942-8FF6-6A206FC8C5F0}">
          <x14:formula1>
            <xm:f>Configuracion!$N$2:$N$9</xm:f>
          </x14:formula1>
          <xm:sqref>C160 C162 C66</xm:sqref>
        </x14:dataValidation>
        <x14:dataValidation type="list" allowBlank="1" showInputMessage="1" showErrorMessage="1" xr:uid="{900753C3-5B8E-492B-972B-05C4B32BF809}">
          <x14:formula1>
            <xm:f>Configuracion!$P$2:$P$4</xm:f>
          </x14:formula1>
          <xm:sqref>C92</xm:sqref>
        </x14:dataValidation>
        <x14:dataValidation type="list" allowBlank="1" showInputMessage="1" showErrorMessage="1" xr:uid="{35A81012-2580-47A8-ACA3-38AEEE36B28F}">
          <x14:formula1>
            <xm:f>Configuracion!$W$2:$W$3</xm:f>
          </x14:formula1>
          <xm:sqref>C2:C5</xm:sqref>
        </x14:dataValidation>
        <x14:dataValidation type="list" allowBlank="1" showInputMessage="1" showErrorMessage="1" xr:uid="{2AB70480-88FC-4B07-8F82-498AAC6D6A02}">
          <x14:formula1>
            <xm:f>Configuracion!$W$2:$W$6</xm:f>
          </x14:formula1>
          <xm:sqref>C7</xm:sqref>
        </x14:dataValidation>
        <x14:dataValidation type="list" allowBlank="1" showInputMessage="1" showErrorMessage="1" xr:uid="{5DBE5CEC-E947-43C8-83B5-0FA99221609A}">
          <x14:formula1>
            <xm:f>Configuracion!$W$2:$W$8</xm:f>
          </x14:formula1>
          <xm:sqref>C8:C10</xm:sqref>
        </x14:dataValidation>
        <x14:dataValidation type="list" allowBlank="1" showInputMessage="1" showErrorMessage="1" xr:uid="{BCF77E93-56C6-4D44-ABAC-165B3D8B790B}">
          <x14:formula1>
            <xm:f>Configuracion!$W$2:$W$9</xm:f>
          </x14:formula1>
          <xm:sqref>C11:C14</xm:sqref>
        </x14:dataValidation>
        <x14:dataValidation type="list" allowBlank="1" showInputMessage="1" showErrorMessage="1" xr:uid="{50670EAF-293C-4E99-B05C-AD73D8500F6A}">
          <x14:formula1>
            <xm:f>Configuracion!$F$2:$F$12</xm:f>
          </x14:formula1>
          <xm:sqref>C15</xm:sqref>
        </x14:dataValidation>
        <x14:dataValidation type="list" allowBlank="1" showInputMessage="1" showErrorMessage="1" xr:uid="{4FBA0B70-3713-47DF-B34C-58AD8C44D6F0}">
          <x14:formula1>
            <xm:f>Configuracion!$X$2:$X$5</xm:f>
          </x14:formula1>
          <xm:sqref>C48 C53:C54 C69:C72</xm:sqref>
        </x14:dataValidation>
        <x14:dataValidation type="list" allowBlank="1" showInputMessage="1" showErrorMessage="1" xr:uid="{C0E7856C-918C-498B-91EB-FC00526D313A}">
          <x14:formula1>
            <xm:f>Configuracion!$G$2:$G$6</xm:f>
          </x14:formula1>
          <xm:sqref>C65 C67:C68</xm:sqref>
        </x14:dataValidation>
        <x14:dataValidation type="list" allowBlank="1" showInputMessage="1" showErrorMessage="1" xr:uid="{DF18E680-88D1-4784-B197-A00BAF5EC80B}">
          <x14:formula1>
            <xm:f>Configuracion!$O$2:$O$9</xm:f>
          </x14:formula1>
          <xm:sqref>C74</xm:sqref>
        </x14:dataValidation>
        <x14:dataValidation type="list" allowBlank="1" showInputMessage="1" showErrorMessage="1" xr:uid="{1AE2B53A-557B-4CE3-8C40-348C2CCD1D7A}">
          <x14:formula1>
            <xm:f>Configuracion!$F$2:$F$13</xm:f>
          </x14:formula1>
          <xm:sqref>C76:C77</xm:sqref>
        </x14:dataValidation>
        <x14:dataValidation type="list" allowBlank="1" showInputMessage="1" showErrorMessage="1" xr:uid="{AAF9B276-B971-4029-A3D3-8626AB1B2BF8}">
          <x14:formula1>
            <xm:f>Configuracion!$F$2:$F$14</xm:f>
          </x14:formula1>
          <xm:sqref>C78</xm:sqref>
        </x14:dataValidation>
        <x14:dataValidation type="list" allowBlank="1" showInputMessage="1" showErrorMessage="1" xr:uid="{BCA5FF58-E674-4F60-AEF6-2F4A6E8678DC}">
          <x14:formula1>
            <xm:f>Configuracion!$F$2:$F$15</xm:f>
          </x14:formula1>
          <xm:sqref>C79</xm:sqref>
        </x14:dataValidation>
        <x14:dataValidation type="list" allowBlank="1" showInputMessage="1" showErrorMessage="1" xr:uid="{17EA0A5E-8960-4309-A0B2-8F9FC94700BC}">
          <x14:formula1>
            <xm:f>Configuracion!$A$2:$A$72</xm:f>
          </x14:formula1>
          <xm:sqref>J1:J3</xm:sqref>
        </x14:dataValidation>
        <x14:dataValidation type="list" allowBlank="1" showInputMessage="1" showErrorMessage="1" xr:uid="{98B4A17D-52EB-4D3B-AC00-F9AAC4CB66C4}">
          <x14:formula1>
            <xm:f>Configuracion!$I$2:$I$6</xm:f>
          </x14:formula1>
          <xm:sqref>C176 C45</xm:sqref>
        </x14:dataValidation>
      </x14:dataValidations>
    </ext>
  </extLst>
</worksheet>
</file>

<file path=xl/worksheets/sheet12.xml><?xml version="1.0" encoding="utf-8"?>
<worksheet xmlns="http://schemas.openxmlformats.org/spreadsheetml/2006/main" xmlns:r="http://schemas.openxmlformats.org/officeDocument/2006/relationships">
  <sheetPr codeName="Sheet13"/>
  <dimension ref="A1:AB136"/>
  <sheetViews>
    <sheetView workbookViewId="0">
      <pane ySplit="1" topLeftCell="A48" activePane="bottomLeft" state="frozen"/>
      <selection pane="bottomLeft" activeCell="C31" sqref="C31"/>
    </sheetView>
  </sheetViews>
  <sheetFormatPr baseColWidth="10" defaultColWidth="9.140625" defaultRowHeight="15"/>
  <cols>
    <col min="1" max="1" width="26.42578125" style="4" bestFit="1" customWidth="1"/>
    <col min="2" max="2" width="15.42578125"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29.85546875" bestFit="1" customWidth="1"/>
    <col min="12" max="12" width="11" bestFit="1" customWidth="1"/>
    <col min="13" max="13" width="8.5703125" bestFit="1" customWidth="1"/>
    <col min="14" max="14" width="13.140625" bestFit="1" customWidth="1"/>
    <col min="15" max="15" width="21"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28">
      <c r="A1" s="4" t="s">
        <v>0</v>
      </c>
      <c r="B1" s="5" t="s">
        <v>1</v>
      </c>
      <c r="C1" s="4" t="s">
        <v>2</v>
      </c>
      <c r="D1" s="4" t="s">
        <v>3</v>
      </c>
      <c r="E1" s="4" t="s">
        <v>4</v>
      </c>
      <c r="F1" s="4" t="s">
        <v>236</v>
      </c>
      <c r="G1" s="4" t="s">
        <v>13</v>
      </c>
      <c r="H1" s="4" t="s">
        <v>228</v>
      </c>
    </row>
    <row r="2" spans="1:28">
      <c r="A2" s="4" t="s">
        <v>207</v>
      </c>
      <c r="B2" s="7">
        <v>2016</v>
      </c>
      <c r="C2" s="6"/>
      <c r="D2" s="6"/>
      <c r="E2" s="6"/>
      <c r="F2" s="6">
        <v>1</v>
      </c>
      <c r="G2" s="6" t="s">
        <v>231</v>
      </c>
      <c r="H2" s="6" t="s">
        <v>7</v>
      </c>
    </row>
    <row r="3" spans="1:28">
      <c r="A3" s="6" t="s">
        <v>209</v>
      </c>
      <c r="B3" s="7"/>
      <c r="C3" s="6" t="s">
        <v>163</v>
      </c>
      <c r="D3" s="6"/>
      <c r="E3" s="6"/>
      <c r="F3" s="6">
        <v>1</v>
      </c>
      <c r="G3" s="6" t="s">
        <v>231</v>
      </c>
      <c r="H3" s="6" t="s">
        <v>7</v>
      </c>
      <c r="J3" t="s">
        <v>0</v>
      </c>
      <c r="K3" t="s">
        <v>1</v>
      </c>
      <c r="L3" t="s">
        <v>2</v>
      </c>
      <c r="M3" s="4" t="s">
        <v>3</v>
      </c>
      <c r="N3" s="4" t="s">
        <v>4</v>
      </c>
      <c r="O3" s="4" t="s">
        <v>236</v>
      </c>
      <c r="P3" t="s">
        <v>14</v>
      </c>
      <c r="T3" t="s">
        <v>28</v>
      </c>
      <c r="V3" s="26" t="s">
        <v>226</v>
      </c>
      <c r="W3" s="26"/>
      <c r="X3" s="26"/>
      <c r="Y3" s="26"/>
      <c r="Z3" s="26"/>
      <c r="AA3" s="26"/>
    </row>
    <row r="4" spans="1:28" ht="30">
      <c r="A4" s="6" t="s">
        <v>253</v>
      </c>
      <c r="B4" s="7" t="s">
        <v>777</v>
      </c>
      <c r="C4" s="6"/>
      <c r="D4" s="6"/>
      <c r="E4" s="6"/>
      <c r="F4" s="6">
        <v>1</v>
      </c>
      <c r="G4" s="6" t="s">
        <v>231</v>
      </c>
      <c r="H4" s="6" t="s">
        <v>7</v>
      </c>
      <c r="J4" t="s">
        <v>153</v>
      </c>
      <c r="K4" t="s">
        <v>438</v>
      </c>
      <c r="O4">
        <v>1</v>
      </c>
      <c r="P4" t="s">
        <v>29</v>
      </c>
      <c r="T4" t="s">
        <v>29</v>
      </c>
      <c r="V4" t="s">
        <v>231</v>
      </c>
      <c r="W4" t="s">
        <v>8</v>
      </c>
      <c r="X4" t="s">
        <v>5</v>
      </c>
      <c r="Y4" t="s">
        <v>6</v>
      </c>
      <c r="Z4" t="s">
        <v>9</v>
      </c>
      <c r="AA4" t="s">
        <v>781</v>
      </c>
      <c r="AB4" t="s">
        <v>36</v>
      </c>
    </row>
    <row r="5" spans="1:28" ht="30">
      <c r="A5" s="6" t="s">
        <v>679</v>
      </c>
      <c r="B5" s="7" t="s">
        <v>778</v>
      </c>
      <c r="C5" s="6"/>
      <c r="D5" s="6"/>
      <c r="E5" s="6"/>
      <c r="F5" s="6">
        <v>1</v>
      </c>
      <c r="G5" s="6" t="s">
        <v>231</v>
      </c>
      <c r="H5" s="6" t="s">
        <v>7</v>
      </c>
      <c r="J5" t="s">
        <v>153</v>
      </c>
      <c r="K5" t="s">
        <v>439</v>
      </c>
      <c r="O5">
        <v>1</v>
      </c>
      <c r="P5" t="s">
        <v>29</v>
      </c>
      <c r="V5" t="s">
        <v>7</v>
      </c>
      <c r="W5" t="s">
        <v>791</v>
      </c>
      <c r="X5" t="s">
        <v>791</v>
      </c>
      <c r="Y5" t="s">
        <v>791</v>
      </c>
      <c r="Z5" t="s">
        <v>791</v>
      </c>
      <c r="AA5" t="s">
        <v>791</v>
      </c>
      <c r="AB5" t="s">
        <v>804</v>
      </c>
    </row>
    <row r="6" spans="1:28">
      <c r="A6" s="6" t="s">
        <v>779</v>
      </c>
      <c r="B6" s="7"/>
      <c r="C6" s="6"/>
      <c r="D6" s="6"/>
      <c r="E6" s="6"/>
      <c r="F6" s="6">
        <v>1</v>
      </c>
      <c r="G6" s="6" t="s">
        <v>231</v>
      </c>
      <c r="H6" s="6" t="s">
        <v>7</v>
      </c>
      <c r="J6" t="s">
        <v>373</v>
      </c>
      <c r="K6" t="s">
        <v>155</v>
      </c>
      <c r="O6">
        <v>5</v>
      </c>
      <c r="P6" t="s">
        <v>29</v>
      </c>
      <c r="V6" t="s">
        <v>791</v>
      </c>
    </row>
    <row r="7" spans="1:28">
      <c r="A7" s="6" t="s">
        <v>188</v>
      </c>
      <c r="B7" s="7" t="s">
        <v>780</v>
      </c>
      <c r="C7" s="6"/>
      <c r="D7" s="6"/>
      <c r="E7" s="6"/>
      <c r="F7" s="6">
        <v>1</v>
      </c>
      <c r="G7" s="6" t="s">
        <v>231</v>
      </c>
      <c r="H7" s="6" t="s">
        <v>7</v>
      </c>
      <c r="J7" t="s">
        <v>373</v>
      </c>
      <c r="K7" t="s">
        <v>456</v>
      </c>
      <c r="O7">
        <v>2</v>
      </c>
      <c r="P7" t="s">
        <v>29</v>
      </c>
    </row>
    <row r="8" spans="1:28">
      <c r="A8" s="6" t="s">
        <v>192</v>
      </c>
      <c r="B8" s="7"/>
      <c r="C8" s="6"/>
      <c r="D8" s="6"/>
      <c r="E8" s="6"/>
      <c r="F8" s="6">
        <v>1</v>
      </c>
      <c r="G8" s="6" t="s">
        <v>231</v>
      </c>
      <c r="H8" s="6" t="s">
        <v>7</v>
      </c>
      <c r="J8" t="s">
        <v>153</v>
      </c>
      <c r="K8" t="s">
        <v>591</v>
      </c>
      <c r="O8">
        <v>1</v>
      </c>
      <c r="P8" t="s">
        <v>29</v>
      </c>
    </row>
    <row r="9" spans="1:28">
      <c r="A9" s="6" t="s">
        <v>390</v>
      </c>
      <c r="B9" s="7"/>
      <c r="C9" s="6" t="s">
        <v>627</v>
      </c>
      <c r="D9" s="6"/>
      <c r="E9" s="6"/>
      <c r="F9" s="6">
        <v>1</v>
      </c>
      <c r="G9" s="23" t="s">
        <v>781</v>
      </c>
      <c r="H9" t="s">
        <v>791</v>
      </c>
      <c r="J9" t="s">
        <v>141</v>
      </c>
      <c r="K9" t="s">
        <v>246</v>
      </c>
      <c r="O9">
        <v>1</v>
      </c>
      <c r="P9" t="s">
        <v>29</v>
      </c>
    </row>
    <row r="10" spans="1:28">
      <c r="A10" s="6" t="s">
        <v>390</v>
      </c>
      <c r="B10" s="7"/>
      <c r="C10" s="6" t="s">
        <v>628</v>
      </c>
      <c r="D10" s="6"/>
      <c r="E10" s="6"/>
      <c r="F10" s="6">
        <v>2</v>
      </c>
      <c r="G10" s="23" t="s">
        <v>781</v>
      </c>
      <c r="H10" t="s">
        <v>791</v>
      </c>
      <c r="J10" t="s">
        <v>153</v>
      </c>
      <c r="K10" t="s">
        <v>785</v>
      </c>
      <c r="O10">
        <v>1</v>
      </c>
      <c r="P10" t="s">
        <v>29</v>
      </c>
    </row>
    <row r="11" spans="1:28">
      <c r="A11" s="6" t="s">
        <v>390</v>
      </c>
      <c r="B11" s="7"/>
      <c r="C11" s="6" t="s">
        <v>782</v>
      </c>
      <c r="D11" s="6"/>
      <c r="E11" s="6"/>
      <c r="F11" s="6">
        <v>2</v>
      </c>
      <c r="G11" s="23" t="s">
        <v>781</v>
      </c>
      <c r="H11" t="s">
        <v>791</v>
      </c>
      <c r="J11" t="s">
        <v>153</v>
      </c>
      <c r="K11" t="s">
        <v>786</v>
      </c>
      <c r="O11">
        <v>1</v>
      </c>
      <c r="P11" t="s">
        <v>29</v>
      </c>
    </row>
    <row r="12" spans="1:28">
      <c r="A12" s="6" t="s">
        <v>783</v>
      </c>
      <c r="B12" s="7"/>
      <c r="C12" s="6"/>
      <c r="D12" s="6"/>
      <c r="E12" s="6"/>
      <c r="F12" s="6">
        <v>1</v>
      </c>
      <c r="G12" s="23" t="s">
        <v>781</v>
      </c>
      <c r="H12" t="s">
        <v>791</v>
      </c>
      <c r="J12" t="s">
        <v>153</v>
      </c>
      <c r="K12" t="s">
        <v>647</v>
      </c>
      <c r="O12">
        <v>1</v>
      </c>
      <c r="P12" t="s">
        <v>29</v>
      </c>
    </row>
    <row r="13" spans="1:28">
      <c r="A13" s="6" t="s">
        <v>784</v>
      </c>
      <c r="B13" s="7"/>
      <c r="C13" s="6"/>
      <c r="D13" s="6"/>
      <c r="E13" s="6"/>
      <c r="F13" s="6">
        <v>4</v>
      </c>
      <c r="G13" s="23" t="s">
        <v>781</v>
      </c>
      <c r="H13" t="s">
        <v>791</v>
      </c>
      <c r="J13" t="s">
        <v>153</v>
      </c>
      <c r="K13" t="s">
        <v>20</v>
      </c>
      <c r="O13">
        <v>2</v>
      </c>
      <c r="P13" t="s">
        <v>29</v>
      </c>
    </row>
    <row r="14" spans="1:28">
      <c r="A14" s="6" t="s">
        <v>143</v>
      </c>
      <c r="B14" s="7"/>
      <c r="C14" s="6"/>
      <c r="D14" s="6"/>
      <c r="E14" s="6"/>
      <c r="F14" s="6">
        <v>1</v>
      </c>
      <c r="G14" s="23" t="s">
        <v>781</v>
      </c>
      <c r="H14" t="s">
        <v>791</v>
      </c>
      <c r="J14" t="s">
        <v>153</v>
      </c>
      <c r="K14" t="s">
        <v>268</v>
      </c>
      <c r="O14">
        <v>1</v>
      </c>
      <c r="P14" t="s">
        <v>29</v>
      </c>
    </row>
    <row r="15" spans="1:28">
      <c r="A15" s="6" t="s">
        <v>88</v>
      </c>
      <c r="B15" s="7" t="s">
        <v>516</v>
      </c>
      <c r="C15" s="6"/>
      <c r="D15" s="6"/>
      <c r="E15" s="6"/>
      <c r="F15" s="6">
        <v>2</v>
      </c>
      <c r="G15" s="23" t="s">
        <v>781</v>
      </c>
      <c r="H15" t="s">
        <v>791</v>
      </c>
      <c r="J15" t="s">
        <v>137</v>
      </c>
      <c r="K15" t="s">
        <v>193</v>
      </c>
      <c r="P15" t="s">
        <v>29</v>
      </c>
    </row>
    <row r="16" spans="1:28" ht="315">
      <c r="A16" s="6" t="s">
        <v>398</v>
      </c>
      <c r="B16" s="7" t="str">
        <f>bolso("Bolso de corte",Table6213347[])</f>
        <v xml:space="preserve">Bolso de corte Contiene:  Destornillador plano x1,  Destornillador phillips x1,  Grande x5,  chica x2,  Corta perno chico x1,  Lampara de prueba x1,  Saca bujia x1,  Busca polo x1,  Pinza de punta x1,  Alicate x2,  Pinza x1,  Guantes dielectricos x0,  maza de goma x0,  Cinta de obturacion x0, </v>
      </c>
      <c r="C16" s="6"/>
      <c r="D16" s="6"/>
      <c r="E16" s="6"/>
      <c r="F16" s="6">
        <v>1</v>
      </c>
      <c r="G16" s="6" t="s">
        <v>231</v>
      </c>
      <c r="H16" t="s">
        <v>791</v>
      </c>
      <c r="J16" t="s">
        <v>153</v>
      </c>
      <c r="K16" t="s">
        <v>787</v>
      </c>
      <c r="P16" t="s">
        <v>29</v>
      </c>
    </row>
    <row r="17" spans="1:16">
      <c r="A17" s="6" t="s">
        <v>187</v>
      </c>
      <c r="B17" s="7"/>
      <c r="C17" s="6"/>
      <c r="D17" s="6"/>
      <c r="E17" s="6"/>
      <c r="F17" s="6">
        <v>3</v>
      </c>
      <c r="G17" s="6" t="s">
        <v>231</v>
      </c>
      <c r="H17" t="s">
        <v>791</v>
      </c>
      <c r="J17" t="s">
        <v>153</v>
      </c>
      <c r="K17" t="s">
        <v>645</v>
      </c>
      <c r="P17" t="s">
        <v>29</v>
      </c>
    </row>
    <row r="18" spans="1:16">
      <c r="A18" s="6" t="s">
        <v>185</v>
      </c>
      <c r="B18" s="7"/>
      <c r="C18" s="6"/>
      <c r="D18" s="6"/>
      <c r="E18" s="6"/>
      <c r="F18" s="6">
        <v>1</v>
      </c>
      <c r="G18" s="6" t="s">
        <v>231</v>
      </c>
      <c r="H18" t="s">
        <v>791</v>
      </c>
    </row>
    <row r="19" spans="1:16" ht="30">
      <c r="A19" s="6" t="s">
        <v>788</v>
      </c>
      <c r="B19" s="7" t="s">
        <v>789</v>
      </c>
      <c r="C19" s="6"/>
      <c r="D19" s="6" t="s">
        <v>48</v>
      </c>
      <c r="E19" s="6"/>
      <c r="F19" s="6">
        <v>1</v>
      </c>
      <c r="G19" s="6" t="s">
        <v>231</v>
      </c>
      <c r="H19" t="s">
        <v>791</v>
      </c>
    </row>
    <row r="20" spans="1:16">
      <c r="A20" s="6" t="s">
        <v>53</v>
      </c>
      <c r="B20" s="7"/>
      <c r="C20" s="6"/>
      <c r="D20" s="6"/>
      <c r="E20" s="6"/>
      <c r="F20" s="6">
        <v>4</v>
      </c>
      <c r="G20" s="6" t="s">
        <v>9</v>
      </c>
      <c r="H20" t="s">
        <v>791</v>
      </c>
    </row>
    <row r="21" spans="1:16">
      <c r="A21" s="6" t="s">
        <v>157</v>
      </c>
      <c r="B21" s="7"/>
      <c r="C21" s="6" t="s">
        <v>636</v>
      </c>
      <c r="D21" s="6"/>
      <c r="E21" s="6"/>
      <c r="F21" s="6">
        <v>1</v>
      </c>
      <c r="G21" s="6" t="s">
        <v>9</v>
      </c>
      <c r="H21" t="s">
        <v>791</v>
      </c>
    </row>
    <row r="22" spans="1:16" ht="45">
      <c r="A22" s="6" t="s">
        <v>32</v>
      </c>
      <c r="B22" s="7" t="s">
        <v>790</v>
      </c>
      <c r="C22" t="s">
        <v>792</v>
      </c>
      <c r="D22" s="6"/>
      <c r="E22" s="6"/>
      <c r="F22" s="6">
        <v>1</v>
      </c>
      <c r="G22" s="6" t="s">
        <v>9</v>
      </c>
      <c r="H22" t="s">
        <v>791</v>
      </c>
    </row>
    <row r="23" spans="1:16">
      <c r="A23" s="6" t="s">
        <v>73</v>
      </c>
      <c r="B23" s="7" t="s">
        <v>293</v>
      </c>
      <c r="C23" t="s">
        <v>792</v>
      </c>
      <c r="D23" s="6"/>
      <c r="E23" s="6"/>
      <c r="F23" s="6">
        <v>1</v>
      </c>
      <c r="G23" s="6" t="s">
        <v>9</v>
      </c>
      <c r="H23" t="s">
        <v>791</v>
      </c>
    </row>
    <row r="24" spans="1:16">
      <c r="A24" s="6" t="s">
        <v>153</v>
      </c>
      <c r="B24" s="7" t="s">
        <v>712</v>
      </c>
      <c r="C24" s="6"/>
      <c r="D24" s="6"/>
      <c r="E24" s="6"/>
      <c r="F24" s="6">
        <v>1</v>
      </c>
      <c r="G24" s="6" t="s">
        <v>9</v>
      </c>
      <c r="H24" t="s">
        <v>791</v>
      </c>
    </row>
    <row r="25" spans="1:16">
      <c r="A25" s="6" t="s">
        <v>153</v>
      </c>
      <c r="B25" s="7" t="s">
        <v>793</v>
      </c>
      <c r="C25" s="6"/>
      <c r="D25" s="6"/>
      <c r="E25" s="6"/>
      <c r="F25" s="6">
        <v>1</v>
      </c>
      <c r="G25" s="6" t="s">
        <v>9</v>
      </c>
      <c r="H25" t="s">
        <v>791</v>
      </c>
    </row>
    <row r="26" spans="1:16">
      <c r="A26" s="6" t="s">
        <v>153</v>
      </c>
      <c r="B26" s="7" t="s">
        <v>691</v>
      </c>
      <c r="C26" s="6"/>
      <c r="D26" s="6"/>
      <c r="E26" s="6"/>
      <c r="F26" s="6">
        <v>1</v>
      </c>
      <c r="G26" s="6" t="s">
        <v>9</v>
      </c>
      <c r="H26" t="s">
        <v>791</v>
      </c>
    </row>
    <row r="27" spans="1:16">
      <c r="A27" s="6" t="s">
        <v>108</v>
      </c>
      <c r="B27" s="7"/>
      <c r="C27" s="6" t="s">
        <v>794</v>
      </c>
      <c r="D27" s="6"/>
      <c r="E27" s="6"/>
      <c r="F27" s="6">
        <v>3</v>
      </c>
      <c r="G27" s="6" t="s">
        <v>9</v>
      </c>
      <c r="H27" t="s">
        <v>791</v>
      </c>
    </row>
    <row r="28" spans="1:16">
      <c r="A28" s="6" t="s">
        <v>153</v>
      </c>
      <c r="B28" s="7" t="s">
        <v>795</v>
      </c>
      <c r="C28" s="6"/>
      <c r="D28" s="6"/>
      <c r="E28" s="6"/>
      <c r="F28" s="6">
        <v>1</v>
      </c>
      <c r="G28" s="6" t="s">
        <v>9</v>
      </c>
      <c r="H28" t="s">
        <v>791</v>
      </c>
    </row>
    <row r="29" spans="1:16">
      <c r="A29" s="6" t="s">
        <v>43</v>
      </c>
      <c r="B29" s="7" t="s">
        <v>796</v>
      </c>
      <c r="C29" s="6" t="s">
        <v>66</v>
      </c>
      <c r="D29" s="6"/>
      <c r="E29" s="6"/>
      <c r="F29" s="6">
        <v>1</v>
      </c>
      <c r="G29" s="6" t="s">
        <v>6</v>
      </c>
      <c r="H29" t="s">
        <v>791</v>
      </c>
    </row>
    <row r="30" spans="1:16">
      <c r="A30" s="6" t="s">
        <v>43</v>
      </c>
      <c r="B30" s="7" t="s">
        <v>68</v>
      </c>
      <c r="C30" s="6" t="s">
        <v>66</v>
      </c>
      <c r="D30" s="6"/>
      <c r="E30" s="6"/>
      <c r="F30" s="6">
        <v>1</v>
      </c>
      <c r="G30" s="6" t="s">
        <v>6</v>
      </c>
      <c r="H30" t="s">
        <v>791</v>
      </c>
    </row>
    <row r="31" spans="1:16">
      <c r="A31" s="6" t="s">
        <v>44</v>
      </c>
      <c r="B31" s="7"/>
      <c r="C31" s="6" t="s">
        <v>45</v>
      </c>
      <c r="D31" s="6"/>
      <c r="E31" s="6"/>
      <c r="F31" s="6">
        <v>1</v>
      </c>
      <c r="G31" s="6" t="s">
        <v>6</v>
      </c>
      <c r="H31" t="s">
        <v>791</v>
      </c>
    </row>
    <row r="32" spans="1:16">
      <c r="A32" s="6" t="s">
        <v>44</v>
      </c>
      <c r="B32" s="7"/>
      <c r="C32" s="6" t="s">
        <v>69</v>
      </c>
      <c r="D32" s="6"/>
      <c r="E32" s="6"/>
      <c r="F32" s="6">
        <v>1</v>
      </c>
      <c r="G32" s="6" t="s">
        <v>6</v>
      </c>
      <c r="H32" t="s">
        <v>791</v>
      </c>
    </row>
    <row r="33" spans="1:8">
      <c r="A33" s="6" t="s">
        <v>44</v>
      </c>
      <c r="B33" s="7"/>
      <c r="C33" s="6" t="s">
        <v>67</v>
      </c>
      <c r="D33" s="6"/>
      <c r="E33" s="6"/>
      <c r="F33" s="6">
        <v>1</v>
      </c>
      <c r="G33" s="6" t="s">
        <v>6</v>
      </c>
      <c r="H33" t="s">
        <v>791</v>
      </c>
    </row>
    <row r="34" spans="1:8">
      <c r="A34" s="6" t="s">
        <v>172</v>
      </c>
      <c r="B34" s="7"/>
      <c r="C34" s="6" t="s">
        <v>232</v>
      </c>
      <c r="D34" s="6"/>
      <c r="E34" s="6"/>
      <c r="F34" s="6">
        <v>1</v>
      </c>
      <c r="G34" s="6" t="s">
        <v>6</v>
      </c>
      <c r="H34" t="s">
        <v>791</v>
      </c>
    </row>
    <row r="35" spans="1:8">
      <c r="A35" s="6" t="s">
        <v>153</v>
      </c>
      <c r="B35" s="7" t="s">
        <v>26</v>
      </c>
      <c r="C35" s="6"/>
      <c r="D35" s="6"/>
      <c r="E35" s="6"/>
      <c r="F35" s="6">
        <v>4</v>
      </c>
      <c r="G35" s="6" t="s">
        <v>6</v>
      </c>
      <c r="H35" t="s">
        <v>791</v>
      </c>
    </row>
    <row r="36" spans="1:8">
      <c r="A36" s="6" t="s">
        <v>151</v>
      </c>
      <c r="B36" s="7" t="s">
        <v>152</v>
      </c>
      <c r="C36" s="6"/>
      <c r="D36" s="6"/>
      <c r="E36" s="6"/>
      <c r="F36" s="6">
        <v>1</v>
      </c>
      <c r="G36" s="6" t="s">
        <v>6</v>
      </c>
      <c r="H36" t="s">
        <v>791</v>
      </c>
    </row>
    <row r="37" spans="1:8">
      <c r="A37" s="6" t="s">
        <v>54</v>
      </c>
      <c r="B37" s="7" t="s">
        <v>797</v>
      </c>
      <c r="C37" s="6"/>
      <c r="D37" s="6"/>
      <c r="E37" s="6"/>
      <c r="F37" s="6">
        <v>1</v>
      </c>
      <c r="G37" s="6" t="s">
        <v>6</v>
      </c>
      <c r="H37" t="s">
        <v>791</v>
      </c>
    </row>
    <row r="38" spans="1:8">
      <c r="A38" s="6" t="s">
        <v>799</v>
      </c>
      <c r="B38" s="7" t="s">
        <v>161</v>
      </c>
      <c r="C38" s="6" t="s">
        <v>798</v>
      </c>
      <c r="D38" s="6"/>
      <c r="E38" s="6"/>
      <c r="F38" s="6">
        <v>1</v>
      </c>
      <c r="G38" s="6" t="s">
        <v>6</v>
      </c>
      <c r="H38" t="s">
        <v>791</v>
      </c>
    </row>
    <row r="39" spans="1:8">
      <c r="A39" s="6" t="s">
        <v>87</v>
      </c>
      <c r="B39" s="7"/>
      <c r="C39" s="6"/>
      <c r="D39" s="6"/>
      <c r="E39" s="6"/>
      <c r="F39" s="6">
        <v>1</v>
      </c>
      <c r="G39" s="6" t="s">
        <v>6</v>
      </c>
      <c r="H39" t="s">
        <v>791</v>
      </c>
    </row>
    <row r="40" spans="1:8">
      <c r="A40" s="6" t="s">
        <v>249</v>
      </c>
      <c r="B40" s="7"/>
      <c r="C40" s="6"/>
      <c r="D40" s="6"/>
      <c r="E40" s="6"/>
      <c r="F40" s="6">
        <v>2</v>
      </c>
      <c r="G40" s="6" t="s">
        <v>6</v>
      </c>
      <c r="H40" t="s">
        <v>791</v>
      </c>
    </row>
    <row r="41" spans="1:8">
      <c r="A41" s="6" t="s">
        <v>136</v>
      </c>
      <c r="B41" s="7"/>
      <c r="C41" s="6"/>
      <c r="D41" s="6"/>
      <c r="E41" s="6"/>
      <c r="F41" s="6">
        <v>2</v>
      </c>
      <c r="G41" s="6" t="s">
        <v>5</v>
      </c>
      <c r="H41" t="s">
        <v>791</v>
      </c>
    </row>
    <row r="42" spans="1:8">
      <c r="A42" s="6" t="s">
        <v>108</v>
      </c>
      <c r="B42" s="7"/>
      <c r="C42" s="6" t="s">
        <v>794</v>
      </c>
      <c r="D42" s="6"/>
      <c r="E42" s="6"/>
      <c r="F42" s="6">
        <v>3</v>
      </c>
      <c r="G42" s="6" t="s">
        <v>5</v>
      </c>
      <c r="H42" t="s">
        <v>791</v>
      </c>
    </row>
    <row r="43" spans="1:8">
      <c r="A43" s="6" t="s">
        <v>44</v>
      </c>
      <c r="B43" s="7"/>
      <c r="C43" s="6" t="s">
        <v>800</v>
      </c>
      <c r="D43" s="6"/>
      <c r="E43" s="6"/>
      <c r="F43" s="6">
        <v>1</v>
      </c>
      <c r="G43" s="6" t="s">
        <v>5</v>
      </c>
      <c r="H43" t="s">
        <v>791</v>
      </c>
    </row>
    <row r="44" spans="1:8">
      <c r="A44" s="6" t="s">
        <v>171</v>
      </c>
      <c r="B44" s="7"/>
      <c r="C44" s="6" t="s">
        <v>801</v>
      </c>
      <c r="D44" s="6"/>
      <c r="E44" s="6"/>
      <c r="F44" s="6">
        <v>1</v>
      </c>
      <c r="G44" s="6" t="s">
        <v>5</v>
      </c>
      <c r="H44" t="s">
        <v>791</v>
      </c>
    </row>
    <row r="45" spans="1:8">
      <c r="A45" s="6" t="s">
        <v>54</v>
      </c>
      <c r="B45" s="7"/>
      <c r="C45" t="s">
        <v>52</v>
      </c>
      <c r="D45" s="6"/>
      <c r="E45" s="6"/>
      <c r="F45" s="6">
        <v>1</v>
      </c>
      <c r="G45" s="6" t="s">
        <v>5</v>
      </c>
      <c r="H45" t="s">
        <v>791</v>
      </c>
    </row>
    <row r="46" spans="1:8">
      <c r="A46" s="6" t="s">
        <v>95</v>
      </c>
      <c r="B46" s="7"/>
      <c r="C46" s="6"/>
      <c r="D46" s="6" t="s">
        <v>349</v>
      </c>
      <c r="E46" s="6"/>
      <c r="F46" s="6">
        <v>1</v>
      </c>
      <c r="G46" s="6" t="s">
        <v>8</v>
      </c>
      <c r="H46" t="s">
        <v>791</v>
      </c>
    </row>
    <row r="47" spans="1:8">
      <c r="A47" s="6" t="s">
        <v>97</v>
      </c>
      <c r="B47" s="7" t="s">
        <v>802</v>
      </c>
      <c r="C47" s="6"/>
      <c r="D47" s="6" t="s">
        <v>349</v>
      </c>
      <c r="E47" s="6"/>
      <c r="F47" s="6">
        <v>1</v>
      </c>
      <c r="G47" s="6" t="s">
        <v>8</v>
      </c>
      <c r="H47" t="s">
        <v>791</v>
      </c>
    </row>
    <row r="48" spans="1:8">
      <c r="A48" s="6" t="s">
        <v>237</v>
      </c>
      <c r="B48" s="7"/>
      <c r="C48" s="6"/>
      <c r="D48" s="6"/>
      <c r="E48" s="6"/>
      <c r="F48" s="6">
        <v>1</v>
      </c>
      <c r="G48" s="6" t="s">
        <v>8</v>
      </c>
      <c r="H48" t="s">
        <v>791</v>
      </c>
    </row>
    <row r="49" spans="1:8">
      <c r="A49" s="6" t="s">
        <v>11</v>
      </c>
      <c r="B49" s="7" t="s">
        <v>803</v>
      </c>
      <c r="C49" s="6" t="s">
        <v>79</v>
      </c>
      <c r="D49" s="6"/>
      <c r="E49" s="6"/>
      <c r="F49" s="6">
        <v>2</v>
      </c>
      <c r="G49" s="6" t="s">
        <v>8</v>
      </c>
      <c r="H49" t="s">
        <v>791</v>
      </c>
    </row>
    <row r="50" spans="1:8">
      <c r="A50" s="6" t="s">
        <v>11</v>
      </c>
      <c r="B50" s="7"/>
      <c r="C50" s="6" t="s">
        <v>121</v>
      </c>
      <c r="D50" s="6"/>
      <c r="E50" s="6"/>
      <c r="F50" s="6">
        <v>2</v>
      </c>
      <c r="G50" s="6" t="s">
        <v>8</v>
      </c>
      <c r="H50" t="s">
        <v>791</v>
      </c>
    </row>
    <row r="51" spans="1:8">
      <c r="A51" s="6" t="s">
        <v>11</v>
      </c>
      <c r="B51" s="7"/>
      <c r="C51" s="6" t="s">
        <v>30</v>
      </c>
      <c r="D51" s="6"/>
      <c r="E51" s="6"/>
      <c r="F51" s="6">
        <v>3</v>
      </c>
      <c r="G51" s="6" t="s">
        <v>8</v>
      </c>
      <c r="H51" t="s">
        <v>791</v>
      </c>
    </row>
    <row r="52" spans="1:8">
      <c r="A52" s="6" t="s">
        <v>35</v>
      </c>
      <c r="B52" s="7" t="s">
        <v>805</v>
      </c>
      <c r="C52" s="6" t="s">
        <v>38</v>
      </c>
      <c r="D52" s="6"/>
      <c r="E52" s="6"/>
      <c r="F52" s="6"/>
      <c r="G52" s="6" t="s">
        <v>36</v>
      </c>
      <c r="H52" t="s">
        <v>804</v>
      </c>
    </row>
    <row r="53" spans="1:8">
      <c r="A53" s="6" t="s">
        <v>40</v>
      </c>
      <c r="B53" s="7" t="s">
        <v>806</v>
      </c>
      <c r="C53" s="6" t="s">
        <v>41</v>
      </c>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B67" s="7"/>
      <c r="C67" s="6"/>
      <c r="D67" s="6"/>
      <c r="E67" s="6"/>
      <c r="F67" s="6"/>
      <c r="G67" s="6"/>
      <c r="H67" s="6"/>
    </row>
    <row r="68" spans="1:8">
      <c r="A68" s="6"/>
      <c r="B68" s="7"/>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B81" s="7"/>
      <c r="C81" s="6"/>
      <c r="D81" s="6"/>
      <c r="E81" s="6"/>
      <c r="F81" s="6"/>
      <c r="G81" s="6"/>
      <c r="H81" s="6"/>
    </row>
    <row r="82" spans="1:8">
      <c r="A82" s="6"/>
      <c r="B82" s="7"/>
      <c r="C82" s="6"/>
      <c r="D82" s="6"/>
      <c r="E82" s="6"/>
      <c r="F82" s="6"/>
      <c r="G82" s="6"/>
      <c r="H82" s="6"/>
    </row>
    <row r="83" spans="1:8">
      <c r="A83" s="6"/>
      <c r="B83" s="7"/>
      <c r="C83" s="6"/>
      <c r="D83" s="6"/>
      <c r="E83" s="6"/>
      <c r="F83" s="6"/>
      <c r="G83" s="6"/>
      <c r="H83" s="6"/>
    </row>
    <row r="84" spans="1:8">
      <c r="A84" s="6"/>
      <c r="B84" s="7"/>
      <c r="C84" s="6"/>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10">
    <dataValidation type="list" allowBlank="1" showInputMessage="1" showErrorMessage="1" sqref="H2:H8">
      <formula1>INDEX($V$5:$Y$12,0,MATCH(OFFSET(INDIRECT(ADDRESS(ROW(), COLUMN())),0,-1),$V$4:$Y$4,0))</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L47:L1048576 H137:H1048576 L1:L3 H53:H135 H1">
      <formula1>INDEX(Compartimentosmovil54,0,MATCH(OFFSET(INDIRECT(ADDRESS(ROW(), COLUMN())),0,-1),CajonerasMovil54,0))</formula1>
    </dataValidation>
    <dataValidation type="list" allowBlank="1" showInputMessage="1" showErrorMessage="1" sqref="H136 G1">
      <formula1>CajonerasMovil54</formula1>
    </dataValidation>
    <dataValidation type="list" allowBlank="1" showInputMessage="1" showErrorMessage="1" sqref="P4:P17">
      <formula1>$T$4:$T$22</formula1>
    </dataValidation>
    <dataValidation type="list" allowBlank="1" showInputMessage="1" showErrorMessage="1" sqref="C1 C7:C8 C14 C12">
      <formula1>Medidas</formula1>
    </dataValidation>
    <dataValidation type="list" allowBlank="1" showInputMessage="1" showErrorMessage="1" sqref="A101 A105:A108 A112:A117 A119:A128 A130:A133 A135:A1048576 J4:J1048576 A1:A99">
      <formula1>categorias</formula1>
    </dataValidation>
    <dataValidation type="list" allowBlank="1" showInputMessage="1" showErrorMessage="1" sqref="L4:L17">
      <formula1>INDEX(Medidas,0,MATCH(OFFSET(INDIRECT(ADDRESS(ROW(), COLUMN())),0,-2),categoriasDeMedidas,0))</formula1>
    </dataValidation>
    <dataValidation type="list" allowBlank="1" showInputMessage="1" showErrorMessage="1" sqref="G2:G1048576">
      <formula1>$V$4:$AB$4</formula1>
    </dataValidation>
    <dataValidation type="list" allowBlank="1" showInputMessage="1" showErrorMessage="1" sqref="H52">
      <formula1>INDEX($V$5:$AB$12,0,MATCH(OFFSET(INDIRECT(ADDRESS(ROW(), COLUMN())),0,-1),$V$4:$AB$4,0))</formula1>
    </dataValidation>
  </dataValidations>
  <pageMargins left="0.7" right="0.7" top="0.75" bottom="0.75" header="0.3" footer="0.3"/>
  <tableParts count="4">
    <tablePart r:id="rId1"/>
    <tablePart r:id="rId2"/>
    <tablePart r:id="rId3"/>
    <tablePart r:id="rId4"/>
  </tableParts>
  <extLst xmlns:xr="http://schemas.microsoft.com/office/spreadsheetml/2014/revision">
    <ext xmlns:x14="http://schemas.microsoft.com/office/spreadsheetml/2009/9/main" uri="{CCE6A557-97BC-4b89-ADB6-D9C93CAAB3DF}">
      <x14:dataValidations xmlns:xm="http://schemas.microsoft.com/office/excel/2006/main" count="31">
        <x14:dataValidation type="list" allowBlank="1" showInputMessage="1" showErrorMessage="1" xr:uid="{55E2BB4E-7659-4018-82CD-1BD84D7C47C3}">
          <x14:formula1>
            <xm:f>Configuracion!$T$2:$T$7</xm:f>
          </x14:formula1>
          <xm:sqref>C25 C9:C10</xm:sqref>
        </x14:dataValidation>
        <x14:dataValidation type="list" allowBlank="1" showInputMessage="1" showErrorMessage="1" xr:uid="{9D9BD723-3C5E-4946-8093-23EA2460929E}">
          <x14:formula1>
            <xm:f>Configuracion!$V$2:$V$4</xm:f>
          </x14:formula1>
          <xm:sqref>C26 C21</xm:sqref>
        </x14:dataValidation>
        <x14:dataValidation type="list" allowBlank="1" showInputMessage="1" showErrorMessage="1" xr:uid="{2A4EC9C7-8215-452B-829D-F15E16CA90C3}">
          <x14:formula1>
            <xm:f>Configuracion!$H$2:$H$4</xm:f>
          </x14:formula1>
          <xm:sqref>C2 C52</xm:sqref>
        </x14:dataValidation>
        <x14:dataValidation type="list" allowBlank="1" showInputMessage="1" showErrorMessage="1" xr:uid="{0563244E-71F8-4427-99A3-61C79714BE9F}">
          <x14:formula1>
            <xm:f>Configuracion!$U$2:$U$3</xm:f>
          </x14:formula1>
          <xm:sqref>C6 C3</xm:sqref>
        </x14:dataValidation>
        <x14:dataValidation type="list" allowBlank="1" showInputMessage="1" showErrorMessage="1" xr:uid="{2D4EA918-E97A-4712-8838-362D1F7F6703}">
          <x14:formula1>
            <xm:f>Configuracion!$K$2:$K$4</xm:f>
          </x14:formula1>
          <xm:sqref>C4:C5</xm:sqref>
        </x14:dataValidation>
        <x14:dataValidation type="list" allowBlank="1" showInputMessage="1" showErrorMessage="1" xr:uid="{1C3F6714-B150-4102-80D1-6ACDFCFBE436}">
          <x14:formula1>
            <xm:f>Configuracion!$N$2:$N$9</xm:f>
          </x14:formula1>
          <xm:sqref>C120 C122</xm:sqref>
        </x14:dataValidation>
        <x14:dataValidation type="list" allowBlank="1" showInputMessage="1" showErrorMessage="1" xr:uid="{0CB771F3-E7FC-44B6-A993-C800A11AAC7A}">
          <x14:formula1>
            <xm:f>Configuracion!$S$2:$S$10</xm:f>
          </x14:formula1>
          <xm:sqref>C96 C100:C101 C105</xm:sqref>
        </x14:dataValidation>
        <x14:dataValidation type="list" allowBlank="1" showInputMessage="1" showErrorMessage="1" xr:uid="{21D8950B-2AAE-4108-BCAE-714E158E9AF6}">
          <x14:formula1>
            <xm:f>Configuracion!$J$2:$J$5</xm:f>
          </x14:formula1>
          <xm:sqref>C24 C18:C19 C29:C30</xm:sqref>
        </x14:dataValidation>
        <x14:dataValidation type="list" allowBlank="1" showInputMessage="1" showErrorMessage="1" xr:uid="{41ED1F8F-5A3A-4E25-A4D3-77866457E4A9}">
          <x14:formula1>
            <xm:f>Configuracion!$H$2:$H$6</xm:f>
          </x14:formula1>
          <xm:sqref>C20</xm:sqref>
        </x14:dataValidation>
        <x14:dataValidation type="list" allowBlank="1" showInputMessage="1" showErrorMessage="1" xr:uid="{73B6806A-C56F-4502-92A1-BDF3CA688534}">
          <x14:formula1>
            <xm:f>Configuracion!$Q$2:$Q$7</xm:f>
          </x14:formula1>
          <xm:sqref>C66:C67 C70</xm:sqref>
        </x14:dataValidation>
        <x14:dataValidation type="list" allowBlank="1" showInputMessage="1" showErrorMessage="1" xr:uid="{CEC017B5-332C-4537-B021-D4BD721DBA13}">
          <x14:formula1>
            <xm:f>Configuracion!$F$2:$F$10</xm:f>
          </x14:formula1>
          <xm:sqref>C64:C65 C125:C126</xm:sqref>
        </x14:dataValidation>
        <x14:dataValidation type="list" allowBlank="1" showInputMessage="1" showErrorMessage="1" xr:uid="{EDFDDF0E-8871-4C63-95B0-BB34DAF7BC8B}">
          <x14:formula1>
            <xm:f>Configuracion!$F$2:$F$9</xm:f>
          </x14:formula1>
          <xm:sqref>C63</xm:sqref>
        </x14:dataValidation>
        <x14:dataValidation type="list" allowBlank="1" showInputMessage="1" showErrorMessage="1" xr:uid="{52257457-75B9-42A6-B456-589725222A2C}">
          <x14:formula1>
            <xm:f>Configuracion!$F$2:$F$8</xm:f>
          </x14:formula1>
          <xm:sqref>C61:C62</xm:sqref>
        </x14:dataValidation>
        <x14:dataValidation type="list" allowBlank="1" showInputMessage="1" showErrorMessage="1" xr:uid="{F3D65868-1DA9-41CB-BB15-28E1AFC02CF2}">
          <x14:formula1>
            <xm:f>Configuracion!$O$2:$O$7</xm:f>
          </x14:formula1>
          <xm:sqref>C41</xm:sqref>
        </x14:dataValidation>
        <x14:dataValidation type="list" allowBlank="1" showInputMessage="1" showErrorMessage="1" xr:uid="{852698E4-9429-4A41-B5FE-E3A46734DF6C}">
          <x14:formula1>
            <xm:f>Configuracion!$M$2:$M$6</xm:f>
          </x14:formula1>
          <xm:sqref>C17</xm:sqref>
        </x14:dataValidation>
        <x14:dataValidation type="list" allowBlank="1" showInputMessage="1" showErrorMessage="1" xr:uid="{AE70AD40-CEE8-4F21-95EF-43E212DBACAC}">
          <x14:formula1>
            <xm:f>Configuracion!$F$2:$F$3</xm:f>
          </x14:formula1>
          <xm:sqref>C16</xm:sqref>
        </x14:dataValidation>
        <x14:dataValidation type="list" allowBlank="1" showInputMessage="1" showErrorMessage="1" xr:uid="{56528052-DF09-426F-9698-9503A9FAEA72}">
          <x14:formula1>
            <xm:f>Configuracion!$F$2:$F$5</xm:f>
          </x14:formula1>
          <xm:sqref>C13 C28</xm:sqref>
        </x14:dataValidation>
        <x14:dataValidation type="list" allowBlank="1" showInputMessage="1" showErrorMessage="1" xr:uid="{838D7CF6-7918-4A68-B65E-89E5B4B24F0E}">
          <x14:formula1>
            <xm:f>Configuracion!$G$2:$G$3</xm:f>
          </x14:formula1>
          <xm:sqref>C127:C128</xm:sqref>
        </x14:dataValidation>
        <x14:dataValidation type="list" allowBlank="1" showInputMessage="1" showErrorMessage="1" xr:uid="{C2BB8A5E-699A-4CD5-8932-9E03C3D60E91}">
          <x14:formula1>
            <xm:f>Configuracion!$S$2:$S$11</xm:f>
          </x14:formula1>
          <xm:sqref>C15</xm:sqref>
        </x14:dataValidation>
        <x14:dataValidation type="list" allowBlank="1" showInputMessage="1" showErrorMessage="1" xr:uid="{9C812097-6517-4880-8B35-E636319D50B3}">
          <x14:formula1>
            <xm:f>Configuracion!$A$2:$A$72</xm:f>
          </x14:formula1>
          <xm:sqref>J1:J3</xm:sqref>
        </x14:dataValidation>
        <x14:dataValidation type="list" allowBlank="1" showInputMessage="1" showErrorMessage="1" xr:uid="{A8F35412-C593-482B-86FE-C2533A477916}">
          <x14:formula1>
            <xm:f>Configuracion!$T$2:$T$8</xm:f>
          </x14:formula1>
          <xm:sqref>C11</xm:sqref>
        </x14:dataValidation>
        <x14:dataValidation type="list" allowBlank="1" showInputMessage="1" showErrorMessage="1" xr:uid="{7B5F43B3-548D-426D-B449-FEBFA38DA8F4}">
          <x14:formula1>
            <xm:f>Configuracion!$Q$2:$Q$8</xm:f>
          </x14:formula1>
          <xm:sqref>C27 C42</xm:sqref>
        </x14:dataValidation>
        <x14:dataValidation type="list" allowBlank="1" showInputMessage="1" showErrorMessage="1" xr:uid="{CFA8F0C1-3B96-4F0E-B850-FE15D486C8A1}">
          <x14:formula1>
            <xm:f>Configuracion!$L$2:$L$9</xm:f>
          </x14:formula1>
          <xm:sqref>C37</xm:sqref>
        </x14:dataValidation>
        <x14:dataValidation type="list" allowBlank="1" showInputMessage="1" showErrorMessage="1" xr:uid="{7DB43574-242F-445D-9EFB-7239B60F8FB2}">
          <x14:formula1>
            <xm:f>Configuracion!$S$2:$S$3</xm:f>
          </x14:formula1>
          <xm:sqref>C34</xm:sqref>
        </x14:dataValidation>
        <x14:dataValidation type="list" allowBlank="1" showInputMessage="1" showErrorMessage="1" xr:uid="{6D0508E0-4E3E-471A-9E0F-050F42E7B9C9}">
          <x14:formula1>
            <xm:f>Configuracion!$X$2:$X$5</xm:f>
          </x14:formula1>
          <xm:sqref>C46</xm:sqref>
        </x14:dataValidation>
        <x14:dataValidation type="list" allowBlank="1" showInputMessage="1" showErrorMessage="1" xr:uid="{BF6EEDEB-305F-4097-A9EA-FAC428B34B71}">
          <x14:formula1>
            <xm:f>Configuracion!$K$2:$K$7</xm:f>
          </x14:formula1>
          <xm:sqref>C31:C33</xm:sqref>
        </x14:dataValidation>
        <x14:dataValidation type="list" allowBlank="1" showInputMessage="1" showErrorMessage="1" xr:uid="{4C27DE6D-6D6D-4048-B07F-E6BACC8417A1}">
          <x14:formula1>
            <xm:f>Configuracion!$G$2:$G$8</xm:f>
          </x14:formula1>
          <xm:sqref>C38</xm:sqref>
        </x14:dataValidation>
        <x14:dataValidation type="list" allowBlank="1" showInputMessage="1" showErrorMessage="1" xr:uid="{7E095981-83DE-45BF-A2AD-C3DDD01384E9}">
          <x14:formula1>
            <xm:f>Configuracion!$K$2:$K$8</xm:f>
          </x14:formula1>
          <xm:sqref>C43</xm:sqref>
        </x14:dataValidation>
        <x14:dataValidation type="list" allowBlank="1" showInputMessage="1" showErrorMessage="1" xr:uid="{EA02171E-E711-4728-B70C-FDA2D6DEDF70}">
          <x14:formula1>
            <xm:f>Configuracion!$R$2:$R$3</xm:f>
          </x14:formula1>
          <xm:sqref>C44</xm:sqref>
        </x14:dataValidation>
        <x14:dataValidation type="list" allowBlank="1" showInputMessage="1" showErrorMessage="1" xr:uid="{A786CA4F-F9CE-42A9-B030-5D5BD7F52316}">
          <x14:formula1>
            <xm:f>Configuracion!$F$2:$F$15</xm:f>
          </x14:formula1>
          <xm:sqref>C49:C51</xm:sqref>
        </x14:dataValidation>
        <x14:dataValidation type="list" allowBlank="1" showInputMessage="1" showErrorMessage="1" xr:uid="{01BE38CD-743A-4B68-9DA9-9CF6E3C7EF68}">
          <x14:formula1>
            <xm:f>Configuracion!$I$2:$I$6</xm:f>
          </x14:formula1>
          <xm:sqref>C136 C53</xm:sqref>
        </x14:dataValidation>
      </x14:dataValidations>
    </ext>
  </extLst>
</worksheet>
</file>

<file path=xl/worksheets/sheet13.xml><?xml version="1.0" encoding="utf-8"?>
<worksheet xmlns="http://schemas.openxmlformats.org/spreadsheetml/2006/main" xmlns:r="http://schemas.openxmlformats.org/officeDocument/2006/relationships">
  <sheetPr codeName="Sheet14"/>
  <dimension ref="A1:AD136"/>
  <sheetViews>
    <sheetView topLeftCell="A9" workbookViewId="0">
      <selection activeCell="B19" sqref="B19"/>
    </sheetView>
  </sheetViews>
  <sheetFormatPr baseColWidth="10" defaultColWidth="9.140625" defaultRowHeight="15"/>
  <cols>
    <col min="1" max="1" width="26.42578125" style="4" bestFit="1" customWidth="1"/>
    <col min="2" max="2" width="15.42578125"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13.5703125" bestFit="1" customWidth="1"/>
    <col min="12" max="12" width="11" bestFit="1" customWidth="1"/>
    <col min="13" max="13" width="8.5703125" bestFit="1" customWidth="1"/>
    <col min="14" max="14" width="13.140625" bestFit="1" customWidth="1"/>
    <col min="15" max="15" width="7"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30">
      <c r="A1" s="4" t="s">
        <v>0</v>
      </c>
      <c r="B1" s="5" t="s">
        <v>1</v>
      </c>
      <c r="C1" s="4" t="s">
        <v>2</v>
      </c>
      <c r="D1" s="4" t="s">
        <v>3</v>
      </c>
      <c r="E1" s="4" t="s">
        <v>4</v>
      </c>
      <c r="F1" s="4" t="s">
        <v>236</v>
      </c>
      <c r="G1" s="4" t="s">
        <v>13</v>
      </c>
      <c r="H1" s="4" t="s">
        <v>228</v>
      </c>
    </row>
    <row r="2" spans="1:30">
      <c r="A2" s="4" t="s">
        <v>212</v>
      </c>
      <c r="B2" s="7"/>
      <c r="C2" s="6"/>
      <c r="D2" s="6" t="s">
        <v>791</v>
      </c>
      <c r="E2" s="6" t="s">
        <v>791</v>
      </c>
      <c r="F2" s="6">
        <v>1</v>
      </c>
      <c r="G2" s="6" t="s">
        <v>231</v>
      </c>
      <c r="H2" s="6"/>
    </row>
    <row r="3" spans="1:30">
      <c r="A3" s="6" t="s">
        <v>207</v>
      </c>
      <c r="B3" s="7">
        <v>2016</v>
      </c>
      <c r="C3" s="6"/>
      <c r="D3" s="6"/>
      <c r="E3" s="6"/>
      <c r="F3" s="6">
        <v>1</v>
      </c>
      <c r="G3" s="6" t="s">
        <v>231</v>
      </c>
      <c r="H3" s="6"/>
      <c r="J3" t="s">
        <v>0</v>
      </c>
      <c r="K3" t="s">
        <v>1</v>
      </c>
      <c r="L3" t="s">
        <v>2</v>
      </c>
      <c r="M3" s="4" t="s">
        <v>3</v>
      </c>
      <c r="N3" s="4" t="s">
        <v>4</v>
      </c>
      <c r="O3" s="4" t="s">
        <v>236</v>
      </c>
      <c r="P3" t="s">
        <v>14</v>
      </c>
      <c r="T3" t="s">
        <v>28</v>
      </c>
      <c r="V3" s="26" t="s">
        <v>226</v>
      </c>
      <c r="W3" s="26"/>
      <c r="X3" s="26"/>
      <c r="Y3" s="26"/>
      <c r="Z3" s="26"/>
      <c r="AA3" s="26"/>
    </row>
    <row r="4" spans="1:30">
      <c r="A4" s="6" t="s">
        <v>209</v>
      </c>
      <c r="B4" s="7"/>
      <c r="C4" s="6" t="s">
        <v>791</v>
      </c>
      <c r="D4" s="6" t="s">
        <v>791</v>
      </c>
      <c r="E4" s="6" t="s">
        <v>791</v>
      </c>
      <c r="F4" s="6">
        <v>1</v>
      </c>
      <c r="G4" s="6" t="s">
        <v>231</v>
      </c>
      <c r="H4" s="6"/>
      <c r="J4" t="s">
        <v>390</v>
      </c>
      <c r="K4" t="s">
        <v>820</v>
      </c>
      <c r="L4" t="s">
        <v>629</v>
      </c>
      <c r="O4">
        <v>2</v>
      </c>
      <c r="P4" t="s">
        <v>93</v>
      </c>
      <c r="T4" t="s">
        <v>807</v>
      </c>
      <c r="V4" t="s">
        <v>231</v>
      </c>
      <c r="W4" t="s">
        <v>8</v>
      </c>
      <c r="X4" t="s">
        <v>5</v>
      </c>
      <c r="Y4" t="s">
        <v>6</v>
      </c>
      <c r="Z4" t="s">
        <v>9</v>
      </c>
      <c r="AA4" t="s">
        <v>10</v>
      </c>
      <c r="AB4" t="s">
        <v>252</v>
      </c>
      <c r="AC4" t="s">
        <v>298</v>
      </c>
      <c r="AD4" t="s">
        <v>36</v>
      </c>
    </row>
    <row r="5" spans="1:30" ht="30">
      <c r="A5" s="6" t="s">
        <v>253</v>
      </c>
      <c r="B5" s="7" t="s">
        <v>777</v>
      </c>
      <c r="C5" s="6"/>
      <c r="D5" s="6" t="s">
        <v>791</v>
      </c>
      <c r="E5" s="6" t="s">
        <v>791</v>
      </c>
      <c r="F5" s="6">
        <v>1</v>
      </c>
      <c r="G5" s="6" t="s">
        <v>231</v>
      </c>
      <c r="H5" s="6"/>
      <c r="J5" t="s">
        <v>390</v>
      </c>
      <c r="K5" t="s">
        <v>519</v>
      </c>
      <c r="L5" t="s">
        <v>520</v>
      </c>
      <c r="O5">
        <v>3</v>
      </c>
      <c r="P5" t="s">
        <v>93</v>
      </c>
      <c r="T5" t="s">
        <v>93</v>
      </c>
      <c r="V5" t="s">
        <v>7</v>
      </c>
      <c r="W5" t="s">
        <v>791</v>
      </c>
      <c r="X5" t="s">
        <v>791</v>
      </c>
      <c r="Y5" t="s">
        <v>791</v>
      </c>
      <c r="Z5" t="s">
        <v>791</v>
      </c>
      <c r="AA5" t="s">
        <v>791</v>
      </c>
      <c r="AB5" t="s">
        <v>804</v>
      </c>
    </row>
    <row r="6" spans="1:30">
      <c r="A6" s="6" t="s">
        <v>214</v>
      </c>
      <c r="B6" s="7"/>
      <c r="C6" s="6"/>
      <c r="D6" s="6" t="s">
        <v>812</v>
      </c>
      <c r="E6" s="6" t="s">
        <v>791</v>
      </c>
      <c r="F6" s="6">
        <v>2</v>
      </c>
      <c r="G6" s="6" t="s">
        <v>231</v>
      </c>
      <c r="H6" s="6"/>
      <c r="J6" t="s">
        <v>390</v>
      </c>
      <c r="K6" t="s">
        <v>821</v>
      </c>
      <c r="L6" t="s">
        <v>627</v>
      </c>
      <c r="O6">
        <v>5</v>
      </c>
      <c r="P6" t="s">
        <v>93</v>
      </c>
      <c r="T6" t="s">
        <v>808</v>
      </c>
      <c r="V6" t="s">
        <v>791</v>
      </c>
    </row>
    <row r="7" spans="1:30" ht="30">
      <c r="A7" s="6" t="s">
        <v>253</v>
      </c>
      <c r="B7" s="7" t="s">
        <v>813</v>
      </c>
      <c r="C7" s="6"/>
      <c r="D7" s="6"/>
      <c r="E7" s="6"/>
      <c r="F7" s="6"/>
      <c r="G7" s="6" t="s">
        <v>231</v>
      </c>
      <c r="H7" s="6"/>
      <c r="J7" t="s">
        <v>390</v>
      </c>
      <c r="K7" t="s">
        <v>822</v>
      </c>
      <c r="L7" t="s">
        <v>628</v>
      </c>
      <c r="O7">
        <v>4</v>
      </c>
      <c r="P7" t="s">
        <v>93</v>
      </c>
      <c r="T7" t="s">
        <v>29</v>
      </c>
    </row>
    <row r="8" spans="1:30">
      <c r="A8" s="6" t="s">
        <v>188</v>
      </c>
      <c r="B8" s="7" t="s">
        <v>814</v>
      </c>
      <c r="C8" s="6"/>
      <c r="D8" s="6"/>
      <c r="E8" s="6"/>
      <c r="F8" s="6">
        <v>1</v>
      </c>
      <c r="G8" s="6" t="s">
        <v>231</v>
      </c>
      <c r="H8" s="6"/>
      <c r="J8" t="s">
        <v>390</v>
      </c>
      <c r="K8" t="s">
        <v>823</v>
      </c>
      <c r="L8" t="s">
        <v>782</v>
      </c>
      <c r="O8">
        <v>1</v>
      </c>
      <c r="P8" t="s">
        <v>93</v>
      </c>
      <c r="T8" t="s">
        <v>839</v>
      </c>
    </row>
    <row r="9" spans="1:30">
      <c r="A9" s="6" t="s">
        <v>11</v>
      </c>
      <c r="B9" s="7"/>
      <c r="C9" s="6" t="s">
        <v>79</v>
      </c>
      <c r="D9" s="6"/>
      <c r="E9" s="6"/>
      <c r="F9" s="6">
        <v>1</v>
      </c>
      <c r="G9" s="6" t="s">
        <v>231</v>
      </c>
      <c r="H9" s="6"/>
      <c r="J9" t="s">
        <v>819</v>
      </c>
      <c r="K9" t="s">
        <v>819</v>
      </c>
      <c r="O9">
        <v>2</v>
      </c>
      <c r="P9" t="s">
        <v>807</v>
      </c>
      <c r="T9" t="s">
        <v>850</v>
      </c>
    </row>
    <row r="10" spans="1:30">
      <c r="A10" s="6" t="s">
        <v>32</v>
      </c>
      <c r="B10" s="7" t="s">
        <v>815</v>
      </c>
      <c r="C10" s="6" t="s">
        <v>72</v>
      </c>
      <c r="D10" s="6"/>
      <c r="E10" s="6"/>
      <c r="F10" s="6">
        <v>1</v>
      </c>
      <c r="G10" s="6" t="s">
        <v>231</v>
      </c>
      <c r="H10" s="6"/>
      <c r="J10" t="s">
        <v>505</v>
      </c>
      <c r="K10" t="s">
        <v>824</v>
      </c>
      <c r="O10">
        <v>1</v>
      </c>
      <c r="P10" t="s">
        <v>808</v>
      </c>
      <c r="T10" t="s">
        <v>868</v>
      </c>
    </row>
    <row r="11" spans="1:30">
      <c r="A11" s="6" t="s">
        <v>238</v>
      </c>
      <c r="B11" s="7"/>
      <c r="C11" s="6"/>
      <c r="D11" s="6"/>
      <c r="E11" s="6"/>
      <c r="F11" s="6">
        <v>2</v>
      </c>
      <c r="G11" s="6" t="s">
        <v>231</v>
      </c>
      <c r="H11" s="6"/>
      <c r="J11" t="s">
        <v>783</v>
      </c>
      <c r="K11" t="s">
        <v>783</v>
      </c>
      <c r="O11">
        <v>1</v>
      </c>
      <c r="P11" t="s">
        <v>808</v>
      </c>
      <c r="T11" t="s">
        <v>886</v>
      </c>
    </row>
    <row r="12" spans="1:30">
      <c r="A12" s="6" t="s">
        <v>151</v>
      </c>
      <c r="B12" s="7" t="s">
        <v>152</v>
      </c>
      <c r="C12" s="6"/>
      <c r="D12" s="6"/>
      <c r="E12" s="6"/>
      <c r="F12" s="6">
        <v>1</v>
      </c>
      <c r="G12" s="6" t="s">
        <v>231</v>
      </c>
      <c r="H12" s="6"/>
      <c r="J12" t="s">
        <v>487</v>
      </c>
      <c r="K12" t="s">
        <v>487</v>
      </c>
      <c r="O12">
        <v>1</v>
      </c>
      <c r="P12" t="s">
        <v>808</v>
      </c>
      <c r="T12" t="s">
        <v>889</v>
      </c>
    </row>
    <row r="13" spans="1:30">
      <c r="A13" s="6" t="s">
        <v>500</v>
      </c>
      <c r="B13" s="7"/>
      <c r="C13" s="6"/>
      <c r="D13" s="6"/>
      <c r="E13" s="6"/>
      <c r="F13" s="6">
        <v>8</v>
      </c>
      <c r="G13" s="6" t="s">
        <v>231</v>
      </c>
      <c r="H13" s="6"/>
      <c r="J13" t="s">
        <v>825</v>
      </c>
      <c r="K13" t="s">
        <v>825</v>
      </c>
      <c r="O13">
        <v>1</v>
      </c>
      <c r="P13" t="s">
        <v>808</v>
      </c>
      <c r="T13" t="s">
        <v>964</v>
      </c>
    </row>
    <row r="14" spans="1:30">
      <c r="A14" s="6" t="s">
        <v>89</v>
      </c>
      <c r="B14" s="7"/>
      <c r="C14" s="6"/>
      <c r="D14" s="6"/>
      <c r="E14" s="6"/>
      <c r="F14" s="6">
        <v>2</v>
      </c>
      <c r="G14" s="6" t="s">
        <v>231</v>
      </c>
      <c r="H14" s="6"/>
      <c r="J14" t="s">
        <v>153</v>
      </c>
      <c r="K14" t="s">
        <v>826</v>
      </c>
      <c r="O14">
        <v>1</v>
      </c>
      <c r="P14" t="s">
        <v>29</v>
      </c>
    </row>
    <row r="15" spans="1:30">
      <c r="A15" s="6" t="s">
        <v>192</v>
      </c>
      <c r="B15" s="7"/>
      <c r="C15" s="6"/>
      <c r="D15" s="6"/>
      <c r="E15" s="6"/>
      <c r="F15" s="6">
        <v>2</v>
      </c>
      <c r="G15" s="6" t="s">
        <v>231</v>
      </c>
      <c r="H15" s="6"/>
      <c r="J15" t="s">
        <v>153</v>
      </c>
      <c r="K15" t="s">
        <v>647</v>
      </c>
      <c r="O15">
        <v>1</v>
      </c>
      <c r="P15" t="s">
        <v>29</v>
      </c>
    </row>
    <row r="16" spans="1:30" ht="30">
      <c r="A16" s="6" t="s">
        <v>673</v>
      </c>
      <c r="B16" s="7" t="s">
        <v>816</v>
      </c>
      <c r="C16" s="6"/>
      <c r="D16" s="6"/>
      <c r="E16" s="6"/>
      <c r="F16" s="6">
        <v>2</v>
      </c>
      <c r="G16" s="6" t="s">
        <v>231</v>
      </c>
      <c r="H16" s="6"/>
      <c r="J16" t="s">
        <v>153</v>
      </c>
      <c r="K16" t="s">
        <v>827</v>
      </c>
      <c r="O16">
        <v>1</v>
      </c>
      <c r="P16" t="s">
        <v>29</v>
      </c>
    </row>
    <row r="17" spans="1:16">
      <c r="A17" s="6" t="s">
        <v>253</v>
      </c>
      <c r="B17" s="7" t="s">
        <v>817</v>
      </c>
      <c r="C17" s="6"/>
      <c r="D17" s="6"/>
      <c r="E17" s="6"/>
      <c r="F17" s="6">
        <v>1</v>
      </c>
      <c r="G17" s="6" t="s">
        <v>231</v>
      </c>
      <c r="H17" s="6"/>
      <c r="J17" t="s">
        <v>153</v>
      </c>
      <c r="K17" t="s">
        <v>438</v>
      </c>
      <c r="O17">
        <v>3</v>
      </c>
      <c r="P17" t="s">
        <v>29</v>
      </c>
    </row>
    <row r="18" spans="1:16">
      <c r="A18" s="6" t="s">
        <v>818</v>
      </c>
      <c r="B18" s="7"/>
      <c r="C18" s="6"/>
      <c r="D18" s="6"/>
      <c r="E18" s="6"/>
      <c r="F18" s="6">
        <v>2</v>
      </c>
      <c r="G18" s="6" t="s">
        <v>231</v>
      </c>
      <c r="H18" s="6"/>
      <c r="J18" t="s">
        <v>153</v>
      </c>
      <c r="K18" t="s">
        <v>439</v>
      </c>
      <c r="O18">
        <v>3</v>
      </c>
      <c r="P18" t="s">
        <v>29</v>
      </c>
    </row>
    <row r="19" spans="1:16" ht="165">
      <c r="A19" s="6" t="s">
        <v>92</v>
      </c>
      <c r="B19" s="7" t="str">
        <f>bolso("Bolso de collares",Table621334751[])</f>
        <v xml:space="preserve">Bolso de collares Contiene:  Collar cervical pediatrico x2,  Collar cervical ch x3,  Collar cervical m x5,  Collar cervical g x4,  Collar cervical xg x1, </v>
      </c>
      <c r="C19" s="6"/>
      <c r="D19" s="6"/>
      <c r="E19" s="6"/>
      <c r="F19" s="6">
        <v>1</v>
      </c>
      <c r="G19" s="6" t="s">
        <v>8</v>
      </c>
      <c r="H19" s="6"/>
      <c r="J19" t="s">
        <v>153</v>
      </c>
      <c r="K19" t="s">
        <v>457</v>
      </c>
      <c r="O19">
        <v>1</v>
      </c>
      <c r="P19" t="s">
        <v>29</v>
      </c>
    </row>
    <row r="20" spans="1:16" ht="120">
      <c r="A20" s="6" t="s">
        <v>92</v>
      </c>
      <c r="B20" s="7" t="str">
        <f>bolso("Bolso de trauma",Table621334751[])</f>
        <v xml:space="preserve">Bolso de trauma Contiene:  ferulas sam splint 1 kit x1,  Bolsa valvula mascara x1,  Tensiometro x1,  Glucometro x1, </v>
      </c>
      <c r="C20" s="6"/>
      <c r="D20" s="6"/>
      <c r="E20" s="6"/>
      <c r="F20" s="6">
        <v>1</v>
      </c>
      <c r="G20" s="6" t="s">
        <v>8</v>
      </c>
      <c r="H20" s="6"/>
      <c r="J20" t="s">
        <v>153</v>
      </c>
      <c r="K20" t="s">
        <v>828</v>
      </c>
      <c r="O20">
        <v>1</v>
      </c>
      <c r="P20" t="s">
        <v>29</v>
      </c>
    </row>
    <row r="21" spans="1:16" ht="390">
      <c r="A21" s="6" t="s">
        <v>92</v>
      </c>
      <c r="B21" s="7" t="str">
        <f>bolso("Bolso de corte",Table621334751[])</f>
        <v xml:space="preserve">Bolso de corte Contiene:  Llaves para ascensor x1,  Pinza de punta x1,  Alicate grande x1,  Destornillador plano x3,  Destornillador phillips x3,  Masa de goma x1,  Alicate chico x1,  Guantes dielectricos x1,  Buscapolo x1,  Voltimetro x1,  Cintas de obturacion x5,  Estacas de obturacion de madera x13,  Extractor NH x1,  Alfombra dielectrica x1, </v>
      </c>
      <c r="C21" s="6"/>
      <c r="D21" s="6"/>
      <c r="E21" s="6"/>
      <c r="F21" s="6"/>
      <c r="G21" s="6" t="s">
        <v>231</v>
      </c>
      <c r="H21" s="6"/>
      <c r="J21" t="s">
        <v>137</v>
      </c>
      <c r="K21" t="s">
        <v>193</v>
      </c>
      <c r="O21">
        <v>1</v>
      </c>
      <c r="P21" t="s">
        <v>29</v>
      </c>
    </row>
    <row r="22" spans="1:16">
      <c r="A22" s="6" t="s">
        <v>187</v>
      </c>
      <c r="B22" s="7"/>
      <c r="C22" s="6"/>
      <c r="D22" s="6"/>
      <c r="E22" s="6"/>
      <c r="F22" s="6">
        <v>10</v>
      </c>
      <c r="G22" s="6" t="s">
        <v>231</v>
      </c>
      <c r="H22" s="6"/>
      <c r="J22" t="s">
        <v>153</v>
      </c>
      <c r="K22" t="s">
        <v>829</v>
      </c>
      <c r="O22">
        <v>1</v>
      </c>
      <c r="P22" t="s">
        <v>29</v>
      </c>
    </row>
    <row r="23" spans="1:16">
      <c r="A23" s="6" t="s">
        <v>185</v>
      </c>
      <c r="B23" s="7"/>
      <c r="C23" s="6"/>
      <c r="D23" s="6"/>
      <c r="E23" s="6"/>
      <c r="F23" s="6">
        <v>5</v>
      </c>
      <c r="G23" s="6" t="s">
        <v>231</v>
      </c>
      <c r="H23" s="6"/>
      <c r="J23" t="s">
        <v>148</v>
      </c>
      <c r="K23" t="s">
        <v>830</v>
      </c>
      <c r="O23">
        <v>1</v>
      </c>
      <c r="P23" t="s">
        <v>29</v>
      </c>
    </row>
    <row r="24" spans="1:16">
      <c r="A24" s="6" t="s">
        <v>136</v>
      </c>
      <c r="B24" s="7"/>
      <c r="C24" s="6"/>
      <c r="D24" s="6"/>
      <c r="E24" s="6"/>
      <c r="F24" s="6">
        <v>3</v>
      </c>
      <c r="G24" s="6" t="s">
        <v>6</v>
      </c>
      <c r="H24" s="6"/>
      <c r="J24" t="s">
        <v>603</v>
      </c>
      <c r="K24" t="s">
        <v>831</v>
      </c>
      <c r="O24">
        <v>5</v>
      </c>
      <c r="P24" t="s">
        <v>29</v>
      </c>
    </row>
    <row r="25" spans="1:16">
      <c r="A25" s="6" t="s">
        <v>88</v>
      </c>
      <c r="B25" s="7" t="s">
        <v>835</v>
      </c>
      <c r="C25" s="6"/>
      <c r="D25" s="6"/>
      <c r="E25" s="6"/>
      <c r="F25" s="6">
        <v>3</v>
      </c>
      <c r="G25" s="6" t="s">
        <v>6</v>
      </c>
      <c r="H25" s="6"/>
      <c r="J25" t="s">
        <v>603</v>
      </c>
      <c r="K25" t="s">
        <v>832</v>
      </c>
      <c r="O25">
        <v>13</v>
      </c>
      <c r="P25" t="s">
        <v>29</v>
      </c>
    </row>
    <row r="26" spans="1:16">
      <c r="A26" s="6" t="s">
        <v>153</v>
      </c>
      <c r="B26" s="7" t="s">
        <v>410</v>
      </c>
      <c r="C26" s="6"/>
      <c r="D26" s="6"/>
      <c r="E26" s="6"/>
      <c r="F26" s="6">
        <v>1</v>
      </c>
      <c r="G26" s="6" t="s">
        <v>6</v>
      </c>
      <c r="H26" s="6"/>
      <c r="J26" t="s">
        <v>148</v>
      </c>
      <c r="K26" t="s">
        <v>643</v>
      </c>
      <c r="O26">
        <v>1</v>
      </c>
      <c r="P26" t="s">
        <v>29</v>
      </c>
    </row>
    <row r="27" spans="1:16">
      <c r="A27" s="6" t="s">
        <v>836</v>
      </c>
      <c r="B27" s="7"/>
      <c r="C27" s="6"/>
      <c r="D27" s="6"/>
      <c r="E27" s="6"/>
      <c r="F27" s="6">
        <v>1</v>
      </c>
      <c r="G27" s="6" t="s">
        <v>6</v>
      </c>
      <c r="H27" s="6"/>
      <c r="J27" t="s">
        <v>137</v>
      </c>
      <c r="K27" t="s">
        <v>138</v>
      </c>
      <c r="O27">
        <v>1</v>
      </c>
      <c r="P27" t="s">
        <v>29</v>
      </c>
    </row>
    <row r="28" spans="1:16" ht="30">
      <c r="A28" s="6" t="s">
        <v>735</v>
      </c>
      <c r="B28" s="7" t="s">
        <v>837</v>
      </c>
      <c r="C28" s="6"/>
      <c r="D28" s="6"/>
      <c r="E28" s="6"/>
      <c r="F28" s="6">
        <v>1</v>
      </c>
      <c r="G28" s="6" t="s">
        <v>6</v>
      </c>
      <c r="H28" s="6"/>
      <c r="J28" t="s">
        <v>671</v>
      </c>
      <c r="K28" t="s">
        <v>321</v>
      </c>
      <c r="O28">
        <v>1</v>
      </c>
      <c r="P28" t="s">
        <v>839</v>
      </c>
    </row>
    <row r="29" spans="1:16" ht="30">
      <c r="A29" s="6" t="s">
        <v>735</v>
      </c>
      <c r="B29" s="7" t="s">
        <v>838</v>
      </c>
      <c r="C29" s="6"/>
      <c r="D29" s="6"/>
      <c r="E29" s="6"/>
      <c r="F29" s="6">
        <v>1</v>
      </c>
      <c r="G29" s="6" t="s">
        <v>6</v>
      </c>
      <c r="H29" s="6"/>
      <c r="J29" t="s">
        <v>671</v>
      </c>
      <c r="K29" t="s">
        <v>840</v>
      </c>
      <c r="O29">
        <v>2</v>
      </c>
      <c r="P29" t="s">
        <v>839</v>
      </c>
    </row>
    <row r="30" spans="1:16">
      <c r="A30" s="6" t="s">
        <v>130</v>
      </c>
      <c r="B30" s="7"/>
      <c r="C30" s="6"/>
      <c r="D30" s="6" t="s">
        <v>792</v>
      </c>
      <c r="E30" s="6" t="s">
        <v>792</v>
      </c>
      <c r="F30" s="6">
        <v>1</v>
      </c>
      <c r="G30" s="6" t="s">
        <v>6</v>
      </c>
      <c r="H30" s="6"/>
      <c r="J30" t="s">
        <v>187</v>
      </c>
      <c r="K30" t="s">
        <v>834</v>
      </c>
      <c r="O30">
        <v>1</v>
      </c>
      <c r="P30" t="s">
        <v>839</v>
      </c>
    </row>
    <row r="31" spans="1:16">
      <c r="A31" s="6" t="s">
        <v>40</v>
      </c>
      <c r="B31" s="7" t="s">
        <v>791</v>
      </c>
      <c r="C31" t="s">
        <v>792</v>
      </c>
      <c r="D31" s="6"/>
      <c r="E31" s="6"/>
      <c r="F31" s="6">
        <v>1</v>
      </c>
      <c r="G31" s="6" t="s">
        <v>6</v>
      </c>
      <c r="H31" s="6"/>
      <c r="J31" t="s">
        <v>671</v>
      </c>
      <c r="K31" t="s">
        <v>376</v>
      </c>
      <c r="L31" t="s">
        <v>792</v>
      </c>
      <c r="M31" t="s">
        <v>792</v>
      </c>
      <c r="N31" t="s">
        <v>792</v>
      </c>
      <c r="O31">
        <v>1</v>
      </c>
      <c r="P31" t="s">
        <v>839</v>
      </c>
    </row>
    <row r="32" spans="1:16">
      <c r="A32" s="6" t="s">
        <v>108</v>
      </c>
      <c r="B32" s="7"/>
      <c r="C32" t="s">
        <v>792</v>
      </c>
      <c r="D32" s="6"/>
      <c r="E32" s="6"/>
      <c r="F32" s="6">
        <v>1</v>
      </c>
      <c r="G32" s="6" t="s">
        <v>6</v>
      </c>
      <c r="H32" s="6"/>
      <c r="J32" t="s">
        <v>90</v>
      </c>
      <c r="K32" t="s">
        <v>847</v>
      </c>
      <c r="O32">
        <v>4</v>
      </c>
      <c r="P32" t="s">
        <v>850</v>
      </c>
    </row>
    <row r="33" spans="1:16">
      <c r="A33" s="6" t="s">
        <v>132</v>
      </c>
      <c r="B33" s="7"/>
      <c r="C33" s="6"/>
      <c r="D33" t="s">
        <v>792</v>
      </c>
      <c r="E33" t="s">
        <v>792</v>
      </c>
      <c r="F33" s="6">
        <v>1</v>
      </c>
      <c r="G33" s="6" t="s">
        <v>6</v>
      </c>
      <c r="H33" s="6"/>
      <c r="J33" t="s">
        <v>90</v>
      </c>
      <c r="K33" t="s">
        <v>848</v>
      </c>
      <c r="O33">
        <v>2</v>
      </c>
      <c r="P33" t="s">
        <v>850</v>
      </c>
    </row>
    <row r="34" spans="1:16">
      <c r="A34" s="6" t="s">
        <v>688</v>
      </c>
      <c r="B34" s="7"/>
      <c r="C34" s="6"/>
      <c r="D34" t="s">
        <v>792</v>
      </c>
      <c r="E34" t="s">
        <v>792</v>
      </c>
      <c r="F34" s="6">
        <v>1</v>
      </c>
      <c r="G34" s="6" t="s">
        <v>6</v>
      </c>
      <c r="H34" s="6"/>
      <c r="J34" t="s">
        <v>395</v>
      </c>
      <c r="K34" t="s">
        <v>849</v>
      </c>
      <c r="O34">
        <v>1</v>
      </c>
      <c r="P34" t="s">
        <v>850</v>
      </c>
    </row>
    <row r="35" spans="1:16">
      <c r="A35" s="6" t="s">
        <v>239</v>
      </c>
      <c r="B35" s="7"/>
      <c r="C35" s="6"/>
      <c r="D35" t="s">
        <v>792</v>
      </c>
      <c r="E35" t="s">
        <v>792</v>
      </c>
      <c r="F35" s="6">
        <v>1</v>
      </c>
      <c r="G35" s="6" t="s">
        <v>252</v>
      </c>
      <c r="H35" s="6"/>
      <c r="J35" t="s">
        <v>153</v>
      </c>
      <c r="K35" t="s">
        <v>869</v>
      </c>
      <c r="O35">
        <v>3</v>
      </c>
      <c r="P35" t="s">
        <v>868</v>
      </c>
    </row>
    <row r="36" spans="1:16" ht="135">
      <c r="A36" s="6" t="s">
        <v>398</v>
      </c>
      <c r="B36" s="7" t="str">
        <f>bolso("Cajon minicojines",Table621334751[])</f>
        <v xml:space="preserve">Cajon minicojines Contiene:  Comando de minicojines x1,  mangueras para minicojines x2,  cilindro x1,  minicojin x1, </v>
      </c>
      <c r="C36" s="6"/>
      <c r="D36" s="6"/>
      <c r="E36" s="6"/>
      <c r="F36" s="6">
        <v>1</v>
      </c>
      <c r="G36" s="6" t="s">
        <v>252</v>
      </c>
      <c r="H36" s="6"/>
      <c r="J36" t="s">
        <v>153</v>
      </c>
      <c r="K36" t="s">
        <v>206</v>
      </c>
      <c r="O36">
        <v>1</v>
      </c>
      <c r="P36" t="s">
        <v>868</v>
      </c>
    </row>
    <row r="37" spans="1:16">
      <c r="A37" s="6" t="s">
        <v>59</v>
      </c>
      <c r="B37" s="7" t="s">
        <v>122</v>
      </c>
      <c r="C37" t="s">
        <v>792</v>
      </c>
      <c r="D37" s="6"/>
      <c r="E37" s="6"/>
      <c r="F37" s="6">
        <v>1</v>
      </c>
      <c r="G37" s="6" t="s">
        <v>298</v>
      </c>
      <c r="H37" s="6"/>
      <c r="J37" t="s">
        <v>153</v>
      </c>
      <c r="K37" t="s">
        <v>870</v>
      </c>
      <c r="O37">
        <v>1</v>
      </c>
      <c r="P37" t="s">
        <v>868</v>
      </c>
    </row>
    <row r="38" spans="1:16">
      <c r="A38" s="6" t="s">
        <v>172</v>
      </c>
      <c r="B38" s="7"/>
      <c r="C38" s="6" t="s">
        <v>233</v>
      </c>
      <c r="D38" s="6"/>
      <c r="E38" s="6"/>
      <c r="F38" s="6">
        <v>1</v>
      </c>
      <c r="G38" s="6" t="s">
        <v>298</v>
      </c>
      <c r="H38" s="6"/>
      <c r="J38" t="s">
        <v>153</v>
      </c>
      <c r="K38" t="s">
        <v>871</v>
      </c>
      <c r="O38">
        <v>1</v>
      </c>
      <c r="P38" t="s">
        <v>868</v>
      </c>
    </row>
    <row r="39" spans="1:16">
      <c r="A39" s="6" t="s">
        <v>171</v>
      </c>
      <c r="B39" s="7"/>
      <c r="C39" s="6" t="s">
        <v>841</v>
      </c>
      <c r="D39" s="6"/>
      <c r="E39" s="6"/>
      <c r="F39" s="6">
        <v>1</v>
      </c>
      <c r="G39" s="6" t="s">
        <v>298</v>
      </c>
      <c r="H39" s="6"/>
      <c r="J39" t="s">
        <v>867</v>
      </c>
      <c r="K39" t="s">
        <v>867</v>
      </c>
      <c r="O39">
        <v>1</v>
      </c>
      <c r="P39" t="s">
        <v>868</v>
      </c>
    </row>
    <row r="40" spans="1:16">
      <c r="A40" s="6" t="s">
        <v>54</v>
      </c>
      <c r="B40" s="7" t="s">
        <v>842</v>
      </c>
      <c r="C40" s="6" t="s">
        <v>792</v>
      </c>
      <c r="D40" s="6"/>
      <c r="E40" s="6"/>
      <c r="F40" s="6">
        <v>1</v>
      </c>
      <c r="G40" s="6" t="s">
        <v>298</v>
      </c>
      <c r="H40" s="6"/>
      <c r="J40" t="s">
        <v>153</v>
      </c>
      <c r="K40" t="s">
        <v>872</v>
      </c>
      <c r="O40">
        <v>1</v>
      </c>
      <c r="P40" t="s">
        <v>868</v>
      </c>
    </row>
    <row r="41" spans="1:16">
      <c r="A41" s="6" t="s">
        <v>11</v>
      </c>
      <c r="B41" s="7"/>
      <c r="C41" s="6" t="s">
        <v>121</v>
      </c>
      <c r="D41" s="6"/>
      <c r="E41" s="6"/>
      <c r="F41" s="6">
        <v>1</v>
      </c>
      <c r="G41" s="6" t="s">
        <v>298</v>
      </c>
      <c r="H41" s="6"/>
      <c r="J41" t="s">
        <v>153</v>
      </c>
      <c r="K41" t="s">
        <v>873</v>
      </c>
      <c r="O41">
        <v>1</v>
      </c>
      <c r="P41" t="s">
        <v>868</v>
      </c>
    </row>
    <row r="42" spans="1:16">
      <c r="A42" s="6" t="s">
        <v>11</v>
      </c>
      <c r="B42" s="7"/>
      <c r="C42" s="6" t="s">
        <v>79</v>
      </c>
      <c r="D42" s="6"/>
      <c r="E42" s="6"/>
      <c r="F42" s="6">
        <v>1</v>
      </c>
      <c r="G42" s="6" t="s">
        <v>298</v>
      </c>
      <c r="H42" s="6"/>
      <c r="J42" t="s">
        <v>874</v>
      </c>
      <c r="K42" t="s">
        <v>875</v>
      </c>
      <c r="O42">
        <v>1</v>
      </c>
      <c r="P42" t="s">
        <v>868</v>
      </c>
    </row>
    <row r="43" spans="1:16" ht="30">
      <c r="A43" s="6" t="s">
        <v>32</v>
      </c>
      <c r="B43" s="7" t="s">
        <v>843</v>
      </c>
      <c r="C43" s="6" t="s">
        <v>72</v>
      </c>
      <c r="D43" s="6"/>
      <c r="E43" s="6"/>
      <c r="F43" s="6">
        <v>1</v>
      </c>
      <c r="G43" s="6" t="s">
        <v>298</v>
      </c>
      <c r="H43" s="6"/>
      <c r="J43" t="s">
        <v>783</v>
      </c>
      <c r="K43" t="s">
        <v>783</v>
      </c>
      <c r="O43">
        <v>1</v>
      </c>
      <c r="P43" t="s">
        <v>886</v>
      </c>
    </row>
    <row r="44" spans="1:16">
      <c r="A44" s="6" t="s">
        <v>108</v>
      </c>
      <c r="B44" s="7"/>
      <c r="C44" s="6" t="s">
        <v>794</v>
      </c>
      <c r="D44" s="6"/>
      <c r="E44" s="6"/>
      <c r="F44" s="6">
        <v>1</v>
      </c>
      <c r="G44" s="6" t="s">
        <v>298</v>
      </c>
      <c r="H44" s="6"/>
      <c r="J44" t="s">
        <v>754</v>
      </c>
      <c r="K44" t="s">
        <v>754</v>
      </c>
      <c r="L44" t="s">
        <v>792</v>
      </c>
      <c r="O44">
        <v>1</v>
      </c>
      <c r="P44" t="s">
        <v>886</v>
      </c>
    </row>
    <row r="45" spans="1:16">
      <c r="A45" s="6" t="s">
        <v>153</v>
      </c>
      <c r="B45" s="7" t="s">
        <v>167</v>
      </c>
      <c r="C45" s="6"/>
      <c r="D45" s="6"/>
      <c r="E45" s="6"/>
      <c r="F45" s="6">
        <v>1</v>
      </c>
      <c r="G45" s="6" t="s">
        <v>10</v>
      </c>
      <c r="H45" s="6"/>
      <c r="J45" t="s">
        <v>104</v>
      </c>
      <c r="K45" t="s">
        <v>890</v>
      </c>
      <c r="L45" t="s">
        <v>891</v>
      </c>
      <c r="M45" t="s">
        <v>891</v>
      </c>
      <c r="N45" t="s">
        <v>891</v>
      </c>
      <c r="O45">
        <v>1</v>
      </c>
      <c r="P45" t="s">
        <v>889</v>
      </c>
    </row>
    <row r="46" spans="1:16">
      <c r="A46" s="6" t="s">
        <v>153</v>
      </c>
      <c r="B46" s="7" t="s">
        <v>156</v>
      </c>
      <c r="C46" s="6"/>
      <c r="D46" s="6"/>
      <c r="E46" s="6"/>
      <c r="F46" s="6">
        <v>1</v>
      </c>
      <c r="G46" s="6" t="s">
        <v>10</v>
      </c>
      <c r="H46" s="6"/>
      <c r="J46" t="s">
        <v>860</v>
      </c>
      <c r="K46" t="s">
        <v>965</v>
      </c>
      <c r="L46" t="s">
        <v>861</v>
      </c>
      <c r="O46">
        <v>2</v>
      </c>
      <c r="P46" t="s">
        <v>964</v>
      </c>
    </row>
    <row r="47" spans="1:16">
      <c r="A47" s="6" t="s">
        <v>153</v>
      </c>
      <c r="B47" s="7" t="s">
        <v>844</v>
      </c>
      <c r="C47" s="6"/>
      <c r="D47" s="6"/>
      <c r="E47" s="6"/>
      <c r="F47" s="6">
        <v>1</v>
      </c>
      <c r="G47" s="6" t="s">
        <v>10</v>
      </c>
      <c r="H47" s="6"/>
      <c r="J47" t="s">
        <v>863</v>
      </c>
      <c r="K47" t="s">
        <v>966</v>
      </c>
      <c r="O47">
        <v>1</v>
      </c>
      <c r="P47" t="s">
        <v>964</v>
      </c>
    </row>
    <row r="48" spans="1:16">
      <c r="A48" s="6" t="s">
        <v>153</v>
      </c>
      <c r="B48" s="7" t="s">
        <v>845</v>
      </c>
      <c r="C48" s="6"/>
      <c r="D48" s="6"/>
      <c r="E48" s="6"/>
      <c r="F48" s="6">
        <v>1</v>
      </c>
      <c r="G48" s="6" t="s">
        <v>10</v>
      </c>
      <c r="H48" s="6"/>
      <c r="J48" t="s">
        <v>906</v>
      </c>
      <c r="K48" t="s">
        <v>967</v>
      </c>
      <c r="O48">
        <v>2</v>
      </c>
      <c r="P48" t="s">
        <v>964</v>
      </c>
    </row>
    <row r="49" spans="1:16">
      <c r="A49" s="6" t="s">
        <v>153</v>
      </c>
      <c r="B49" s="7" t="s">
        <v>795</v>
      </c>
      <c r="C49" s="6"/>
      <c r="D49" s="6"/>
      <c r="E49" s="6"/>
      <c r="F49" s="6">
        <v>1</v>
      </c>
      <c r="G49" s="6" t="s">
        <v>10</v>
      </c>
      <c r="H49" s="6"/>
      <c r="J49" t="s">
        <v>302</v>
      </c>
      <c r="K49" t="s">
        <v>968</v>
      </c>
      <c r="O49">
        <v>1</v>
      </c>
      <c r="P49" t="s">
        <v>964</v>
      </c>
    </row>
    <row r="50" spans="1:16">
      <c r="A50" s="6" t="s">
        <v>188</v>
      </c>
      <c r="B50" s="7"/>
      <c r="C50" s="6"/>
      <c r="D50" s="6"/>
      <c r="E50" s="6"/>
      <c r="F50" s="6">
        <v>1</v>
      </c>
      <c r="G50" s="6" t="s">
        <v>10</v>
      </c>
      <c r="H50" s="6"/>
      <c r="J50" t="s">
        <v>864</v>
      </c>
      <c r="K50" t="s">
        <v>864</v>
      </c>
      <c r="L50" t="s">
        <v>969</v>
      </c>
      <c r="O50">
        <v>1</v>
      </c>
      <c r="P50" t="s">
        <v>964</v>
      </c>
    </row>
    <row r="51" spans="1:16">
      <c r="A51" s="6" t="s">
        <v>188</v>
      </c>
      <c r="B51" s="7" t="s">
        <v>846</v>
      </c>
      <c r="C51" s="6"/>
      <c r="D51" s="6"/>
      <c r="E51" s="6"/>
      <c r="F51" s="6">
        <v>1</v>
      </c>
      <c r="G51" s="6" t="s">
        <v>10</v>
      </c>
      <c r="H51" s="6"/>
      <c r="J51" t="s">
        <v>865</v>
      </c>
      <c r="K51" t="s">
        <v>865</v>
      </c>
      <c r="L51" t="s">
        <v>969</v>
      </c>
      <c r="O51">
        <v>1</v>
      </c>
      <c r="P51" t="s">
        <v>964</v>
      </c>
    </row>
    <row r="52" spans="1:16" ht="135">
      <c r="A52" s="6" t="s">
        <v>398</v>
      </c>
      <c r="B52" s="7" t="str">
        <f>bolso("Cajon de material para obitos",Table621334751[])</f>
        <v xml:space="preserve">Cajon de material para obitos Contiene:  clase "C" x4,  clase "A" x2,  chaleco seguridad vial. NO INFORMA CANTIDAD. x1, </v>
      </c>
      <c r="C52" s="6"/>
      <c r="D52" s="6"/>
      <c r="E52" s="6"/>
      <c r="F52" s="6">
        <v>1</v>
      </c>
      <c r="G52" s="6" t="s">
        <v>10</v>
      </c>
      <c r="H52" s="6"/>
      <c r="J52" t="s">
        <v>863</v>
      </c>
      <c r="K52" t="s">
        <v>970</v>
      </c>
      <c r="O52">
        <v>1</v>
      </c>
      <c r="P52" t="s">
        <v>964</v>
      </c>
    </row>
    <row r="53" spans="1:16">
      <c r="A53" s="6" t="s">
        <v>153</v>
      </c>
      <c r="B53" s="7" t="s">
        <v>26</v>
      </c>
      <c r="C53" s="6"/>
      <c r="D53" s="6"/>
      <c r="E53" s="6"/>
      <c r="F53" s="6">
        <v>4</v>
      </c>
      <c r="G53" s="6" t="s">
        <v>9</v>
      </c>
      <c r="H53" s="6"/>
      <c r="J53" t="s">
        <v>866</v>
      </c>
      <c r="K53" t="s">
        <v>866</v>
      </c>
      <c r="M53" t="s">
        <v>971</v>
      </c>
      <c r="O53">
        <v>1</v>
      </c>
      <c r="P53" t="s">
        <v>964</v>
      </c>
    </row>
    <row r="54" spans="1:16">
      <c r="A54" s="6" t="s">
        <v>851</v>
      </c>
      <c r="B54" s="7"/>
      <c r="C54" s="6" t="s">
        <v>791</v>
      </c>
      <c r="D54" s="6"/>
      <c r="E54" s="6"/>
      <c r="F54" s="6">
        <v>1</v>
      </c>
      <c r="G54" s="6" t="s">
        <v>9</v>
      </c>
      <c r="H54" s="6"/>
      <c r="J54" t="s">
        <v>904</v>
      </c>
      <c r="K54" t="s">
        <v>972</v>
      </c>
      <c r="O54">
        <v>1</v>
      </c>
      <c r="P54" t="s">
        <v>964</v>
      </c>
    </row>
    <row r="55" spans="1:16">
      <c r="A55" s="6" t="s">
        <v>11</v>
      </c>
      <c r="B55" s="7"/>
      <c r="C55" s="6" t="s">
        <v>79</v>
      </c>
      <c r="D55" s="6"/>
      <c r="E55" s="6"/>
      <c r="F55" s="6">
        <v>1</v>
      </c>
      <c r="G55" s="6" t="s">
        <v>9</v>
      </c>
      <c r="H55" s="6"/>
      <c r="J55" t="s">
        <v>904</v>
      </c>
      <c r="K55" t="s">
        <v>973</v>
      </c>
      <c r="O55">
        <v>1</v>
      </c>
      <c r="P55" t="s">
        <v>964</v>
      </c>
    </row>
    <row r="56" spans="1:16">
      <c r="A56" s="6" t="s">
        <v>32</v>
      </c>
      <c r="B56" s="7" t="s">
        <v>815</v>
      </c>
      <c r="C56" s="6" t="s">
        <v>72</v>
      </c>
      <c r="D56" s="6"/>
      <c r="E56" s="6"/>
      <c r="F56" s="6">
        <v>2</v>
      </c>
      <c r="G56" s="6" t="s">
        <v>9</v>
      </c>
      <c r="H56" s="6"/>
      <c r="J56" t="s">
        <v>865</v>
      </c>
      <c r="K56" t="s">
        <v>974</v>
      </c>
      <c r="L56" t="s">
        <v>910</v>
      </c>
      <c r="O56">
        <v>5</v>
      </c>
      <c r="P56" t="s">
        <v>964</v>
      </c>
    </row>
    <row r="57" spans="1:16">
      <c r="A57" s="6" t="s">
        <v>11</v>
      </c>
      <c r="B57" s="7"/>
      <c r="C57" s="6" t="s">
        <v>852</v>
      </c>
      <c r="D57" s="6"/>
      <c r="E57" s="6"/>
      <c r="F57" s="6">
        <v>2</v>
      </c>
      <c r="G57" s="6" t="s">
        <v>9</v>
      </c>
      <c r="H57" s="6"/>
      <c r="J57" t="s">
        <v>912</v>
      </c>
      <c r="K57" t="s">
        <v>975</v>
      </c>
      <c r="O57">
        <v>1</v>
      </c>
      <c r="P57" t="s">
        <v>964</v>
      </c>
    </row>
    <row r="58" spans="1:16">
      <c r="A58" s="6" t="s">
        <v>43</v>
      </c>
      <c r="B58" s="7" t="s">
        <v>853</v>
      </c>
      <c r="C58" s="6" t="s">
        <v>66</v>
      </c>
      <c r="D58" s="6"/>
      <c r="E58" s="6"/>
      <c r="F58" s="6">
        <v>2</v>
      </c>
      <c r="G58" s="6" t="s">
        <v>9</v>
      </c>
      <c r="H58" s="6"/>
      <c r="J58" t="s">
        <v>912</v>
      </c>
      <c r="K58" t="s">
        <v>976</v>
      </c>
      <c r="O58">
        <v>1</v>
      </c>
      <c r="P58" t="s">
        <v>964</v>
      </c>
    </row>
    <row r="59" spans="1:16">
      <c r="A59" s="6" t="s">
        <v>43</v>
      </c>
      <c r="B59" s="7" t="s">
        <v>796</v>
      </c>
      <c r="C59" s="6" t="s">
        <v>66</v>
      </c>
      <c r="D59" s="6"/>
      <c r="E59" s="6"/>
      <c r="F59" s="6">
        <v>2</v>
      </c>
      <c r="G59" s="6" t="s">
        <v>9</v>
      </c>
      <c r="H59" s="6"/>
      <c r="J59" t="s">
        <v>903</v>
      </c>
      <c r="K59" t="s">
        <v>977</v>
      </c>
      <c r="O59">
        <v>3</v>
      </c>
      <c r="P59" t="s">
        <v>964</v>
      </c>
    </row>
    <row r="60" spans="1:16">
      <c r="A60" s="6" t="s">
        <v>44</v>
      </c>
      <c r="B60" s="7"/>
      <c r="C60" t="s">
        <v>854</v>
      </c>
      <c r="D60" s="6"/>
      <c r="E60" s="6"/>
      <c r="F60" s="6">
        <v>1</v>
      </c>
      <c r="G60" s="6" t="s">
        <v>9</v>
      </c>
      <c r="H60" s="6"/>
      <c r="J60" t="s">
        <v>903</v>
      </c>
      <c r="K60" t="s">
        <v>978</v>
      </c>
      <c r="O60">
        <v>1</v>
      </c>
      <c r="P60" t="s">
        <v>964</v>
      </c>
    </row>
    <row r="61" spans="1:16">
      <c r="A61" s="6" t="s">
        <v>43</v>
      </c>
      <c r="B61" s="7"/>
      <c r="C61" t="s">
        <v>855</v>
      </c>
      <c r="D61" s="6"/>
      <c r="E61" s="6"/>
      <c r="F61" s="6">
        <v>1</v>
      </c>
      <c r="G61" s="6" t="s">
        <v>9</v>
      </c>
      <c r="H61" s="6"/>
      <c r="J61" t="s">
        <v>906</v>
      </c>
      <c r="K61" t="s">
        <v>981</v>
      </c>
      <c r="M61" t="s">
        <v>982</v>
      </c>
      <c r="O61">
        <v>1</v>
      </c>
      <c r="P61" t="s">
        <v>964</v>
      </c>
    </row>
    <row r="62" spans="1:16">
      <c r="A62" s="6" t="s">
        <v>44</v>
      </c>
      <c r="B62" s="7"/>
      <c r="C62" t="s">
        <v>856</v>
      </c>
      <c r="D62" s="6"/>
      <c r="E62" s="6"/>
      <c r="F62" s="6">
        <v>1</v>
      </c>
      <c r="G62" s="6" t="s">
        <v>9</v>
      </c>
      <c r="H62" s="6"/>
      <c r="J62" t="s">
        <v>302</v>
      </c>
      <c r="K62" t="s">
        <v>979</v>
      </c>
      <c r="M62" t="s">
        <v>980</v>
      </c>
      <c r="O62">
        <v>1</v>
      </c>
      <c r="P62" t="s">
        <v>964</v>
      </c>
    </row>
    <row r="63" spans="1:16">
      <c r="A63" s="6" t="s">
        <v>44</v>
      </c>
      <c r="B63" s="7"/>
      <c r="C63" s="6" t="s">
        <v>45</v>
      </c>
      <c r="D63" s="6"/>
      <c r="E63" s="6"/>
      <c r="F63" s="6">
        <v>2</v>
      </c>
      <c r="G63" s="6" t="s">
        <v>9</v>
      </c>
      <c r="H63" s="6"/>
      <c r="J63" t="s">
        <v>734</v>
      </c>
      <c r="K63" t="s">
        <v>983</v>
      </c>
      <c r="O63">
        <v>1</v>
      </c>
      <c r="P63" t="s">
        <v>964</v>
      </c>
    </row>
    <row r="64" spans="1:16">
      <c r="A64" s="6" t="s">
        <v>44</v>
      </c>
      <c r="B64" s="7"/>
      <c r="C64" t="s">
        <v>857</v>
      </c>
      <c r="D64" s="6"/>
      <c r="E64" s="6"/>
      <c r="F64" s="6">
        <v>1</v>
      </c>
      <c r="G64" s="6" t="s">
        <v>9</v>
      </c>
      <c r="H64" s="6"/>
      <c r="J64" t="s">
        <v>860</v>
      </c>
      <c r="O64">
        <v>3</v>
      </c>
      <c r="P64" t="s">
        <v>964</v>
      </c>
    </row>
    <row r="65" spans="1:8">
      <c r="A65" s="6" t="s">
        <v>44</v>
      </c>
      <c r="B65" s="7"/>
      <c r="C65" s="6" t="s">
        <v>858</v>
      </c>
      <c r="D65" s="6"/>
      <c r="E65" s="6"/>
      <c r="F65" s="6">
        <v>1</v>
      </c>
      <c r="G65" s="6" t="s">
        <v>9</v>
      </c>
      <c r="H65" s="6"/>
    </row>
    <row r="66" spans="1:8">
      <c r="A66" s="6" t="s">
        <v>44</v>
      </c>
      <c r="B66" s="7"/>
      <c r="C66" t="s">
        <v>296</v>
      </c>
      <c r="D66" s="6"/>
      <c r="E66" s="6"/>
      <c r="F66" s="6">
        <v>1</v>
      </c>
      <c r="G66" s="6" t="s">
        <v>9</v>
      </c>
      <c r="H66" s="6"/>
    </row>
    <row r="67" spans="1:8">
      <c r="A67" s="6" t="s">
        <v>11</v>
      </c>
      <c r="B67" s="7"/>
      <c r="C67" t="s">
        <v>852</v>
      </c>
      <c r="D67" s="6"/>
      <c r="E67" s="6"/>
      <c r="F67" s="6">
        <v>2</v>
      </c>
      <c r="G67" s="6" t="s">
        <v>298</v>
      </c>
      <c r="H67" s="6"/>
    </row>
    <row r="68" spans="1:8" ht="30">
      <c r="A68" s="6" t="s">
        <v>32</v>
      </c>
      <c r="B68" s="7" t="s">
        <v>843</v>
      </c>
      <c r="C68" s="6" t="s">
        <v>52</v>
      </c>
      <c r="D68" s="6"/>
      <c r="E68" s="6"/>
      <c r="F68" s="6">
        <v>1</v>
      </c>
      <c r="G68" s="6" t="s">
        <v>298</v>
      </c>
      <c r="H68" s="6"/>
    </row>
    <row r="69" spans="1:8">
      <c r="A69" s="6" t="s">
        <v>11</v>
      </c>
      <c r="B69" s="7"/>
      <c r="C69" s="6" t="s">
        <v>79</v>
      </c>
      <c r="D69" s="6"/>
      <c r="E69" s="6"/>
      <c r="F69" s="6">
        <v>2</v>
      </c>
      <c r="G69" s="6" t="s">
        <v>298</v>
      </c>
      <c r="H69" s="6"/>
    </row>
    <row r="70" spans="1:8">
      <c r="A70" s="6" t="s">
        <v>11</v>
      </c>
      <c r="B70" s="7"/>
      <c r="C70" t="s">
        <v>852</v>
      </c>
      <c r="D70" s="6"/>
      <c r="E70" s="6"/>
      <c r="F70" s="6">
        <v>3</v>
      </c>
      <c r="G70" s="6" t="s">
        <v>298</v>
      </c>
      <c r="H70" s="6"/>
    </row>
    <row r="71" spans="1:8">
      <c r="A71" s="6" t="s">
        <v>11</v>
      </c>
      <c r="B71" s="7"/>
      <c r="C71" s="6" t="s">
        <v>31</v>
      </c>
      <c r="D71" s="6"/>
      <c r="E71" s="6"/>
      <c r="F71" s="6">
        <v>3</v>
      </c>
      <c r="G71" s="6" t="s">
        <v>298</v>
      </c>
      <c r="H71" s="6"/>
    </row>
    <row r="72" spans="1:8">
      <c r="A72" s="6" t="s">
        <v>108</v>
      </c>
      <c r="B72" s="7"/>
      <c r="C72" s="6" t="s">
        <v>862</v>
      </c>
      <c r="D72" s="6"/>
      <c r="E72" s="6"/>
      <c r="F72" s="6">
        <v>1</v>
      </c>
      <c r="G72" s="6" t="s">
        <v>298</v>
      </c>
      <c r="H72" s="6"/>
    </row>
    <row r="73" spans="1:8">
      <c r="A73" s="6" t="s">
        <v>157</v>
      </c>
      <c r="B73" s="7"/>
      <c r="C73" s="6" t="s">
        <v>636</v>
      </c>
      <c r="D73" s="6"/>
      <c r="E73" s="6"/>
      <c r="F73" s="6">
        <v>1</v>
      </c>
      <c r="G73" s="6" t="s">
        <v>298</v>
      </c>
      <c r="H73" s="6"/>
    </row>
    <row r="74" spans="1:8" ht="30">
      <c r="A74" s="6" t="s">
        <v>876</v>
      </c>
      <c r="B74" s="7" t="s">
        <v>877</v>
      </c>
      <c r="C74" s="6"/>
      <c r="D74" s="6" t="s">
        <v>792</v>
      </c>
      <c r="E74" s="6" t="s">
        <v>792</v>
      </c>
      <c r="F74" s="6">
        <v>1</v>
      </c>
      <c r="G74" s="6" t="s">
        <v>5</v>
      </c>
      <c r="H74" s="6"/>
    </row>
    <row r="75" spans="1:8">
      <c r="A75" s="6" t="s">
        <v>876</v>
      </c>
      <c r="B75" s="7" t="s">
        <v>878</v>
      </c>
      <c r="C75" s="6"/>
      <c r="D75" s="6" t="s">
        <v>792</v>
      </c>
      <c r="E75" s="6" t="s">
        <v>792</v>
      </c>
      <c r="F75" s="6">
        <v>1</v>
      </c>
      <c r="G75" s="6" t="s">
        <v>5</v>
      </c>
      <c r="H75" s="6"/>
    </row>
    <row r="76" spans="1:8">
      <c r="A76" s="6" t="s">
        <v>879</v>
      </c>
      <c r="B76" s="7"/>
      <c r="C76" s="6"/>
      <c r="D76" s="6" t="s">
        <v>792</v>
      </c>
      <c r="E76" s="6" t="s">
        <v>792</v>
      </c>
      <c r="F76" s="6">
        <v>1</v>
      </c>
      <c r="G76" s="6" t="s">
        <v>5</v>
      </c>
      <c r="H76" s="6"/>
    </row>
    <row r="77" spans="1:8" ht="30">
      <c r="A77" s="6" t="s">
        <v>153</v>
      </c>
      <c r="B77" s="7" t="s">
        <v>880</v>
      </c>
      <c r="C77" s="6"/>
      <c r="D77" s="6"/>
      <c r="E77" s="6"/>
      <c r="F77" s="6">
        <v>3</v>
      </c>
      <c r="G77" s="6" t="s">
        <v>5</v>
      </c>
      <c r="H77" s="6"/>
    </row>
    <row r="78" spans="1:8" ht="30">
      <c r="A78" s="6" t="s">
        <v>153</v>
      </c>
      <c r="B78" s="7" t="s">
        <v>881</v>
      </c>
      <c r="C78" s="6"/>
      <c r="D78" s="6"/>
      <c r="E78" s="6"/>
      <c r="F78" s="6">
        <v>3</v>
      </c>
      <c r="G78" s="6" t="s">
        <v>5</v>
      </c>
      <c r="H78" s="6"/>
    </row>
    <row r="79" spans="1:8" ht="30">
      <c r="A79" s="6" t="s">
        <v>153</v>
      </c>
      <c r="B79" s="7" t="s">
        <v>882</v>
      </c>
      <c r="C79" s="6"/>
      <c r="D79" s="6"/>
      <c r="E79" s="6"/>
      <c r="F79" s="6">
        <v>1</v>
      </c>
      <c r="G79" s="6" t="s">
        <v>5</v>
      </c>
      <c r="H79" s="6"/>
    </row>
    <row r="80" spans="1:8">
      <c r="A80" s="6" t="s">
        <v>153</v>
      </c>
      <c r="B80" s="7" t="s">
        <v>268</v>
      </c>
      <c r="C80" s="6"/>
      <c r="D80" s="6"/>
      <c r="E80" s="6"/>
      <c r="F80" s="6">
        <v>1</v>
      </c>
      <c r="G80" s="6" t="s">
        <v>5</v>
      </c>
      <c r="H80" s="6"/>
    </row>
    <row r="81" spans="1:8">
      <c r="A81" s="6" t="s">
        <v>153</v>
      </c>
      <c r="B81" s="7" t="s">
        <v>20</v>
      </c>
      <c r="C81" s="6"/>
      <c r="D81" s="6"/>
      <c r="E81" s="6"/>
      <c r="F81" s="6">
        <v>1</v>
      </c>
      <c r="G81" s="6" t="s">
        <v>5</v>
      </c>
      <c r="H81" s="6"/>
    </row>
    <row r="82" spans="1:8">
      <c r="A82" s="6" t="s">
        <v>153</v>
      </c>
      <c r="B82" s="7" t="s">
        <v>691</v>
      </c>
      <c r="C82" s="6"/>
      <c r="D82" s="6"/>
      <c r="E82" s="6"/>
      <c r="F82" s="6">
        <v>3</v>
      </c>
      <c r="G82" s="6" t="s">
        <v>5</v>
      </c>
      <c r="H82" s="6"/>
    </row>
    <row r="83" spans="1:8" ht="30">
      <c r="A83" s="6" t="s">
        <v>153</v>
      </c>
      <c r="B83" s="7" t="s">
        <v>877</v>
      </c>
      <c r="C83" s="6"/>
      <c r="D83" s="6"/>
      <c r="E83" s="6"/>
      <c r="F83" s="6">
        <v>1</v>
      </c>
      <c r="G83" s="6" t="s">
        <v>5</v>
      </c>
      <c r="H83" s="6"/>
    </row>
    <row r="84" spans="1:8">
      <c r="A84" s="6" t="s">
        <v>153</v>
      </c>
      <c r="B84" s="7" t="s">
        <v>883</v>
      </c>
      <c r="C84" s="6"/>
      <c r="D84" s="6"/>
      <c r="E84" s="6"/>
      <c r="F84" s="6">
        <v>1</v>
      </c>
      <c r="G84" s="6" t="s">
        <v>5</v>
      </c>
      <c r="H84" s="6"/>
    </row>
    <row r="85" spans="1:8">
      <c r="A85" s="6" t="s">
        <v>151</v>
      </c>
      <c r="B85" s="7" t="s">
        <v>884</v>
      </c>
      <c r="C85" s="6"/>
      <c r="D85" s="6"/>
      <c r="E85" s="6"/>
      <c r="F85" s="6">
        <v>1</v>
      </c>
      <c r="G85" s="6" t="s">
        <v>5</v>
      </c>
      <c r="H85" s="6"/>
    </row>
    <row r="86" spans="1:8">
      <c r="A86" s="6" t="s">
        <v>153</v>
      </c>
      <c r="B86" s="7" t="s">
        <v>453</v>
      </c>
      <c r="C86" s="6"/>
      <c r="D86" s="6"/>
      <c r="E86" s="6"/>
      <c r="F86" s="6">
        <v>2</v>
      </c>
      <c r="G86" s="6" t="s">
        <v>5</v>
      </c>
      <c r="H86" s="6"/>
    </row>
    <row r="87" spans="1:8">
      <c r="A87" s="6" t="s">
        <v>153</v>
      </c>
      <c r="B87" s="7" t="s">
        <v>694</v>
      </c>
      <c r="C87" s="6"/>
      <c r="D87" s="6"/>
      <c r="E87" s="6"/>
      <c r="F87" s="6">
        <v>1</v>
      </c>
      <c r="G87" s="6" t="s">
        <v>5</v>
      </c>
      <c r="H87" s="6"/>
    </row>
    <row r="88" spans="1:8">
      <c r="A88" s="6" t="s">
        <v>153</v>
      </c>
      <c r="B88" s="7" t="s">
        <v>885</v>
      </c>
      <c r="C88" s="6"/>
      <c r="D88" s="6"/>
      <c r="E88" s="6"/>
      <c r="F88" s="6">
        <v>1</v>
      </c>
      <c r="G88" s="6" t="s">
        <v>5</v>
      </c>
      <c r="H88" s="6"/>
    </row>
    <row r="89" spans="1:8">
      <c r="A89" s="6" t="s">
        <v>53</v>
      </c>
      <c r="B89" s="7"/>
      <c r="C89" s="6"/>
      <c r="D89" s="6"/>
      <c r="E89" s="6"/>
      <c r="F89" s="6">
        <v>7</v>
      </c>
      <c r="G89" s="6" t="s">
        <v>8</v>
      </c>
      <c r="H89" s="6"/>
    </row>
    <row r="90" spans="1:8" ht="90">
      <c r="A90" s="6" t="s">
        <v>92</v>
      </c>
      <c r="B90" s="7" t="str">
        <f>bolso("Bolso de oxigenoterapia",J4:P44)</f>
        <v xml:space="preserve">Bolso de oxigenoterapia Contiene:  Bolsa valvula mascara x1,  Tubo de oxigeno x1, </v>
      </c>
      <c r="C90" s="6"/>
      <c r="D90" s="6"/>
      <c r="E90" s="6"/>
      <c r="F90" s="6">
        <v>1</v>
      </c>
      <c r="G90" s="6" t="s">
        <v>8</v>
      </c>
      <c r="H90" s="6"/>
    </row>
    <row r="91" spans="1:8">
      <c r="A91" s="6" t="s">
        <v>140</v>
      </c>
      <c r="B91" s="7"/>
      <c r="C91" s="6"/>
      <c r="D91" s="6"/>
      <c r="E91" s="6"/>
      <c r="F91" s="6">
        <v>1</v>
      </c>
      <c r="G91" s="6" t="s">
        <v>8</v>
      </c>
      <c r="H91" s="6"/>
    </row>
    <row r="92" spans="1:8" ht="30">
      <c r="A92" s="6" t="s">
        <v>88</v>
      </c>
      <c r="B92" s="7" t="s">
        <v>888</v>
      </c>
      <c r="C92" s="6"/>
      <c r="D92" s="6"/>
      <c r="E92" s="6"/>
      <c r="F92" s="6">
        <v>2</v>
      </c>
      <c r="G92" s="6" t="s">
        <v>8</v>
      </c>
      <c r="H92" s="6"/>
    </row>
    <row r="93" spans="1:8">
      <c r="A93" s="6" t="s">
        <v>87</v>
      </c>
      <c r="B93" s="7"/>
      <c r="C93" s="6"/>
      <c r="D93" s="6"/>
      <c r="E93" s="6"/>
      <c r="F93" s="6">
        <v>2</v>
      </c>
      <c r="G93" s="6" t="s">
        <v>8</v>
      </c>
      <c r="H93" s="6"/>
    </row>
    <row r="94" spans="1:8">
      <c r="A94" s="6" t="s">
        <v>698</v>
      </c>
      <c r="B94" s="7"/>
      <c r="C94" s="6"/>
      <c r="D94" s="6"/>
      <c r="E94" s="6"/>
      <c r="F94" s="6">
        <v>2</v>
      </c>
      <c r="G94" s="6" t="s">
        <v>8</v>
      </c>
      <c r="H94" s="6"/>
    </row>
    <row r="95" spans="1:8">
      <c r="A95" s="6" t="s">
        <v>357</v>
      </c>
      <c r="B95" s="7"/>
      <c r="C95" s="6"/>
      <c r="D95" s="6" t="s">
        <v>792</v>
      </c>
      <c r="E95" s="6" t="s">
        <v>792</v>
      </c>
      <c r="F95" s="6">
        <v>1</v>
      </c>
      <c r="G95" s="6" t="s">
        <v>8</v>
      </c>
      <c r="H95" s="6"/>
    </row>
    <row r="96" spans="1:8">
      <c r="A96" s="6" t="s">
        <v>97</v>
      </c>
      <c r="B96" s="7"/>
      <c r="C96" s="6"/>
      <c r="D96" s="6" t="s">
        <v>792</v>
      </c>
      <c r="E96" s="6" t="s">
        <v>792</v>
      </c>
      <c r="F96" s="6">
        <v>1</v>
      </c>
      <c r="G96" s="6" t="s">
        <v>8</v>
      </c>
      <c r="H96" s="6"/>
    </row>
    <row r="97" spans="1:8">
      <c r="A97" s="6" t="s">
        <v>83</v>
      </c>
      <c r="B97" s="7"/>
      <c r="C97" s="6"/>
      <c r="D97" s="6" t="s">
        <v>792</v>
      </c>
      <c r="E97" s="6" t="s">
        <v>792</v>
      </c>
      <c r="F97" s="6">
        <v>1</v>
      </c>
      <c r="G97" s="6" t="s">
        <v>8</v>
      </c>
      <c r="H97" s="6"/>
    </row>
    <row r="98" spans="1:8">
      <c r="A98" s="6" t="s">
        <v>80</v>
      </c>
      <c r="B98" s="7"/>
      <c r="C98" s="6"/>
      <c r="D98" s="6" t="s">
        <v>792</v>
      </c>
      <c r="E98" s="6" t="s">
        <v>792</v>
      </c>
      <c r="F98" s="6">
        <v>1</v>
      </c>
      <c r="G98" s="6" t="s">
        <v>8</v>
      </c>
      <c r="H98" s="6"/>
    </row>
    <row r="99" spans="1:8">
      <c r="A99" s="6" t="s">
        <v>92</v>
      </c>
      <c r="B99" s="7" t="s">
        <v>147</v>
      </c>
      <c r="C99" s="6"/>
      <c r="D99" s="6"/>
      <c r="E99" s="6"/>
      <c r="F99" s="6">
        <v>1</v>
      </c>
      <c r="G99" s="6" t="s">
        <v>8</v>
      </c>
      <c r="H99" s="6"/>
    </row>
    <row r="100" spans="1:8" ht="45">
      <c r="A100" s="6" t="s">
        <v>99</v>
      </c>
      <c r="B100" s="7" t="s">
        <v>892</v>
      </c>
      <c r="C100" s="6"/>
      <c r="D100" s="6"/>
      <c r="E100" s="6"/>
      <c r="F100" s="6">
        <v>1</v>
      </c>
      <c r="G100" s="6" t="s">
        <v>8</v>
      </c>
      <c r="H100" s="6"/>
    </row>
    <row r="101" spans="1:8" ht="30">
      <c r="A101" s="6" t="s">
        <v>537</v>
      </c>
      <c r="B101" s="7" t="s">
        <v>893</v>
      </c>
      <c r="C101" s="6"/>
      <c r="D101" s="6"/>
      <c r="E101" s="6"/>
      <c r="F101" s="6">
        <v>1</v>
      </c>
      <c r="G101" s="6" t="s">
        <v>8</v>
      </c>
      <c r="H101" s="6"/>
    </row>
    <row r="102" spans="1:8">
      <c r="A102" s="6" t="s">
        <v>35</v>
      </c>
      <c r="B102" s="7" t="s">
        <v>805</v>
      </c>
      <c r="C102" s="6" t="s">
        <v>38</v>
      </c>
      <c r="D102" s="6"/>
      <c r="E102" s="6"/>
      <c r="F102" s="6">
        <v>1</v>
      </c>
      <c r="G102" s="6" t="s">
        <v>36</v>
      </c>
      <c r="H102" s="6"/>
    </row>
    <row r="103" spans="1:8">
      <c r="A103" s="6" t="s">
        <v>35</v>
      </c>
      <c r="B103" s="7" t="s">
        <v>894</v>
      </c>
      <c r="C103" s="6" t="s">
        <v>102</v>
      </c>
      <c r="D103" s="6"/>
      <c r="E103" s="6"/>
      <c r="F103" s="6">
        <v>1</v>
      </c>
      <c r="G103" s="6" t="s">
        <v>36</v>
      </c>
      <c r="H103" s="6"/>
    </row>
    <row r="104" spans="1:8">
      <c r="A104" s="6" t="s">
        <v>35</v>
      </c>
      <c r="B104" s="7" t="s">
        <v>769</v>
      </c>
      <c r="C104" s="6" t="s">
        <v>102</v>
      </c>
      <c r="D104" s="6"/>
      <c r="E104" s="6"/>
      <c r="F104" s="6">
        <v>1</v>
      </c>
      <c r="G104" s="6" t="s">
        <v>36</v>
      </c>
      <c r="H104" s="6"/>
    </row>
    <row r="105" spans="1:8">
      <c r="A105" s="6" t="s">
        <v>40</v>
      </c>
      <c r="B105" s="7"/>
      <c r="C105" s="6" t="s">
        <v>895</v>
      </c>
      <c r="D105" s="6"/>
      <c r="E105" s="6"/>
      <c r="F105" s="6">
        <v>4</v>
      </c>
      <c r="G105" s="6" t="s">
        <v>36</v>
      </c>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10">
    <dataValidation type="list" allowBlank="1" showInputMessage="1" showErrorMessage="1" sqref="H52">
      <formula1>INDEX($V$5:$AB$12,0,MATCH(OFFSET(INDIRECT(ADDRESS(ROW(), COLUMN())),0,-1),$V$4:$AB$4,0))</formula1>
    </dataValidation>
    <dataValidation type="list" allowBlank="1" showInputMessage="1" showErrorMessage="1" sqref="G2:G1048576">
      <formula1>$V$4:$AD$4</formula1>
    </dataValidation>
    <dataValidation type="list" allowBlank="1" showInputMessage="1" showErrorMessage="1" sqref="L4:L1048576">
      <formula1>INDEX(Medidas,0,MATCH(OFFSET(INDIRECT(ADDRESS(ROW(), COLUMN())),0,-2),categoriasDeMedidas,0))</formula1>
    </dataValidation>
    <dataValidation type="list" allowBlank="1" showInputMessage="1" showErrorMessage="1" sqref="A1:A1048576 K53 K43 K50:K51 J4:J1048576">
      <formula1>categorias</formula1>
    </dataValidation>
    <dataValidation type="list" allowBlank="1" showInputMessage="1" showErrorMessage="1" sqref="C1 C12 C14 C7">
      <formula1>Medidas</formula1>
    </dataValidation>
    <dataValidation type="list" allowBlank="1" showInputMessage="1" showErrorMessage="1" sqref="H136 G1">
      <formula1>CajonerasMovil54</formula1>
    </dataValidation>
    <dataValidation type="list" allowBlank="1" showInputMessage="1" showErrorMessage="1" sqref="H137:H1048576 L1:L3 H53:H135 H1 C78:C82">
      <formula1>INDEX(Compartimentosmovil54,0,MATCH(OFFSET(INDIRECT(ADDRESS(ROW(), COLUMN())),0,-1),CajonerasMovil54,0))</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H2:H51">
      <formula1>INDEX($V$5:$Y$12,0,MATCH(OFFSET(INDIRECT(ADDRESS(ROW(), COLUMN())),0,-1),$V$4:$Y$4,0))</formula1>
    </dataValidation>
    <dataValidation type="list" allowBlank="1" showInputMessage="1" showErrorMessage="1" sqref="G74:G88 P4:P64">
      <formula1>$T$4:$T$22</formula1>
    </dataValidation>
  </dataValidations>
  <pageMargins left="0.7" right="0.7" top="0.75" bottom="0.75" header="0.3" footer="0.3"/>
  <tableParts count="4">
    <tablePart r:id="rId1"/>
    <tablePart r:id="rId2"/>
    <tablePart r:id="rId3"/>
    <tablePart r:id="rId4"/>
  </tableParts>
  <extLst xmlns:xr="http://schemas.microsoft.com/office/spreadsheetml/2014/revision">
    <ext xmlns:x14="http://schemas.microsoft.com/office/spreadsheetml/2009/9/main" uri="{CCE6A557-97BC-4b89-ADB6-D9C93CAAB3DF}">
      <x14:dataValidations xmlns:xm="http://schemas.microsoft.com/office/excel/2006/main" count="32">
        <x14:dataValidation type="list" allowBlank="1" showInputMessage="1" showErrorMessage="1" xr:uid="{75CDF27E-26F6-4FEA-96FD-EDC90BEEBA7C}">
          <x14:formula1>
            <xm:f>Configuracion!$F$2:$F$15</xm:f>
          </x14:formula1>
          <xm:sqref>C49:C51 C9 C41:C42 C55 C57</xm:sqref>
        </x14:dataValidation>
        <x14:dataValidation type="list" allowBlank="1" showInputMessage="1" showErrorMessage="1" xr:uid="{D1C330D6-1D80-4DE9-8B1E-3AA95BBF2C0D}">
          <x14:formula1>
            <xm:f>Configuracion!$G$2:$G$8</xm:f>
          </x14:formula1>
          <xm:sqref>C10 C43 C56 C68</xm:sqref>
        </x14:dataValidation>
        <x14:dataValidation type="list" allowBlank="1" showInputMessage="1" showErrorMessage="1" xr:uid="{A4D911B5-BEF9-4826-9A9B-590F6105F935}">
          <x14:formula1>
            <xm:f>Configuracion!$K$2:$K$7</xm:f>
          </x14:formula1>
          <xm:sqref>C33</xm:sqref>
        </x14:dataValidation>
        <x14:dataValidation type="list" allowBlank="1" showInputMessage="1" showErrorMessage="1" xr:uid="{ECFF4ACF-BFA3-4777-B9E5-12DE68948F70}">
          <x14:formula1>
            <xm:f>Configuracion!$X$2:$X$5</xm:f>
          </x14:formula1>
          <xm:sqref>C46 C8 C21</xm:sqref>
        </x14:dataValidation>
        <x14:dataValidation type="list" allowBlank="1" showInputMessage="1" showErrorMessage="1" xr:uid="{1AC50A3F-6382-4F28-8643-4EF10896A054}">
          <x14:formula1>
            <xm:f>Configuracion!$S$2:$S$3</xm:f>
          </x14:formula1>
          <xm:sqref>C34 C38</xm:sqref>
        </x14:dataValidation>
        <x14:dataValidation type="list" allowBlank="1" showInputMessage="1" showErrorMessage="1" xr:uid="{69B88495-4B67-4E45-B7F2-A3F4F20B30C1}">
          <x14:formula1>
            <xm:f>Configuracion!$Q$2:$Q$8</xm:f>
          </x14:formula1>
          <xm:sqref>C27</xm:sqref>
        </x14:dataValidation>
        <x14:dataValidation type="list" allowBlank="1" showInputMessage="1" showErrorMessage="1" xr:uid="{79F1B21C-D29E-4CA7-B1E0-5DE0B1A81987}">
          <x14:formula1>
            <xm:f>Configuracion!$T$2:$T$8</xm:f>
          </x14:formula1>
          <xm:sqref>C11</xm:sqref>
        </x14:dataValidation>
        <x14:dataValidation type="list" allowBlank="1" showInputMessage="1" showErrorMessage="1" xr:uid="{2EAB0A31-642C-4F46-8624-F939A2DB3E8F}">
          <x14:formula1>
            <xm:f>Configuracion!$A$2:$A$72</xm:f>
          </x14:formula1>
          <xm:sqref>J1:J3</xm:sqref>
        </x14:dataValidation>
        <x14:dataValidation type="list" allowBlank="1" showInputMessage="1" showErrorMessage="1" xr:uid="{CB4EE501-299E-48F5-89A2-9FA56A90BA37}">
          <x14:formula1>
            <xm:f>Configuracion!$S$2:$S$11</xm:f>
          </x14:formula1>
          <xm:sqref>C15</xm:sqref>
        </x14:dataValidation>
        <x14:dataValidation type="list" allowBlank="1" showInputMessage="1" showErrorMessage="1" xr:uid="{8544B3F6-B7D3-491E-BB8B-E31D58F833B2}">
          <x14:formula1>
            <xm:f>Configuracion!$G$2:$G$3</xm:f>
          </x14:formula1>
          <xm:sqref>C127:C128</xm:sqref>
        </x14:dataValidation>
        <x14:dataValidation type="list" allowBlank="1" showInputMessage="1" showErrorMessage="1" xr:uid="{D80F5C10-50C1-488C-9FF4-D1D591A8F81E}">
          <x14:formula1>
            <xm:f>Configuracion!$F$2:$F$5</xm:f>
          </x14:formula1>
          <xm:sqref>C13 C28</xm:sqref>
        </x14:dataValidation>
        <x14:dataValidation type="list" allowBlank="1" showInputMessage="1" showErrorMessage="1" xr:uid="{5AC9E7AA-A2E5-4B43-BC11-D2D09E4EA61D}">
          <x14:formula1>
            <xm:f>Configuracion!$F$2:$F$3</xm:f>
          </x14:formula1>
          <xm:sqref>C16</xm:sqref>
        </x14:dataValidation>
        <x14:dataValidation type="list" allowBlank="1" showInputMessage="1" showErrorMessage="1" xr:uid="{DDFD64FA-67B5-426A-ABAC-60E6A8241CF6}">
          <x14:formula1>
            <xm:f>Configuracion!$M$2:$M$6</xm:f>
          </x14:formula1>
          <xm:sqref>C17</xm:sqref>
        </x14:dataValidation>
        <x14:dataValidation type="list" allowBlank="1" showInputMessage="1" showErrorMessage="1" xr:uid="{F556C35E-390E-4A5C-86FB-268D31D9B70D}">
          <x14:formula1>
            <xm:f>Configuracion!$F$2:$F$10</xm:f>
          </x14:formula1>
          <xm:sqref>C125:C126</xm:sqref>
        </x14:dataValidation>
        <x14:dataValidation type="list" allowBlank="1" showInputMessage="1" showErrorMessage="1" xr:uid="{9D72DBE4-7FC0-41A1-A03A-EDCD77679D45}">
          <x14:formula1>
            <xm:f>Configuracion!$H$2:$H$6</xm:f>
          </x14:formula1>
          <xm:sqref>C20</xm:sqref>
        </x14:dataValidation>
        <x14:dataValidation type="list" allowBlank="1" showInputMessage="1" showErrorMessage="1" xr:uid="{E90EB512-E430-4A8D-8133-F09312DA2FAA}">
          <x14:formula1>
            <xm:f>Configuracion!$J$2:$J$5</xm:f>
          </x14:formula1>
          <xm:sqref>C24 C18:C19 C29:C30 C58:C59</xm:sqref>
        </x14:dataValidation>
        <x14:dataValidation type="list" allowBlank="1" showInputMessage="1" showErrorMessage="1" xr:uid="{C9A91343-D58C-4180-A56E-066E5D25F2D4}">
          <x14:formula1>
            <xm:f>Configuracion!$S$2:$S$10</xm:f>
          </x14:formula1>
          <xm:sqref>C96 C100:C101</xm:sqref>
        </x14:dataValidation>
        <x14:dataValidation type="list" allowBlank="1" showInputMessage="1" showErrorMessage="1" xr:uid="{9C17F07C-1BCA-4309-8174-1DCC1888C594}">
          <x14:formula1>
            <xm:f>Configuracion!$N$2:$N$9</xm:f>
          </x14:formula1>
          <xm:sqref>C120 C122</xm:sqref>
        </x14:dataValidation>
        <x14:dataValidation type="list" allowBlank="1" showInputMessage="1" showErrorMessage="1" xr:uid="{4E9A3BB4-5A03-4CA7-AA0B-0F09DE301264}">
          <x14:formula1>
            <xm:f>Configuracion!$K$2:$K$4</xm:f>
          </x14:formula1>
          <xm:sqref>C5</xm:sqref>
        </x14:dataValidation>
        <x14:dataValidation type="list" allowBlank="1" showInputMessage="1" showErrorMessage="1" xr:uid="{4DE45550-B6A0-4616-8A05-69F78A610B14}">
          <x14:formula1>
            <xm:f>Configuracion!$U$2:$U$3</xm:f>
          </x14:formula1>
          <xm:sqref>C6 C3</xm:sqref>
        </x14:dataValidation>
        <x14:dataValidation type="list" allowBlank="1" showInputMessage="1" showErrorMessage="1" xr:uid="{8A8DD22D-B771-429A-9C44-E09BE3D8A278}">
          <x14:formula1>
            <xm:f>Configuracion!$H$2:$H$4</xm:f>
          </x14:formula1>
          <xm:sqref>C2 C52 C102:C104</xm:sqref>
        </x14:dataValidation>
        <x14:dataValidation type="list" allowBlank="1" showInputMessage="1" showErrorMessage="1" xr:uid="{39E4BE54-00C6-4135-AE76-37595EDEB815}">
          <x14:formula1>
            <xm:f>Configuracion!$V$2:$V$4</xm:f>
          </x14:formula1>
          <xm:sqref>C26 C73</xm:sqref>
        </x14:dataValidation>
        <x14:dataValidation type="list" allowBlank="1" showInputMessage="1" showErrorMessage="1" xr:uid="{F0293CE9-56E3-47D1-A974-342491E36E09}">
          <x14:formula1>
            <xm:f>Configuracion!$T$2:$T$7</xm:f>
          </x14:formula1>
          <xm:sqref>C25</xm:sqref>
        </x14:dataValidation>
        <x14:dataValidation type="list" allowBlank="1" showInputMessage="1" showErrorMessage="1" xr:uid="{27C8C747-6451-4179-9DEC-341DA70BB4E2}">
          <x14:formula1>
            <xm:f>Configuracion!$U$2:$U$4</xm:f>
          </x14:formula1>
          <xm:sqref>C4</xm:sqref>
        </x14:dataValidation>
        <x14:dataValidation type="list" allowBlank="1" showInputMessage="1" showErrorMessage="1" xr:uid="{BDA1E297-2D0F-4CCD-88A0-34DF12175870}">
          <x14:formula1>
            <xm:f>Configuracion!$L$2:$L$3</xm:f>
          </x14:formula1>
          <xm:sqref>C40</xm:sqref>
        </x14:dataValidation>
        <x14:dataValidation type="list" allowBlank="1" showInputMessage="1" showErrorMessage="1" xr:uid="{75FA6025-CE90-4DF1-838B-A048D55E8CB4}">
          <x14:formula1>
            <xm:f>Configuracion!$R$2:$R$4</xm:f>
          </x14:formula1>
          <xm:sqref>C39</xm:sqref>
        </x14:dataValidation>
        <x14:dataValidation type="list" allowBlank="1" showInputMessage="1" showErrorMessage="1" xr:uid="{3A084FDC-E6B4-4F13-82E7-E5F826448666}">
          <x14:formula1>
            <xm:f>Configuracion!$Q$2:$Q$9</xm:f>
          </x14:formula1>
          <xm:sqref>C44 C72</xm:sqref>
        </x14:dataValidation>
        <x14:dataValidation type="list" allowBlank="1" showInputMessage="1" showErrorMessage="1" xr:uid="{6A2F5BF4-BC3B-413A-A8F5-15B897051D23}">
          <x14:formula1>
            <xm:f>Configuracion!$K$2:$K$9</xm:f>
          </x14:formula1>
          <xm:sqref>C63</xm:sqref>
        </x14:dataValidation>
        <x14:dataValidation type="list" allowBlank="1" showInputMessage="1" showErrorMessage="1" xr:uid="{D1D94D76-2387-437A-8CA3-E41508689647}">
          <x14:formula1>
            <xm:f>Configuracion!$K$2:$K$11</xm:f>
          </x14:formula1>
          <xm:sqref>C65</xm:sqref>
        </x14:dataValidation>
        <x14:dataValidation type="list" allowBlank="1" showInputMessage="1" showErrorMessage="1" xr:uid="{D8038BFC-6BD2-48EB-B241-C6C0B0382ED0}">
          <x14:formula1>
            <xm:f>Configuracion!$F$2:$F$17</xm:f>
          </x14:formula1>
          <xm:sqref>C69 C71</xm:sqref>
        </x14:dataValidation>
        <x14:dataValidation type="list" allowBlank="1" showInputMessage="1" showErrorMessage="1" xr:uid="{BC7DE51B-C417-4DF7-AEC8-CC7486F0A1FE}">
          <x14:formula1>
            <xm:f>Configuracion!$Y$2:$Y$17</xm:f>
          </x14:formula1>
          <xm:sqref>C89:C90 C95</xm:sqref>
        </x14:dataValidation>
        <x14:dataValidation type="list" allowBlank="1" showInputMessage="1" showErrorMessage="1" xr:uid="{FE6BCB81-F2A6-472F-96F4-40168A9E582D}">
          <x14:formula1>
            <xm:f>Configuracion!$I$2:$I$6</xm:f>
          </x14:formula1>
          <xm:sqref>C136 C53</xm:sqref>
        </x14:dataValidation>
      </x14:dataValidations>
    </ext>
  </extLst>
</worksheet>
</file>

<file path=xl/worksheets/sheet14.xml><?xml version="1.0" encoding="utf-8"?>
<worksheet xmlns="http://schemas.openxmlformats.org/spreadsheetml/2006/main" xmlns:r="http://schemas.openxmlformats.org/officeDocument/2006/relationships">
  <sheetPr codeName="Sheet15"/>
  <dimension ref="A1:AD136"/>
  <sheetViews>
    <sheetView topLeftCell="A8" workbookViewId="0">
      <selection activeCell="B36" sqref="B36"/>
    </sheetView>
  </sheetViews>
  <sheetFormatPr baseColWidth="10" defaultColWidth="9.140625" defaultRowHeight="15"/>
  <cols>
    <col min="1" max="1" width="26.42578125" style="4" bestFit="1" customWidth="1"/>
    <col min="2" max="2" width="15.42578125"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13.5703125" bestFit="1" customWidth="1"/>
    <col min="12" max="12" width="11" bestFit="1" customWidth="1"/>
    <col min="13" max="13" width="8.5703125" bestFit="1" customWidth="1"/>
    <col min="14" max="14" width="13.140625" bestFit="1" customWidth="1"/>
    <col min="15" max="15" width="7"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30">
      <c r="A1" s="4" t="s">
        <v>0</v>
      </c>
      <c r="B1" s="5" t="s">
        <v>1</v>
      </c>
      <c r="C1" s="4" t="s">
        <v>2</v>
      </c>
      <c r="D1" s="4" t="s">
        <v>3</v>
      </c>
      <c r="E1" s="4" t="s">
        <v>4</v>
      </c>
      <c r="F1" s="4" t="s">
        <v>236</v>
      </c>
      <c r="G1" s="4" t="s">
        <v>13</v>
      </c>
      <c r="H1" s="4" t="s">
        <v>228</v>
      </c>
    </row>
    <row r="2" spans="1:30">
      <c r="A2" s="4" t="s">
        <v>185</v>
      </c>
      <c r="B2" s="7"/>
      <c r="C2" s="6"/>
      <c r="D2" s="6"/>
      <c r="E2" s="6"/>
      <c r="F2" s="6">
        <v>5</v>
      </c>
      <c r="G2" s="6" t="s">
        <v>231</v>
      </c>
      <c r="H2" s="6" t="s">
        <v>7</v>
      </c>
    </row>
    <row r="3" spans="1:30">
      <c r="A3" s="6" t="s">
        <v>788</v>
      </c>
      <c r="B3" s="7" t="s">
        <v>899</v>
      </c>
      <c r="C3" s="6"/>
      <c r="D3" s="6"/>
      <c r="E3" s="6"/>
      <c r="F3" s="6">
        <v>3</v>
      </c>
      <c r="G3" s="6" t="s">
        <v>231</v>
      </c>
      <c r="H3" s="6" t="s">
        <v>7</v>
      </c>
      <c r="J3" t="s">
        <v>0</v>
      </c>
      <c r="K3" t="s">
        <v>1</v>
      </c>
      <c r="L3" t="s">
        <v>2</v>
      </c>
      <c r="M3" s="4" t="s">
        <v>3</v>
      </c>
      <c r="N3" s="4" t="s">
        <v>4</v>
      </c>
      <c r="O3" s="4" t="s">
        <v>236</v>
      </c>
      <c r="P3" t="s">
        <v>14</v>
      </c>
      <c r="T3" t="s">
        <v>28</v>
      </c>
      <c r="V3" s="26" t="s">
        <v>226</v>
      </c>
      <c r="W3" s="26"/>
      <c r="X3" s="26"/>
      <c r="Y3" s="26"/>
      <c r="Z3" s="26"/>
      <c r="AA3" s="26"/>
    </row>
    <row r="4" spans="1:30">
      <c r="A4" s="6" t="s">
        <v>151</v>
      </c>
      <c r="B4" s="7" t="s">
        <v>152</v>
      </c>
      <c r="C4" s="6"/>
      <c r="D4" s="6"/>
      <c r="E4" s="6"/>
      <c r="F4" s="6">
        <v>1</v>
      </c>
      <c r="G4" s="6" t="s">
        <v>231</v>
      </c>
      <c r="H4" s="6" t="s">
        <v>7</v>
      </c>
      <c r="J4" t="s">
        <v>153</v>
      </c>
      <c r="K4" t="s">
        <v>829</v>
      </c>
      <c r="O4">
        <v>2</v>
      </c>
      <c r="P4" t="s">
        <v>29</v>
      </c>
      <c r="T4" t="s">
        <v>29</v>
      </c>
      <c r="V4" t="s">
        <v>231</v>
      </c>
      <c r="W4" t="s">
        <v>8</v>
      </c>
      <c r="X4" t="s">
        <v>5</v>
      </c>
      <c r="Y4" t="s">
        <v>6</v>
      </c>
      <c r="Z4" t="s">
        <v>9</v>
      </c>
      <c r="AA4" t="s">
        <v>10</v>
      </c>
      <c r="AB4" t="s">
        <v>252</v>
      </c>
      <c r="AC4" t="s">
        <v>298</v>
      </c>
      <c r="AD4" t="s">
        <v>36</v>
      </c>
    </row>
    <row r="5" spans="1:30">
      <c r="A5" s="6" t="s">
        <v>151</v>
      </c>
      <c r="B5" s="7" t="s">
        <v>900</v>
      </c>
      <c r="C5" s="6"/>
      <c r="D5" s="6"/>
      <c r="E5" s="6"/>
      <c r="F5" s="6">
        <v>1</v>
      </c>
      <c r="G5" s="6" t="s">
        <v>231</v>
      </c>
      <c r="H5" s="6" t="s">
        <v>7</v>
      </c>
      <c r="J5" t="s">
        <v>137</v>
      </c>
      <c r="K5" t="s">
        <v>138</v>
      </c>
      <c r="O5">
        <v>1</v>
      </c>
      <c r="P5" t="s">
        <v>29</v>
      </c>
      <c r="T5" t="s">
        <v>897</v>
      </c>
      <c r="V5" t="s">
        <v>7</v>
      </c>
      <c r="W5" t="s">
        <v>791</v>
      </c>
      <c r="X5" t="s">
        <v>791</v>
      </c>
      <c r="Y5" t="s">
        <v>791</v>
      </c>
      <c r="Z5" t="s">
        <v>791</v>
      </c>
      <c r="AA5" t="s">
        <v>791</v>
      </c>
      <c r="AB5" t="s">
        <v>804</v>
      </c>
    </row>
    <row r="6" spans="1:30">
      <c r="A6" s="6" t="s">
        <v>754</v>
      </c>
      <c r="B6" s="7"/>
      <c r="C6" s="6"/>
      <c r="D6" s="6"/>
      <c r="E6" s="6"/>
      <c r="F6" s="6">
        <v>1</v>
      </c>
      <c r="G6" s="6" t="s">
        <v>231</v>
      </c>
      <c r="H6" s="6" t="s">
        <v>7</v>
      </c>
      <c r="J6" t="s">
        <v>833</v>
      </c>
      <c r="K6" t="s">
        <v>922</v>
      </c>
      <c r="O6">
        <v>1</v>
      </c>
      <c r="P6" t="s">
        <v>29</v>
      </c>
      <c r="T6" t="s">
        <v>15</v>
      </c>
      <c r="V6" t="s">
        <v>896</v>
      </c>
    </row>
    <row r="7" spans="1:30">
      <c r="A7" s="6" t="s">
        <v>189</v>
      </c>
      <c r="B7" s="7"/>
      <c r="C7" s="6"/>
      <c r="D7" s="6"/>
      <c r="E7" s="6"/>
      <c r="F7" s="6">
        <v>1</v>
      </c>
      <c r="G7" s="6" t="s">
        <v>231</v>
      </c>
      <c r="H7" s="6" t="s">
        <v>7</v>
      </c>
      <c r="J7" t="s">
        <v>190</v>
      </c>
      <c r="K7" t="s">
        <v>923</v>
      </c>
      <c r="O7">
        <v>1</v>
      </c>
      <c r="P7" t="s">
        <v>29</v>
      </c>
      <c r="T7" t="s">
        <v>898</v>
      </c>
    </row>
    <row r="8" spans="1:30" ht="45">
      <c r="A8" s="6" t="s">
        <v>741</v>
      </c>
      <c r="B8" s="7" t="s">
        <v>915</v>
      </c>
      <c r="C8" s="6"/>
      <c r="D8" s="6"/>
      <c r="E8" s="6"/>
      <c r="F8" s="6">
        <v>1</v>
      </c>
      <c r="G8" s="6" t="s">
        <v>231</v>
      </c>
      <c r="H8" s="6" t="s">
        <v>7</v>
      </c>
      <c r="J8" t="s">
        <v>137</v>
      </c>
      <c r="K8" t="s">
        <v>193</v>
      </c>
      <c r="O8">
        <v>1</v>
      </c>
      <c r="P8" t="s">
        <v>29</v>
      </c>
    </row>
    <row r="9" spans="1:30">
      <c r="A9" s="6" t="s">
        <v>916</v>
      </c>
      <c r="B9" s="7"/>
      <c r="C9" s="6"/>
      <c r="D9" s="6" t="s">
        <v>791</v>
      </c>
      <c r="E9" s="6" t="s">
        <v>791</v>
      </c>
      <c r="F9" s="6">
        <v>1</v>
      </c>
      <c r="G9" s="6" t="s">
        <v>231</v>
      </c>
      <c r="H9" s="6" t="s">
        <v>7</v>
      </c>
      <c r="J9" t="s">
        <v>153</v>
      </c>
      <c r="K9" t="s">
        <v>648</v>
      </c>
      <c r="O9">
        <v>1</v>
      </c>
      <c r="P9" t="s">
        <v>29</v>
      </c>
    </row>
    <row r="10" spans="1:30">
      <c r="A10" s="6" t="s">
        <v>917</v>
      </c>
      <c r="B10" s="7"/>
      <c r="C10" s="6"/>
      <c r="D10" s="6" t="s">
        <v>791</v>
      </c>
      <c r="E10" s="6" t="s">
        <v>791</v>
      </c>
      <c r="F10" s="6">
        <v>1</v>
      </c>
      <c r="G10" s="6" t="s">
        <v>231</v>
      </c>
      <c r="H10" s="6" t="s">
        <v>7</v>
      </c>
      <c r="J10" t="s">
        <v>148</v>
      </c>
      <c r="K10" t="s">
        <v>924</v>
      </c>
      <c r="O10">
        <v>2</v>
      </c>
      <c r="P10" t="s">
        <v>29</v>
      </c>
    </row>
    <row r="11" spans="1:30">
      <c r="A11" s="6" t="s">
        <v>212</v>
      </c>
      <c r="B11" s="7"/>
      <c r="C11" s="6"/>
      <c r="D11" s="6" t="s">
        <v>791</v>
      </c>
      <c r="E11" s="6" t="s">
        <v>791</v>
      </c>
      <c r="F11" s="6">
        <v>1</v>
      </c>
      <c r="G11" s="6" t="s">
        <v>231</v>
      </c>
      <c r="H11" s="6" t="s">
        <v>7</v>
      </c>
      <c r="J11" t="s">
        <v>148</v>
      </c>
      <c r="K11" t="s">
        <v>643</v>
      </c>
      <c r="O11">
        <v>1</v>
      </c>
      <c r="P11" t="s">
        <v>29</v>
      </c>
    </row>
    <row r="12" spans="1:30">
      <c r="A12" s="6" t="s">
        <v>153</v>
      </c>
      <c r="B12" s="7" t="s">
        <v>712</v>
      </c>
      <c r="C12" s="6"/>
      <c r="D12" s="6"/>
      <c r="E12" s="6"/>
      <c r="F12" s="6">
        <v>1</v>
      </c>
      <c r="G12" s="6" t="s">
        <v>231</v>
      </c>
      <c r="H12" s="6" t="s">
        <v>7</v>
      </c>
      <c r="J12" t="s">
        <v>153</v>
      </c>
      <c r="K12" t="s">
        <v>925</v>
      </c>
      <c r="O12">
        <v>2</v>
      </c>
      <c r="P12" t="s">
        <v>29</v>
      </c>
    </row>
    <row r="13" spans="1:30">
      <c r="A13" s="6" t="s">
        <v>500</v>
      </c>
      <c r="B13" s="7"/>
      <c r="C13" s="6"/>
      <c r="D13" s="6"/>
      <c r="E13" s="6"/>
      <c r="F13" s="6">
        <v>6</v>
      </c>
      <c r="G13" s="6" t="s">
        <v>231</v>
      </c>
      <c r="H13" s="6" t="s">
        <v>7</v>
      </c>
      <c r="J13" t="s">
        <v>153</v>
      </c>
      <c r="K13" t="s">
        <v>20</v>
      </c>
      <c r="O13">
        <v>1</v>
      </c>
      <c r="P13" t="s">
        <v>29</v>
      </c>
    </row>
    <row r="14" spans="1:30">
      <c r="A14" s="6" t="s">
        <v>153</v>
      </c>
      <c r="B14" s="7" t="s">
        <v>918</v>
      </c>
      <c r="C14" s="6"/>
      <c r="D14" s="6"/>
      <c r="E14" s="6"/>
      <c r="F14" s="6">
        <v>2</v>
      </c>
      <c r="G14" s="6" t="s">
        <v>231</v>
      </c>
      <c r="H14" s="6" t="s">
        <v>7</v>
      </c>
      <c r="J14" t="s">
        <v>153</v>
      </c>
      <c r="K14" t="s">
        <v>647</v>
      </c>
      <c r="O14">
        <v>1</v>
      </c>
      <c r="P14" t="s">
        <v>29</v>
      </c>
    </row>
    <row r="15" spans="1:30">
      <c r="A15" s="6" t="s">
        <v>395</v>
      </c>
      <c r="B15" s="7"/>
      <c r="C15" s="6"/>
      <c r="D15" s="6"/>
      <c r="E15" s="6"/>
      <c r="F15" s="6">
        <v>8</v>
      </c>
      <c r="G15" s="6" t="s">
        <v>231</v>
      </c>
      <c r="H15" s="6" t="s">
        <v>7</v>
      </c>
      <c r="J15" t="s">
        <v>153</v>
      </c>
      <c r="K15" t="s">
        <v>926</v>
      </c>
      <c r="O15">
        <v>1</v>
      </c>
      <c r="P15" t="s">
        <v>29</v>
      </c>
    </row>
    <row r="16" spans="1:30">
      <c r="A16" s="6" t="s">
        <v>779</v>
      </c>
      <c r="B16" s="7"/>
      <c r="C16" s="6"/>
      <c r="D16" s="6"/>
      <c r="E16" s="6"/>
      <c r="F16" s="6">
        <v>1</v>
      </c>
      <c r="G16" s="6" t="s">
        <v>231</v>
      </c>
      <c r="H16" s="6" t="s">
        <v>7</v>
      </c>
      <c r="J16" t="s">
        <v>12</v>
      </c>
      <c r="K16" t="s">
        <v>927</v>
      </c>
      <c r="M16" t="s">
        <v>891</v>
      </c>
      <c r="N16" t="s">
        <v>891</v>
      </c>
      <c r="O16">
        <v>1</v>
      </c>
      <c r="P16" t="s">
        <v>897</v>
      </c>
    </row>
    <row r="17" spans="1:16">
      <c r="A17" s="6" t="s">
        <v>192</v>
      </c>
      <c r="B17" s="7"/>
      <c r="C17" s="6"/>
      <c r="D17" s="6"/>
      <c r="E17" s="6"/>
      <c r="F17" s="6">
        <v>1</v>
      </c>
      <c r="G17" s="6" t="s">
        <v>231</v>
      </c>
      <c r="H17" s="6" t="s">
        <v>7</v>
      </c>
      <c r="J17" t="s">
        <v>12</v>
      </c>
      <c r="K17" t="s">
        <v>878</v>
      </c>
      <c r="M17" t="s">
        <v>891</v>
      </c>
      <c r="N17" t="s">
        <v>891</v>
      </c>
      <c r="O17">
        <v>1</v>
      </c>
      <c r="P17" t="s">
        <v>897</v>
      </c>
    </row>
    <row r="18" spans="1:16">
      <c r="A18" s="6" t="s">
        <v>919</v>
      </c>
      <c r="B18" s="7"/>
      <c r="C18" s="6"/>
      <c r="D18" s="6"/>
      <c r="E18" s="6"/>
      <c r="F18" s="6">
        <v>4</v>
      </c>
      <c r="G18" s="6" t="s">
        <v>231</v>
      </c>
      <c r="H18" s="6" t="s">
        <v>7</v>
      </c>
      <c r="J18" t="s">
        <v>663</v>
      </c>
      <c r="K18" t="s">
        <v>928</v>
      </c>
      <c r="M18" t="s">
        <v>891</v>
      </c>
      <c r="N18" t="s">
        <v>891</v>
      </c>
      <c r="O18">
        <v>2</v>
      </c>
      <c r="P18" t="s">
        <v>897</v>
      </c>
    </row>
    <row r="19" spans="1:16">
      <c r="A19" s="6" t="s">
        <v>209</v>
      </c>
      <c r="B19" s="7"/>
      <c r="C19" s="6" t="s">
        <v>791</v>
      </c>
      <c r="D19" s="6" t="s">
        <v>791</v>
      </c>
      <c r="E19" s="6" t="s">
        <v>791</v>
      </c>
      <c r="F19" s="6">
        <v>1</v>
      </c>
      <c r="G19" s="6" t="s">
        <v>231</v>
      </c>
      <c r="H19" s="6" t="s">
        <v>7</v>
      </c>
      <c r="J19" t="s">
        <v>153</v>
      </c>
      <c r="K19" t="s">
        <v>19</v>
      </c>
      <c r="O19">
        <v>1</v>
      </c>
      <c r="P19" t="s">
        <v>15</v>
      </c>
    </row>
    <row r="20" spans="1:16">
      <c r="A20" s="6" t="s">
        <v>11</v>
      </c>
      <c r="B20" s="7"/>
      <c r="C20" s="6" t="s">
        <v>117</v>
      </c>
      <c r="D20" s="6"/>
      <c r="E20" s="6"/>
      <c r="F20" s="6">
        <v>1</v>
      </c>
      <c r="G20" s="6" t="s">
        <v>231</v>
      </c>
      <c r="H20" s="6" t="s">
        <v>896</v>
      </c>
      <c r="J20" t="s">
        <v>153</v>
      </c>
      <c r="K20" t="s">
        <v>954</v>
      </c>
      <c r="O20">
        <v>2</v>
      </c>
      <c r="P20" t="s">
        <v>15</v>
      </c>
    </row>
    <row r="21" spans="1:16">
      <c r="A21" s="6" t="s">
        <v>11</v>
      </c>
      <c r="B21" s="7"/>
      <c r="C21" s="6" t="s">
        <v>79</v>
      </c>
      <c r="D21" s="6"/>
      <c r="E21" s="6"/>
      <c r="F21" s="6">
        <v>1</v>
      </c>
      <c r="G21" s="6" t="s">
        <v>231</v>
      </c>
      <c r="H21" s="6" t="s">
        <v>896</v>
      </c>
      <c r="J21" t="s">
        <v>153</v>
      </c>
      <c r="K21" t="s">
        <v>955</v>
      </c>
      <c r="O21">
        <v>2</v>
      </c>
      <c r="P21" t="s">
        <v>15</v>
      </c>
    </row>
    <row r="22" spans="1:16">
      <c r="A22" s="6" t="s">
        <v>157</v>
      </c>
      <c r="B22" s="7"/>
      <c r="C22" s="6" t="s">
        <v>636</v>
      </c>
      <c r="D22" s="6"/>
      <c r="E22" s="6"/>
      <c r="F22" s="6">
        <v>1</v>
      </c>
      <c r="G22" s="6" t="s">
        <v>231</v>
      </c>
      <c r="H22" s="6" t="s">
        <v>896</v>
      </c>
      <c r="J22" t="s">
        <v>153</v>
      </c>
      <c r="K22" t="s">
        <v>562</v>
      </c>
      <c r="O22">
        <v>1</v>
      </c>
      <c r="P22" t="s">
        <v>15</v>
      </c>
    </row>
    <row r="23" spans="1:16">
      <c r="A23" s="6" t="s">
        <v>153</v>
      </c>
      <c r="B23" s="7" t="s">
        <v>165</v>
      </c>
      <c r="C23" s="6"/>
      <c r="D23" s="6"/>
      <c r="E23" s="6"/>
      <c r="F23" s="6">
        <v>1</v>
      </c>
      <c r="G23" s="6" t="s">
        <v>231</v>
      </c>
      <c r="H23" s="6" t="s">
        <v>896</v>
      </c>
      <c r="J23" t="s">
        <v>153</v>
      </c>
      <c r="K23" t="s">
        <v>17</v>
      </c>
      <c r="O23">
        <v>1</v>
      </c>
      <c r="P23" t="s">
        <v>15</v>
      </c>
    </row>
    <row r="24" spans="1:16">
      <c r="A24" s="6" t="s">
        <v>187</v>
      </c>
      <c r="B24" s="7"/>
      <c r="C24" s="6"/>
      <c r="D24" s="6"/>
      <c r="E24" s="6"/>
      <c r="F24" s="6">
        <v>5</v>
      </c>
      <c r="G24" s="6" t="s">
        <v>231</v>
      </c>
      <c r="H24" s="6" t="s">
        <v>7</v>
      </c>
      <c r="J24" t="s">
        <v>153</v>
      </c>
      <c r="K24" t="s">
        <v>439</v>
      </c>
      <c r="O24">
        <v>2</v>
      </c>
      <c r="P24" t="s">
        <v>15</v>
      </c>
    </row>
    <row r="25" spans="1:16">
      <c r="A25" s="6" t="s">
        <v>187</v>
      </c>
      <c r="B25" s="7"/>
      <c r="C25" s="6"/>
      <c r="D25" s="6"/>
      <c r="E25" s="6"/>
      <c r="F25" s="6">
        <v>5</v>
      </c>
      <c r="G25" s="6" t="s">
        <v>231</v>
      </c>
      <c r="H25" s="6" t="s">
        <v>896</v>
      </c>
      <c r="J25" t="s">
        <v>153</v>
      </c>
      <c r="K25" t="s">
        <v>956</v>
      </c>
      <c r="O25">
        <v>2</v>
      </c>
      <c r="P25" t="s">
        <v>15</v>
      </c>
    </row>
    <row r="26" spans="1:16">
      <c r="A26" s="6" t="s">
        <v>919</v>
      </c>
      <c r="B26" s="7"/>
      <c r="C26" s="6"/>
      <c r="D26" s="6"/>
      <c r="E26" s="6"/>
      <c r="F26" s="6">
        <v>2</v>
      </c>
      <c r="G26" s="6" t="s">
        <v>231</v>
      </c>
      <c r="H26" s="6" t="s">
        <v>896</v>
      </c>
      <c r="J26" t="s">
        <v>153</v>
      </c>
      <c r="K26" t="s">
        <v>957</v>
      </c>
      <c r="O26">
        <v>1</v>
      </c>
      <c r="P26" t="s">
        <v>15</v>
      </c>
    </row>
    <row r="27" spans="1:16">
      <c r="A27" s="6" t="s">
        <v>249</v>
      </c>
      <c r="B27" s="7"/>
      <c r="C27" s="6"/>
      <c r="D27" s="6"/>
      <c r="E27" s="6"/>
      <c r="F27" s="6">
        <v>1</v>
      </c>
      <c r="G27" s="6" t="s">
        <v>231</v>
      </c>
      <c r="H27" s="6" t="s">
        <v>896</v>
      </c>
      <c r="J27" t="s">
        <v>153</v>
      </c>
      <c r="K27" t="s">
        <v>955</v>
      </c>
      <c r="O27">
        <v>1</v>
      </c>
      <c r="P27" t="s">
        <v>15</v>
      </c>
    </row>
    <row r="28" spans="1:16" ht="30">
      <c r="A28" s="6" t="s">
        <v>741</v>
      </c>
      <c r="B28" s="7" t="s">
        <v>920</v>
      </c>
      <c r="C28" s="6"/>
      <c r="D28" s="6"/>
      <c r="E28" s="6"/>
      <c r="F28" s="6">
        <v>1</v>
      </c>
      <c r="G28" s="6" t="s">
        <v>231</v>
      </c>
      <c r="H28" s="6" t="s">
        <v>896</v>
      </c>
      <c r="J28" t="s">
        <v>153</v>
      </c>
      <c r="K28" t="s">
        <v>454</v>
      </c>
      <c r="O28">
        <v>1</v>
      </c>
      <c r="P28" t="s">
        <v>15</v>
      </c>
    </row>
    <row r="29" spans="1:16" ht="30">
      <c r="A29" s="6" t="s">
        <v>874</v>
      </c>
      <c r="B29" s="7" t="s">
        <v>921</v>
      </c>
      <c r="C29" s="6"/>
      <c r="D29" s="6"/>
      <c r="E29" s="6"/>
      <c r="F29" s="6">
        <v>1</v>
      </c>
      <c r="G29" s="6" t="s">
        <v>231</v>
      </c>
      <c r="H29" s="6" t="s">
        <v>896</v>
      </c>
      <c r="J29" t="s">
        <v>153</v>
      </c>
      <c r="K29" t="s">
        <v>26</v>
      </c>
      <c r="O29">
        <v>1</v>
      </c>
      <c r="P29" t="s">
        <v>15</v>
      </c>
    </row>
    <row r="30" spans="1:16" ht="345">
      <c r="A30" s="6" t="s">
        <v>92</v>
      </c>
      <c r="B30" s="7" t="str">
        <f>bolso("Bolso de corte",Table62133475155[])</f>
        <v xml:space="preserve">Bolso de corte Contiene:  Buscapolo x2,  Alfombra dielectrica x1,  Estacas de obturacion para gas x1,  sensor de campo electrico lapiz x1,  Guantes dielectricos x1,  martillo de goma x1,  Medidores de electricidad, No Informa x2,  Extractor NH x1,  pinzas x2,  Alicate x1,  Pinza de punta x1,  Llaves de ascensores x1, </v>
      </c>
      <c r="C30" s="6"/>
      <c r="D30" s="6"/>
      <c r="E30" s="6"/>
      <c r="F30" s="6"/>
      <c r="G30" s="6" t="s">
        <v>231</v>
      </c>
      <c r="H30" s="6" t="s">
        <v>896</v>
      </c>
      <c r="J30" t="s">
        <v>153</v>
      </c>
      <c r="K30" t="s">
        <v>869</v>
      </c>
      <c r="O30">
        <v>1</v>
      </c>
      <c r="P30" t="s">
        <v>15</v>
      </c>
    </row>
    <row r="31" spans="1:16" ht="135">
      <c r="A31" s="6" t="s">
        <v>92</v>
      </c>
      <c r="B31" s="7" t="str">
        <f>bolso("Bolso de herramientas electricas",Table62133475155[])</f>
        <v xml:space="preserve">Bolso de herramientas electricas Contiene:  Sierra sable x1,  Amoladora x1,  Bateria para herramienta electrica x2, </v>
      </c>
      <c r="C31" s="6"/>
      <c r="D31" s="6"/>
      <c r="E31" s="6"/>
      <c r="F31" s="6"/>
      <c r="G31" s="6" t="s">
        <v>231</v>
      </c>
      <c r="H31" s="6" t="s">
        <v>896</v>
      </c>
      <c r="J31" t="s">
        <v>467</v>
      </c>
      <c r="K31" t="s">
        <v>958</v>
      </c>
      <c r="O31">
        <v>2</v>
      </c>
      <c r="P31" t="s">
        <v>898</v>
      </c>
    </row>
    <row r="32" spans="1:16">
      <c r="A32" s="6" t="s">
        <v>466</v>
      </c>
      <c r="B32" s="7"/>
      <c r="C32" s="6"/>
      <c r="D32" s="6"/>
      <c r="E32" s="6"/>
      <c r="F32" s="6">
        <v>14</v>
      </c>
      <c r="G32" s="6" t="s">
        <v>298</v>
      </c>
      <c r="H32" s="6"/>
      <c r="J32" t="s">
        <v>90</v>
      </c>
      <c r="K32" t="s">
        <v>959</v>
      </c>
      <c r="O32">
        <v>3</v>
      </c>
      <c r="P32" t="s">
        <v>898</v>
      </c>
    </row>
    <row r="33" spans="1:16" ht="45">
      <c r="A33" s="6" t="s">
        <v>92</v>
      </c>
      <c r="B33" s="7" t="s">
        <v>929</v>
      </c>
      <c r="C33" s="6"/>
      <c r="D33" s="6"/>
      <c r="E33" s="6"/>
      <c r="F33" s="6">
        <v>1</v>
      </c>
      <c r="G33" s="6" t="s">
        <v>298</v>
      </c>
      <c r="H33" s="6"/>
      <c r="J33" t="s">
        <v>867</v>
      </c>
      <c r="O33">
        <v>1</v>
      </c>
      <c r="P33" t="s">
        <v>898</v>
      </c>
    </row>
    <row r="34" spans="1:16">
      <c r="A34" s="6" t="s">
        <v>88</v>
      </c>
      <c r="B34" s="7"/>
      <c r="C34" s="6"/>
      <c r="D34" s="6"/>
      <c r="E34" s="6"/>
      <c r="F34" s="6">
        <v>3</v>
      </c>
      <c r="G34" s="6" t="s">
        <v>298</v>
      </c>
      <c r="H34" s="6"/>
    </row>
    <row r="35" spans="1:16">
      <c r="A35" s="6" t="s">
        <v>140</v>
      </c>
      <c r="B35" s="7"/>
      <c r="C35" s="6"/>
      <c r="D35" s="6"/>
      <c r="E35" s="6"/>
      <c r="F35" s="6">
        <v>1</v>
      </c>
      <c r="G35" s="6" t="s">
        <v>298</v>
      </c>
      <c r="H35" s="6"/>
    </row>
    <row r="36" spans="1:16" ht="60">
      <c r="A36" s="6" t="s">
        <v>92</v>
      </c>
      <c r="B36" s="7" t="s">
        <v>930</v>
      </c>
      <c r="C36" s="6"/>
      <c r="D36" s="6"/>
      <c r="E36" s="6"/>
      <c r="F36" s="6">
        <v>1</v>
      </c>
      <c r="G36" s="6" t="s">
        <v>298</v>
      </c>
      <c r="H36" s="6"/>
    </row>
    <row r="37" spans="1:16">
      <c r="A37" s="6" t="s">
        <v>80</v>
      </c>
      <c r="B37" s="7"/>
      <c r="C37" s="6"/>
      <c r="D37" s="6" t="s">
        <v>792</v>
      </c>
      <c r="E37" s="6" t="s">
        <v>792</v>
      </c>
      <c r="F37" s="6">
        <v>1</v>
      </c>
      <c r="G37" s="6" t="s">
        <v>298</v>
      </c>
      <c r="H37" s="6"/>
    </row>
    <row r="38" spans="1:16">
      <c r="A38" s="6" t="s">
        <v>360</v>
      </c>
      <c r="B38" s="7"/>
      <c r="C38" s="6"/>
      <c r="D38" s="6" t="s">
        <v>792</v>
      </c>
      <c r="E38" s="6" t="s">
        <v>792</v>
      </c>
      <c r="F38" s="6">
        <v>1</v>
      </c>
      <c r="G38" s="6" t="s">
        <v>298</v>
      </c>
      <c r="H38" s="6"/>
    </row>
    <row r="39" spans="1:16">
      <c r="A39" s="6" t="s">
        <v>931</v>
      </c>
      <c r="B39" s="7"/>
      <c r="C39" s="6"/>
      <c r="D39" s="6" t="s">
        <v>792</v>
      </c>
      <c r="E39" s="6" t="s">
        <v>792</v>
      </c>
      <c r="F39" s="6">
        <v>1</v>
      </c>
      <c r="G39" s="6" t="s">
        <v>298</v>
      </c>
      <c r="H39" s="6"/>
    </row>
    <row r="40" spans="1:16">
      <c r="A40" s="6" t="s">
        <v>537</v>
      </c>
      <c r="B40" s="7"/>
      <c r="C40" s="6"/>
      <c r="D40" s="6"/>
      <c r="E40" s="6"/>
      <c r="F40" s="6">
        <v>1</v>
      </c>
      <c r="G40" s="6" t="s">
        <v>298</v>
      </c>
      <c r="H40" s="6"/>
    </row>
    <row r="41" spans="1:16">
      <c r="A41" s="6" t="s">
        <v>357</v>
      </c>
      <c r="B41" s="7"/>
      <c r="C41" s="6"/>
      <c r="D41" s="6" t="s">
        <v>792</v>
      </c>
      <c r="E41" s="6" t="s">
        <v>792</v>
      </c>
      <c r="F41" s="6">
        <v>1</v>
      </c>
      <c r="G41" s="6" t="s">
        <v>298</v>
      </c>
      <c r="H41" s="6"/>
    </row>
    <row r="42" spans="1:16">
      <c r="A42" s="6" t="s">
        <v>819</v>
      </c>
      <c r="B42" s="7"/>
      <c r="C42" s="6"/>
      <c r="D42" s="6"/>
      <c r="E42" s="6"/>
      <c r="F42" s="6">
        <v>1</v>
      </c>
      <c r="G42" s="6" t="s">
        <v>298</v>
      </c>
      <c r="H42" s="6"/>
    </row>
    <row r="43" spans="1:16">
      <c r="A43" s="6" t="s">
        <v>932</v>
      </c>
      <c r="B43" s="7"/>
      <c r="C43" s="6"/>
      <c r="D43" s="6"/>
      <c r="E43" s="6"/>
      <c r="F43" s="6">
        <v>2</v>
      </c>
      <c r="G43" s="6" t="s">
        <v>298</v>
      </c>
      <c r="H43" s="6"/>
    </row>
    <row r="44" spans="1:16">
      <c r="A44" s="6" t="s">
        <v>130</v>
      </c>
      <c r="B44" s="7"/>
      <c r="C44" s="6"/>
      <c r="D44" s="6" t="s">
        <v>792</v>
      </c>
      <c r="E44" s="6" t="s">
        <v>792</v>
      </c>
      <c r="F44" s="6">
        <v>1</v>
      </c>
      <c r="G44" s="6" t="s">
        <v>298</v>
      </c>
      <c r="H44" s="6"/>
    </row>
    <row r="45" spans="1:16">
      <c r="A45" s="6" t="s">
        <v>108</v>
      </c>
      <c r="B45" s="7"/>
      <c r="C45" s="6" t="s">
        <v>933</v>
      </c>
      <c r="D45" s="6"/>
      <c r="E45" s="6"/>
      <c r="F45" s="6">
        <v>1</v>
      </c>
      <c r="G45" s="6" t="s">
        <v>298</v>
      </c>
      <c r="H45" s="6"/>
    </row>
    <row r="46" spans="1:16">
      <c r="A46" s="6" t="s">
        <v>136</v>
      </c>
      <c r="B46" s="7"/>
      <c r="C46" s="6"/>
      <c r="D46" s="6"/>
      <c r="E46" s="6"/>
      <c r="F46" s="6">
        <v>3</v>
      </c>
      <c r="G46" s="6" t="s">
        <v>298</v>
      </c>
      <c r="H46" s="6"/>
    </row>
    <row r="47" spans="1:16">
      <c r="A47" s="6" t="s">
        <v>189</v>
      </c>
      <c r="B47" s="7"/>
      <c r="C47" s="6"/>
      <c r="D47" s="6"/>
      <c r="E47" s="6"/>
      <c r="F47" s="6">
        <v>2</v>
      </c>
      <c r="G47" s="6" t="s">
        <v>252</v>
      </c>
      <c r="H47" s="6"/>
    </row>
    <row r="48" spans="1:16">
      <c r="A48" s="6" t="s">
        <v>860</v>
      </c>
      <c r="B48" s="7"/>
      <c r="C48" s="6"/>
      <c r="D48" s="6"/>
      <c r="E48" s="6"/>
      <c r="F48" s="6">
        <v>1</v>
      </c>
      <c r="G48" s="6" t="s">
        <v>252</v>
      </c>
      <c r="H48" s="6"/>
    </row>
    <row r="49" spans="1:8" ht="45">
      <c r="A49" s="6" t="s">
        <v>309</v>
      </c>
      <c r="B49" s="7" t="s">
        <v>934</v>
      </c>
      <c r="C49" s="6"/>
      <c r="D49" s="6"/>
      <c r="E49" s="6"/>
      <c r="F49" s="6">
        <v>1</v>
      </c>
      <c r="G49" s="6" t="s">
        <v>252</v>
      </c>
      <c r="H49" s="6"/>
    </row>
    <row r="50" spans="1:8">
      <c r="A50" s="6" t="s">
        <v>935</v>
      </c>
      <c r="B50" s="7"/>
      <c r="C50" s="6"/>
      <c r="D50" s="6"/>
      <c r="E50" s="6"/>
      <c r="F50" s="6">
        <v>4</v>
      </c>
      <c r="G50" s="6" t="s">
        <v>252</v>
      </c>
      <c r="H50" s="6"/>
    </row>
    <row r="51" spans="1:8" ht="30">
      <c r="A51" s="6" t="s">
        <v>903</v>
      </c>
      <c r="B51" s="7" t="s">
        <v>936</v>
      </c>
      <c r="C51" s="6"/>
      <c r="D51" s="6"/>
      <c r="E51" s="6"/>
      <c r="F51" s="6">
        <v>2</v>
      </c>
      <c r="G51" s="6" t="s">
        <v>252</v>
      </c>
      <c r="H51" s="6"/>
    </row>
    <row r="52" spans="1:8">
      <c r="A52" t="s">
        <v>914</v>
      </c>
      <c r="B52" s="7" t="s">
        <v>937</v>
      </c>
      <c r="C52" s="6"/>
      <c r="D52" s="6"/>
      <c r="E52" s="6"/>
      <c r="F52" s="6">
        <v>2</v>
      </c>
      <c r="G52" s="6" t="s">
        <v>252</v>
      </c>
      <c r="H52" s="6"/>
    </row>
    <row r="53" spans="1:8">
      <c r="A53" s="6" t="s">
        <v>911</v>
      </c>
      <c r="B53" s="7" t="s">
        <v>938</v>
      </c>
      <c r="C53" s="6"/>
      <c r="D53" s="6"/>
      <c r="E53" s="6"/>
      <c r="F53" s="6">
        <v>1</v>
      </c>
      <c r="G53" s="6" t="s">
        <v>252</v>
      </c>
      <c r="H53" s="6"/>
    </row>
    <row r="54" spans="1:8" ht="30">
      <c r="A54" s="6" t="s">
        <v>903</v>
      </c>
      <c r="B54" s="7" t="s">
        <v>939</v>
      </c>
      <c r="C54" s="6"/>
      <c r="D54" s="6"/>
      <c r="E54" s="6"/>
      <c r="F54" s="6">
        <v>1</v>
      </c>
      <c r="G54" s="6" t="s">
        <v>252</v>
      </c>
      <c r="H54" s="6"/>
    </row>
    <row r="55" spans="1:8">
      <c r="A55" s="6" t="s">
        <v>302</v>
      </c>
      <c r="B55" s="7"/>
      <c r="C55" s="6"/>
      <c r="D55" s="6"/>
      <c r="E55" s="6"/>
      <c r="F55" s="6">
        <v>3</v>
      </c>
      <c r="G55" s="6" t="s">
        <v>252</v>
      </c>
      <c r="H55" s="6"/>
    </row>
    <row r="56" spans="1:8">
      <c r="A56" s="6" t="s">
        <v>904</v>
      </c>
      <c r="B56" s="7" t="s">
        <v>940</v>
      </c>
      <c r="C56" s="6"/>
      <c r="D56" s="6"/>
      <c r="E56" s="6"/>
      <c r="F56" s="6">
        <v>4</v>
      </c>
      <c r="G56" s="6" t="s">
        <v>252</v>
      </c>
      <c r="H56" s="6"/>
    </row>
    <row r="57" spans="1:8" ht="30">
      <c r="A57" s="6" t="s">
        <v>309</v>
      </c>
      <c r="B57" s="7" t="s">
        <v>941</v>
      </c>
      <c r="C57" s="6"/>
      <c r="D57" s="6"/>
      <c r="E57" s="6"/>
      <c r="F57" s="6">
        <v>2</v>
      </c>
      <c r="G57" s="6" t="s">
        <v>252</v>
      </c>
      <c r="H57" s="6"/>
    </row>
    <row r="58" spans="1:8">
      <c r="A58" s="6" t="s">
        <v>309</v>
      </c>
      <c r="B58" s="7" t="s">
        <v>942</v>
      </c>
      <c r="C58" s="6"/>
      <c r="D58" s="6"/>
      <c r="E58" s="6"/>
      <c r="F58" s="6">
        <v>1</v>
      </c>
      <c r="G58" s="6" t="s">
        <v>252</v>
      </c>
      <c r="H58" s="6"/>
    </row>
    <row r="59" spans="1:8">
      <c r="A59" s="6" t="s">
        <v>151</v>
      </c>
      <c r="B59" s="7" t="s">
        <v>884</v>
      </c>
      <c r="C59" s="6"/>
      <c r="D59" s="6"/>
      <c r="E59" s="6"/>
      <c r="F59" s="6">
        <v>1</v>
      </c>
      <c r="G59" s="6" t="s">
        <v>252</v>
      </c>
      <c r="H59" s="6"/>
    </row>
    <row r="60" spans="1:8" ht="30">
      <c r="A60" s="6" t="s">
        <v>153</v>
      </c>
      <c r="B60" s="7" t="s">
        <v>943</v>
      </c>
      <c r="C60" s="6"/>
      <c r="D60" s="6"/>
      <c r="E60" s="6"/>
      <c r="F60" s="6">
        <v>1</v>
      </c>
      <c r="G60" s="6" t="s">
        <v>252</v>
      </c>
      <c r="H60" s="6"/>
    </row>
    <row r="61" spans="1:8" ht="30">
      <c r="A61" s="6" t="s">
        <v>153</v>
      </c>
      <c r="B61" s="7" t="s">
        <v>592</v>
      </c>
      <c r="C61" s="6"/>
      <c r="D61" s="6"/>
      <c r="E61" s="6"/>
      <c r="F61" s="6">
        <v>2</v>
      </c>
      <c r="G61" s="6" t="s">
        <v>252</v>
      </c>
      <c r="H61" s="6"/>
    </row>
    <row r="62" spans="1:8">
      <c r="A62" s="6" t="s">
        <v>153</v>
      </c>
      <c r="B62" s="7" t="s">
        <v>165</v>
      </c>
      <c r="C62" s="6"/>
      <c r="D62" s="6"/>
      <c r="E62" s="6"/>
      <c r="F62" s="6">
        <v>2</v>
      </c>
      <c r="G62" s="6" t="s">
        <v>252</v>
      </c>
      <c r="H62" s="6"/>
    </row>
    <row r="63" spans="1:8">
      <c r="A63" s="6" t="s">
        <v>153</v>
      </c>
      <c r="B63" s="7" t="s">
        <v>944</v>
      </c>
      <c r="C63" s="6" t="s">
        <v>456</v>
      </c>
      <c r="D63" s="6"/>
      <c r="E63" s="6"/>
      <c r="F63" s="6">
        <v>2</v>
      </c>
      <c r="G63" s="6" t="s">
        <v>252</v>
      </c>
      <c r="H63" s="6"/>
    </row>
    <row r="64" spans="1:8">
      <c r="A64" s="6" t="s">
        <v>153</v>
      </c>
      <c r="B64" s="7" t="s">
        <v>944</v>
      </c>
      <c r="C64" s="6" t="s">
        <v>155</v>
      </c>
      <c r="D64" s="6"/>
      <c r="E64" s="6"/>
      <c r="F64" s="6">
        <v>2</v>
      </c>
      <c r="G64" s="6" t="s">
        <v>252</v>
      </c>
      <c r="H64" s="6"/>
    </row>
    <row r="65" spans="1:8" ht="30">
      <c r="A65" s="6" t="s">
        <v>153</v>
      </c>
      <c r="B65" s="7" t="s">
        <v>945</v>
      </c>
      <c r="C65" s="6"/>
      <c r="D65" s="6"/>
      <c r="E65" s="6"/>
      <c r="F65" s="6">
        <v>1</v>
      </c>
      <c r="G65" s="6" t="s">
        <v>252</v>
      </c>
      <c r="H65" s="6"/>
    </row>
    <row r="66" spans="1:8">
      <c r="A66" s="6" t="s">
        <v>153</v>
      </c>
      <c r="B66" s="7" t="s">
        <v>168</v>
      </c>
      <c r="C66" s="6"/>
      <c r="D66" s="6"/>
      <c r="E66" s="6"/>
      <c r="F66" s="6">
        <v>1</v>
      </c>
      <c r="G66" s="6" t="s">
        <v>252</v>
      </c>
      <c r="H66" s="6"/>
    </row>
    <row r="67" spans="1:8">
      <c r="A67" s="6" t="s">
        <v>153</v>
      </c>
      <c r="B67" s="7" t="s">
        <v>946</v>
      </c>
      <c r="C67" s="6"/>
      <c r="D67" s="6"/>
      <c r="E67" s="6"/>
      <c r="F67" s="6">
        <v>2</v>
      </c>
      <c r="G67" s="6" t="s">
        <v>252</v>
      </c>
      <c r="H67" s="6"/>
    </row>
    <row r="68" spans="1:8">
      <c r="A68" s="6" t="s">
        <v>153</v>
      </c>
      <c r="B68" s="7" t="s">
        <v>165</v>
      </c>
      <c r="C68" s="6"/>
      <c r="D68" s="6"/>
      <c r="E68" s="6"/>
      <c r="F68" s="6">
        <v>1</v>
      </c>
      <c r="G68" s="6" t="s">
        <v>252</v>
      </c>
      <c r="H68" s="6"/>
    </row>
    <row r="69" spans="1:8">
      <c r="A69" s="6" t="s">
        <v>148</v>
      </c>
      <c r="B69" s="7" t="s">
        <v>149</v>
      </c>
      <c r="C69" s="6"/>
      <c r="D69" s="6"/>
      <c r="E69" s="6"/>
      <c r="F69" s="6">
        <v>1</v>
      </c>
      <c r="G69" s="6" t="s">
        <v>10</v>
      </c>
      <c r="H69" s="6"/>
    </row>
    <row r="70" spans="1:8">
      <c r="A70" s="6" t="s">
        <v>87</v>
      </c>
      <c r="B70" s="7"/>
      <c r="C70" s="6"/>
      <c r="D70" s="6"/>
      <c r="E70" s="6"/>
      <c r="F70" s="6">
        <v>2</v>
      </c>
      <c r="G70" s="6" t="s">
        <v>10</v>
      </c>
      <c r="H70" s="6"/>
    </row>
    <row r="71" spans="1:8">
      <c r="A71" s="6" t="s">
        <v>32</v>
      </c>
      <c r="B71" s="7" t="s">
        <v>947</v>
      </c>
      <c r="C71" s="6" t="s">
        <v>792</v>
      </c>
      <c r="D71" s="6"/>
      <c r="E71" s="6"/>
      <c r="F71" s="6">
        <v>1</v>
      </c>
      <c r="G71" s="6" t="s">
        <v>10</v>
      </c>
      <c r="H71" s="6"/>
    </row>
    <row r="72" spans="1:8" ht="30">
      <c r="A72" s="6" t="s">
        <v>32</v>
      </c>
      <c r="B72" s="7" t="s">
        <v>843</v>
      </c>
      <c r="C72" s="6" t="s">
        <v>52</v>
      </c>
      <c r="D72" s="6"/>
      <c r="E72" s="6"/>
      <c r="F72" s="6">
        <v>1</v>
      </c>
      <c r="G72" s="6" t="s">
        <v>10</v>
      </c>
      <c r="H72" s="6"/>
    </row>
    <row r="73" spans="1:8">
      <c r="A73" s="6" t="s">
        <v>32</v>
      </c>
      <c r="B73" s="7"/>
      <c r="C73" s="6" t="s">
        <v>72</v>
      </c>
      <c r="D73" s="6"/>
      <c r="E73" s="6"/>
      <c r="F73" s="6">
        <v>1</v>
      </c>
      <c r="G73" s="6" t="s">
        <v>10</v>
      </c>
      <c r="H73" s="6"/>
    </row>
    <row r="74" spans="1:8">
      <c r="A74" s="6" t="s">
        <v>32</v>
      </c>
      <c r="B74" s="7"/>
      <c r="C74" s="6" t="s">
        <v>33</v>
      </c>
      <c r="D74" s="6"/>
      <c r="E74" s="6"/>
      <c r="F74" s="6">
        <v>1</v>
      </c>
      <c r="G74" s="6" t="s">
        <v>10</v>
      </c>
      <c r="H74" s="6"/>
    </row>
    <row r="75" spans="1:8">
      <c r="A75" s="6" t="s">
        <v>92</v>
      </c>
      <c r="B75" s="7" t="s">
        <v>948</v>
      </c>
      <c r="C75" s="6"/>
      <c r="D75" s="6"/>
      <c r="E75" s="6"/>
      <c r="F75" s="6">
        <v>1</v>
      </c>
      <c r="G75" s="6" t="s">
        <v>10</v>
      </c>
      <c r="H75" s="6"/>
    </row>
    <row r="76" spans="1:8">
      <c r="A76" s="6" t="s">
        <v>172</v>
      </c>
      <c r="B76" s="7"/>
      <c r="C76" s="6" t="s">
        <v>792</v>
      </c>
      <c r="D76" s="6"/>
      <c r="E76" s="6"/>
      <c r="F76" s="6">
        <v>1</v>
      </c>
      <c r="G76" s="6" t="s">
        <v>10</v>
      </c>
      <c r="H76" s="6"/>
    </row>
    <row r="77" spans="1:8" ht="30">
      <c r="A77" s="6" t="s">
        <v>99</v>
      </c>
      <c r="B77" s="7" t="s">
        <v>949</v>
      </c>
      <c r="C77" s="6"/>
      <c r="D77" s="6"/>
      <c r="E77" s="6"/>
      <c r="F77" s="6">
        <v>1</v>
      </c>
      <c r="G77" s="6" t="s">
        <v>10</v>
      </c>
      <c r="H77" s="6"/>
    </row>
    <row r="78" spans="1:8">
      <c r="A78" s="6" t="s">
        <v>43</v>
      </c>
      <c r="B78" s="7"/>
      <c r="C78" s="6" t="s">
        <v>66</v>
      </c>
      <c r="D78" s="6"/>
      <c r="E78" s="6"/>
      <c r="F78" s="6">
        <v>2</v>
      </c>
      <c r="G78" s="6" t="s">
        <v>10</v>
      </c>
      <c r="H78" s="6"/>
    </row>
    <row r="79" spans="1:8">
      <c r="A79" s="6" t="s">
        <v>44</v>
      </c>
      <c r="B79" s="7"/>
      <c r="C79" s="6" t="s">
        <v>950</v>
      </c>
      <c r="D79" s="6"/>
      <c r="E79" s="6"/>
      <c r="F79" s="6">
        <v>2</v>
      </c>
      <c r="G79" s="6" t="s">
        <v>10</v>
      </c>
      <c r="H79" s="6"/>
    </row>
    <row r="80" spans="1:8">
      <c r="A80" s="6" t="s">
        <v>44</v>
      </c>
      <c r="B80" s="7"/>
      <c r="C80" s="6" t="s">
        <v>67</v>
      </c>
      <c r="D80" s="6"/>
      <c r="E80" s="6"/>
      <c r="F80" s="6">
        <v>1</v>
      </c>
      <c r="G80" s="6" t="s">
        <v>10</v>
      </c>
      <c r="H80" s="6"/>
    </row>
    <row r="81" spans="1:8">
      <c r="A81" s="6" t="s">
        <v>43</v>
      </c>
      <c r="B81" s="7"/>
      <c r="C81" t="s">
        <v>854</v>
      </c>
      <c r="D81" s="6"/>
      <c r="E81" s="6"/>
      <c r="F81" s="6">
        <v>1</v>
      </c>
      <c r="G81" s="6" t="s">
        <v>10</v>
      </c>
      <c r="H81" s="6"/>
    </row>
    <row r="82" spans="1:8">
      <c r="A82" s="6" t="s">
        <v>59</v>
      </c>
      <c r="B82" s="7" t="s">
        <v>791</v>
      </c>
      <c r="C82" s="6" t="s">
        <v>791</v>
      </c>
      <c r="D82" s="6"/>
      <c r="E82" s="6"/>
      <c r="F82" s="6">
        <v>1</v>
      </c>
      <c r="G82" s="6" t="s">
        <v>10</v>
      </c>
      <c r="H82" s="6"/>
    </row>
    <row r="83" spans="1:8" ht="30">
      <c r="A83" s="6" t="s">
        <v>61</v>
      </c>
      <c r="B83" s="7" t="s">
        <v>951</v>
      </c>
      <c r="C83" t="s">
        <v>791</v>
      </c>
      <c r="D83" s="6"/>
      <c r="E83" s="6"/>
      <c r="F83" s="6">
        <v>1</v>
      </c>
      <c r="G83" s="6" t="s">
        <v>10</v>
      </c>
      <c r="H83" s="6"/>
    </row>
    <row r="84" spans="1:8" ht="30">
      <c r="A84" s="6" t="s">
        <v>59</v>
      </c>
      <c r="B84" s="7" t="s">
        <v>952</v>
      </c>
      <c r="C84" t="s">
        <v>791</v>
      </c>
      <c r="D84" s="6"/>
      <c r="E84" s="6"/>
      <c r="F84" s="6">
        <v>1</v>
      </c>
      <c r="G84" s="6" t="s">
        <v>9</v>
      </c>
      <c r="H84" s="6"/>
    </row>
    <row r="85" spans="1:8">
      <c r="A85" s="6" t="s">
        <v>32</v>
      </c>
      <c r="B85" s="7"/>
      <c r="C85" s="6" t="s">
        <v>72</v>
      </c>
      <c r="D85" s="6"/>
      <c r="E85" s="6"/>
      <c r="F85" s="6">
        <v>1</v>
      </c>
      <c r="G85" s="6" t="s">
        <v>9</v>
      </c>
      <c r="H85" s="6"/>
    </row>
    <row r="86" spans="1:8">
      <c r="A86" s="6" t="s">
        <v>11</v>
      </c>
      <c r="B86" s="7"/>
      <c r="C86" s="6" t="s">
        <v>79</v>
      </c>
      <c r="D86" s="6"/>
      <c r="E86" s="6"/>
      <c r="F86" s="6">
        <v>3</v>
      </c>
      <c r="G86" s="6" t="s">
        <v>9</v>
      </c>
      <c r="H86" s="6"/>
    </row>
    <row r="87" spans="1:8">
      <c r="A87" s="6" t="s">
        <v>153</v>
      </c>
      <c r="B87" s="7" t="s">
        <v>26</v>
      </c>
      <c r="C87" s="6"/>
      <c r="D87" s="6"/>
      <c r="E87" s="6"/>
      <c r="F87" s="6">
        <v>3</v>
      </c>
      <c r="G87" s="6" t="s">
        <v>9</v>
      </c>
      <c r="H87" s="6"/>
    </row>
    <row r="88" spans="1:8">
      <c r="A88" s="6" t="s">
        <v>170</v>
      </c>
      <c r="B88" s="7"/>
      <c r="C88" s="6"/>
      <c r="D88" s="6"/>
      <c r="E88" s="6"/>
      <c r="F88" s="6">
        <v>1</v>
      </c>
      <c r="G88" s="6" t="s">
        <v>9</v>
      </c>
      <c r="H88" s="6"/>
    </row>
    <row r="89" spans="1:8">
      <c r="A89" s="6" t="s">
        <v>43</v>
      </c>
      <c r="B89" s="7"/>
      <c r="C89" s="6" t="s">
        <v>66</v>
      </c>
      <c r="D89" s="6"/>
      <c r="E89" s="6"/>
      <c r="F89" s="6">
        <v>1</v>
      </c>
      <c r="G89" s="6" t="s">
        <v>9</v>
      </c>
      <c r="H89" s="6"/>
    </row>
    <row r="90" spans="1:8">
      <c r="A90" s="6" t="s">
        <v>53</v>
      </c>
      <c r="B90" s="7"/>
      <c r="C90" s="6"/>
      <c r="D90" s="6"/>
      <c r="E90" s="6"/>
      <c r="F90" s="6">
        <v>6</v>
      </c>
      <c r="G90" s="6" t="s">
        <v>8</v>
      </c>
      <c r="H90" s="6"/>
    </row>
    <row r="91" spans="1:8">
      <c r="A91" s="6" t="s">
        <v>88</v>
      </c>
      <c r="B91" s="7"/>
      <c r="C91" s="6"/>
      <c r="D91" s="6"/>
      <c r="E91" s="6"/>
      <c r="F91" s="6">
        <v>3</v>
      </c>
      <c r="G91" s="6" t="s">
        <v>8</v>
      </c>
      <c r="H91" s="6"/>
    </row>
    <row r="92" spans="1:8">
      <c r="A92" s="6" t="s">
        <v>688</v>
      </c>
      <c r="B92" s="7"/>
      <c r="C92" s="6"/>
      <c r="D92" s="6" t="s">
        <v>791</v>
      </c>
      <c r="E92" s="6" t="s">
        <v>791</v>
      </c>
      <c r="F92" s="6">
        <v>1</v>
      </c>
      <c r="G92" s="6" t="s">
        <v>8</v>
      </c>
      <c r="H92" s="6"/>
    </row>
    <row r="93" spans="1:8">
      <c r="A93" s="6" t="s">
        <v>953</v>
      </c>
      <c r="B93" s="7"/>
      <c r="C93" s="6" t="s">
        <v>791</v>
      </c>
      <c r="D93" s="6"/>
      <c r="E93" s="6"/>
      <c r="F93" s="6">
        <v>1</v>
      </c>
      <c r="G93" s="6" t="s">
        <v>8</v>
      </c>
      <c r="H93" s="6"/>
    </row>
    <row r="94" spans="1:8">
      <c r="A94" s="6" t="s">
        <v>108</v>
      </c>
      <c r="B94" s="7"/>
      <c r="C94" s="6" t="s">
        <v>862</v>
      </c>
      <c r="D94" s="6"/>
      <c r="E94" s="6"/>
      <c r="F94" s="6">
        <v>2</v>
      </c>
      <c r="G94" s="6" t="s">
        <v>8</v>
      </c>
      <c r="H94" s="6"/>
    </row>
    <row r="95" spans="1:8">
      <c r="A95" s="6" t="s">
        <v>879</v>
      </c>
      <c r="B95" s="7"/>
      <c r="C95" s="6"/>
      <c r="D95" s="6" t="s">
        <v>791</v>
      </c>
      <c r="E95" s="6" t="s">
        <v>791</v>
      </c>
      <c r="F95" s="6">
        <v>1</v>
      </c>
      <c r="G95" s="6" t="s">
        <v>8</v>
      </c>
      <c r="H95" s="6"/>
    </row>
    <row r="96" spans="1:8">
      <c r="A96" s="6" t="s">
        <v>132</v>
      </c>
      <c r="B96" s="7"/>
      <c r="C96" s="6"/>
      <c r="D96" s="6" t="s">
        <v>791</v>
      </c>
      <c r="E96" s="6" t="s">
        <v>791</v>
      </c>
      <c r="F96" s="6">
        <v>1</v>
      </c>
      <c r="G96" s="6" t="s">
        <v>8</v>
      </c>
      <c r="H96" s="6"/>
    </row>
    <row r="97" spans="1:8">
      <c r="A97" s="6" t="s">
        <v>537</v>
      </c>
      <c r="B97" s="7" t="s">
        <v>733</v>
      </c>
      <c r="C97" s="6"/>
      <c r="D97" s="6"/>
      <c r="E97" s="6"/>
      <c r="F97" s="6">
        <v>1</v>
      </c>
      <c r="G97" s="6" t="s">
        <v>8</v>
      </c>
      <c r="H97" s="6"/>
    </row>
    <row r="98" spans="1:8">
      <c r="A98" s="6" t="s">
        <v>11</v>
      </c>
      <c r="B98" s="7"/>
      <c r="C98" s="6" t="s">
        <v>79</v>
      </c>
      <c r="D98" s="6"/>
      <c r="E98" s="6"/>
      <c r="F98" s="6">
        <v>1</v>
      </c>
      <c r="G98" s="6" t="s">
        <v>8</v>
      </c>
      <c r="H98" s="6"/>
    </row>
    <row r="99" spans="1:8">
      <c r="A99" s="6" t="s">
        <v>32</v>
      </c>
      <c r="B99" s="7"/>
      <c r="C99" s="6" t="s">
        <v>72</v>
      </c>
      <c r="D99" s="6"/>
      <c r="E99" s="6"/>
      <c r="F99" s="6">
        <v>1</v>
      </c>
      <c r="G99" s="6" t="s">
        <v>8</v>
      </c>
      <c r="H99" s="6"/>
    </row>
    <row r="100" spans="1:8" ht="105">
      <c r="A100" s="6" t="s">
        <v>92</v>
      </c>
      <c r="B100" s="7" t="str">
        <f>bolso("Caja de material para cadaveres",Table62133475155[])</f>
        <v xml:space="preserve">Caja de material para cadaveres Contiene:  Guantes para cadaveres x2,  Clase "C" x3,   x1, </v>
      </c>
      <c r="C100" s="6"/>
      <c r="D100" s="6"/>
      <c r="E100" s="6"/>
      <c r="F100" s="6">
        <v>1</v>
      </c>
      <c r="G100" s="6" t="s">
        <v>8</v>
      </c>
      <c r="H100" s="6"/>
    </row>
    <row r="101" spans="1:8">
      <c r="A101" s="6" t="s">
        <v>11</v>
      </c>
      <c r="B101" s="7"/>
      <c r="C101" s="6" t="s">
        <v>117</v>
      </c>
      <c r="D101" s="6"/>
      <c r="E101" s="6"/>
      <c r="F101" s="6">
        <v>1</v>
      </c>
      <c r="G101" s="6" t="s">
        <v>6</v>
      </c>
      <c r="H101" s="6"/>
    </row>
    <row r="102" spans="1:8">
      <c r="A102" s="6" t="s">
        <v>11</v>
      </c>
      <c r="B102" s="7"/>
      <c r="C102" s="6" t="s">
        <v>79</v>
      </c>
      <c r="D102" s="6"/>
      <c r="E102" s="6"/>
      <c r="F102" s="6">
        <v>4</v>
      </c>
      <c r="G102" s="6" t="s">
        <v>6</v>
      </c>
      <c r="H102" s="6"/>
    </row>
    <row r="103" spans="1:8">
      <c r="A103" s="6" t="s">
        <v>11</v>
      </c>
      <c r="B103" s="7"/>
      <c r="C103" s="6" t="s">
        <v>30</v>
      </c>
      <c r="D103" s="6"/>
      <c r="E103" s="6"/>
      <c r="F103" s="6">
        <v>6</v>
      </c>
      <c r="G103" s="6" t="s">
        <v>6</v>
      </c>
      <c r="H103" s="6"/>
    </row>
    <row r="104" spans="1:8">
      <c r="A104" s="6" t="s">
        <v>11</v>
      </c>
      <c r="B104" s="7"/>
      <c r="C104" s="6" t="s">
        <v>121</v>
      </c>
      <c r="D104" s="6"/>
      <c r="E104" s="6"/>
      <c r="F104" s="6">
        <v>3</v>
      </c>
      <c r="G104" s="6" t="s">
        <v>6</v>
      </c>
      <c r="H104" s="6"/>
    </row>
    <row r="105" spans="1:8">
      <c r="A105" s="6" t="s">
        <v>40</v>
      </c>
      <c r="B105" s="7"/>
      <c r="C105" s="6" t="s">
        <v>41</v>
      </c>
      <c r="D105" s="6"/>
      <c r="E105" s="6"/>
      <c r="F105" s="6">
        <v>2</v>
      </c>
      <c r="G105" s="6" t="s">
        <v>36</v>
      </c>
      <c r="H105" s="6"/>
    </row>
    <row r="106" spans="1:8">
      <c r="A106" s="6" t="s">
        <v>35</v>
      </c>
      <c r="B106" s="7"/>
      <c r="C106" s="6" t="s">
        <v>38</v>
      </c>
      <c r="D106" s="6"/>
      <c r="E106" s="6"/>
      <c r="F106" s="6">
        <v>1</v>
      </c>
      <c r="G106" s="6" t="s">
        <v>36</v>
      </c>
      <c r="H106" s="6"/>
    </row>
    <row r="107" spans="1:8">
      <c r="A107" s="6" t="s">
        <v>748</v>
      </c>
      <c r="B107" s="7"/>
      <c r="C107" s="6"/>
      <c r="D107" s="6"/>
      <c r="E107" s="6"/>
      <c r="F107" s="6">
        <v>1</v>
      </c>
      <c r="G107" s="6" t="s">
        <v>36</v>
      </c>
      <c r="H107" s="6"/>
    </row>
    <row r="108" spans="1:8">
      <c r="A108" s="6" t="s">
        <v>35</v>
      </c>
      <c r="B108" s="7"/>
      <c r="C108" s="6" t="s">
        <v>102</v>
      </c>
      <c r="D108" s="6"/>
      <c r="E108" s="6"/>
      <c r="F108" s="6">
        <v>1</v>
      </c>
      <c r="G108" s="6" t="s">
        <v>36</v>
      </c>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10">
    <dataValidation type="list" allowBlank="1" showInputMessage="1" showErrorMessage="1" sqref="P34:P42">
      <formula1>$T$4:$T$22</formula1>
    </dataValidation>
    <dataValidation type="list" allowBlank="1" showInputMessage="1" showErrorMessage="1" sqref="H2:H51">
      <formula1>INDEX($V$5:$Y$12,0,MATCH(OFFSET(INDIRECT(ADDRESS(ROW(), COLUMN())),0,-1),$V$4:$Y$4,0))</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H137:H1048576 L1:L3 H53:H135 H1 L52:L1048576">
      <formula1>INDEX(Compartimentosmovil54,0,MATCH(OFFSET(INDIRECT(ADDRESS(ROW(), COLUMN())),0,-1),CajonerasMovil54,0))</formula1>
    </dataValidation>
    <dataValidation type="list" allowBlank="1" showInputMessage="1" showErrorMessage="1" sqref="H136 G1">
      <formula1>CajonerasMovil54</formula1>
    </dataValidation>
    <dataValidation type="list" allowBlank="1" showInputMessage="1" showErrorMessage="1" sqref="C1 C12 C14 C7">
      <formula1>Medidas</formula1>
    </dataValidation>
    <dataValidation type="list" allowBlank="1" showInputMessage="1" showErrorMessage="1" sqref="J4:J1048576 A1:A51 A53:A1048576">
      <formula1>categorias</formula1>
    </dataValidation>
    <dataValidation type="list" allowBlank="1" showInputMessage="1" showErrorMessage="1" sqref="L4:L33">
      <formula1>INDEX(Medidas,0,MATCH(OFFSET(INDIRECT(ADDRESS(ROW(), COLUMN())),0,-2),categoriasDeMedidas,0))</formula1>
    </dataValidation>
    <dataValidation type="list" allowBlank="1" showInputMessage="1" showErrorMessage="1" sqref="G2:G83 G101:G1048576">
      <formula1>$V$4:$AD$4</formula1>
    </dataValidation>
    <dataValidation type="list" allowBlank="1" showInputMessage="1" showErrorMessage="1" sqref="H52">
      <formula1>INDEX($V$5:$AB$12,0,MATCH(OFFSET(INDIRECT(ADDRESS(ROW(), COLUMN())),0,-1),$V$4:$AB$4,0))</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37">
        <x14:dataValidation type="list" allowBlank="1" showInputMessage="1" showErrorMessage="1" xr:uid="{4F1A014D-F8E6-4D04-B4FD-4303046FE1F2}">
          <x14:formula1>
            <xm:f>Configuracion!$I$2:$I$6</xm:f>
          </x14:formula1>
          <xm:sqref>C136 C53</xm:sqref>
        </x14:dataValidation>
        <x14:dataValidation type="list" allowBlank="1" showInputMessage="1" showErrorMessage="1" xr:uid="{16D0CF24-FF5A-4616-9B8E-FAE2F34B0DFA}">
          <x14:formula1>
            <xm:f>Configuracion!$Y$2:$Y$17</xm:f>
          </x14:formula1>
          <xm:sqref>C18 C95 C2 C4 C90</xm:sqref>
        </x14:dataValidation>
        <x14:dataValidation type="list" allowBlank="1" showInputMessage="1" showErrorMessage="1" xr:uid="{AC5B8A22-D94B-47A2-83A8-B2573ACD5C04}">
          <x14:formula1>
            <xm:f>Configuracion!$F$2:$F$17</xm:f>
          </x14:formula1>
          <xm:sqref>C69 C20:C21 C86 C98 C101:C104</xm:sqref>
        </x14:dataValidation>
        <x14:dataValidation type="list" allowBlank="1" showInputMessage="1" showErrorMessage="1" xr:uid="{8874309E-2957-4B09-B51B-C4CB9E59D065}">
          <x14:formula1>
            <xm:f>Configuracion!$K$2:$K$11</xm:f>
          </x14:formula1>
          <xm:sqref>C65</xm:sqref>
        </x14:dataValidation>
        <x14:dataValidation type="list" allowBlank="1" showInputMessage="1" showErrorMessage="1" xr:uid="{CFD330E6-92D2-4649-8953-286293A2FCD4}">
          <x14:formula1>
            <xm:f>Configuracion!$Q$2:$Q$9</xm:f>
          </x14:formula1>
          <xm:sqref>C44:C45 C94</xm:sqref>
        </x14:dataValidation>
        <x14:dataValidation type="list" allowBlank="1" showInputMessage="1" showErrorMessage="1" xr:uid="{11BA68FC-90D0-4E57-A6A5-352DB4AA5FC7}">
          <x14:formula1>
            <xm:f>Configuracion!$R$2:$R$4</xm:f>
          </x14:formula1>
          <xm:sqref>C39</xm:sqref>
        </x14:dataValidation>
        <x14:dataValidation type="list" allowBlank="1" showInputMessage="1" showErrorMessage="1" xr:uid="{5039BD10-439F-4BC7-8507-846031BDB63D}">
          <x14:formula1>
            <xm:f>Configuracion!$L$2:$L$3</xm:f>
          </x14:formula1>
          <xm:sqref>C40</xm:sqref>
        </x14:dataValidation>
        <x14:dataValidation type="list" allowBlank="1" showInputMessage="1" showErrorMessage="1" xr:uid="{4093900B-7DEE-46C9-A389-C2C53CCF63A6}">
          <x14:formula1>
            <xm:f>Configuracion!$T$2:$T$7</xm:f>
          </x14:formula1>
          <xm:sqref>C25</xm:sqref>
        </x14:dataValidation>
        <x14:dataValidation type="list" allowBlank="1" showInputMessage="1" showErrorMessage="1" xr:uid="{65290C53-4138-4BDF-8D77-8988C2324442}">
          <x14:formula1>
            <xm:f>Configuracion!$V$2:$V$4</xm:f>
          </x14:formula1>
          <xm:sqref>C22</xm:sqref>
        </x14:dataValidation>
        <x14:dataValidation type="list" allowBlank="1" showInputMessage="1" showErrorMessage="1" xr:uid="{73478A83-02AC-4126-B37F-8A655D3F57A3}">
          <x14:formula1>
            <xm:f>Configuracion!$H$2:$H$4</xm:f>
          </x14:formula1>
          <xm:sqref>C108 C106</xm:sqref>
        </x14:dataValidation>
        <x14:dataValidation type="list" allowBlank="1" showInputMessage="1" showErrorMessage="1" xr:uid="{11926E30-E68E-4563-B50E-64DF5F464D57}">
          <x14:formula1>
            <xm:f>Configuracion!$U$2:$U$3</xm:f>
          </x14:formula1>
          <xm:sqref>C6 C3</xm:sqref>
        </x14:dataValidation>
        <x14:dataValidation type="list" allowBlank="1" showInputMessage="1" showErrorMessage="1" xr:uid="{BD3081A3-A7E9-4882-B029-C2023798548F}">
          <x14:formula1>
            <xm:f>Configuracion!$K$2:$K$4</xm:f>
          </x14:formula1>
          <xm:sqref>C5</xm:sqref>
        </x14:dataValidation>
        <x14:dataValidation type="list" allowBlank="1" showInputMessage="1" showErrorMessage="1" xr:uid="{131C3437-F282-4E7E-9374-12FC89F5377D}">
          <x14:formula1>
            <xm:f>Configuracion!$N$2:$N$9</xm:f>
          </x14:formula1>
          <xm:sqref>C120 C122 C82</xm:sqref>
        </x14:dataValidation>
        <x14:dataValidation type="list" allowBlank="1" showInputMessage="1" showErrorMessage="1" xr:uid="{82088906-4014-4F86-8B12-36D1351A6E4A}">
          <x14:formula1>
            <xm:f>Configuracion!$S$2:$S$10</xm:f>
          </x14:formula1>
          <xm:sqref>C96 C100</xm:sqref>
        </x14:dataValidation>
        <x14:dataValidation type="list" allowBlank="1" showInputMessage="1" showErrorMessage="1" xr:uid="{54CB772A-0550-4BE0-863C-2CB9ED4B50B1}">
          <x14:formula1>
            <xm:f>Configuracion!$J$2:$J$5</xm:f>
          </x14:formula1>
          <xm:sqref>C24 C58:C59 C29:C30</xm:sqref>
        </x14:dataValidation>
        <x14:dataValidation type="list" allowBlank="1" showInputMessage="1" showErrorMessage="1" xr:uid="{0DABCF34-1A53-4043-9191-96992DB692D8}">
          <x14:formula1>
            <xm:f>Configuracion!$F$2:$F$10</xm:f>
          </x14:formula1>
          <xm:sqref>C125:C126</xm:sqref>
        </x14:dataValidation>
        <x14:dataValidation type="list" allowBlank="1" showInputMessage="1" showErrorMessage="1" xr:uid="{247AF543-3F8D-4657-BFDD-1CB815E5417C}">
          <x14:formula1>
            <xm:f>Configuracion!$M$2:$M$6</xm:f>
          </x14:formula1>
          <xm:sqref>C17</xm:sqref>
        </x14:dataValidation>
        <x14:dataValidation type="list" allowBlank="1" showInputMessage="1" showErrorMessage="1" xr:uid="{7CF23E58-59B0-469C-89A6-27D3A0D4BF40}">
          <x14:formula1>
            <xm:f>Configuracion!$F$2:$F$3</xm:f>
          </x14:formula1>
          <xm:sqref>C16</xm:sqref>
        </x14:dataValidation>
        <x14:dataValidation type="list" allowBlank="1" showInputMessage="1" showErrorMessage="1" xr:uid="{2CFB4B3B-CD71-455D-BEC4-93CE1764E18C}">
          <x14:formula1>
            <xm:f>Configuracion!$F$2:$F$5</xm:f>
          </x14:formula1>
          <xm:sqref>C13 C28</xm:sqref>
        </x14:dataValidation>
        <x14:dataValidation type="list" allowBlank="1" showInputMessage="1" showErrorMessage="1" xr:uid="{17551A01-B6E3-4935-B066-960051B11A3F}">
          <x14:formula1>
            <xm:f>Configuracion!$G$2:$G$3</xm:f>
          </x14:formula1>
          <xm:sqref>C127:C128</xm:sqref>
        </x14:dataValidation>
        <x14:dataValidation type="list" allowBlank="1" showInputMessage="1" showErrorMessage="1" xr:uid="{983AD805-DB16-4586-A2B9-2B6F25639742}">
          <x14:formula1>
            <xm:f>Configuracion!$S$2:$S$11</xm:f>
          </x14:formula1>
          <xm:sqref>C15</xm:sqref>
        </x14:dataValidation>
        <x14:dataValidation type="list" allowBlank="1" showInputMessage="1" showErrorMessage="1" xr:uid="{5AA8D551-6312-4607-B72E-BCAD71608B4A}">
          <x14:formula1>
            <xm:f>Configuracion!$A$2:$A$72</xm:f>
          </x14:formula1>
          <xm:sqref>J1:J3</xm:sqref>
        </x14:dataValidation>
        <x14:dataValidation type="list" allowBlank="1" showInputMessage="1" showErrorMessage="1" xr:uid="{4E9214B2-065C-4C0A-95DB-7E24A7991064}">
          <x14:formula1>
            <xm:f>Configuracion!$T$2:$T$8</xm:f>
          </x14:formula1>
          <xm:sqref>C11</xm:sqref>
        </x14:dataValidation>
        <x14:dataValidation type="list" allowBlank="1" showInputMessage="1" showErrorMessage="1" xr:uid="{9B0602B3-D63A-4034-A8DC-D13FE2DC2018}">
          <x14:formula1>
            <xm:f>Configuracion!$Q$2:$Q$8</xm:f>
          </x14:formula1>
          <xm:sqref>C27</xm:sqref>
        </x14:dataValidation>
        <x14:dataValidation type="list" allowBlank="1" showInputMessage="1" showErrorMessage="1" xr:uid="{FFD27C0D-6E2D-4296-A8A0-3227A308D01A}">
          <x14:formula1>
            <xm:f>Configuracion!$S$2:$S$3</xm:f>
          </x14:formula1>
          <xm:sqref>C34 C38</xm:sqref>
        </x14:dataValidation>
        <x14:dataValidation type="list" allowBlank="1" showInputMessage="1" showErrorMessage="1" xr:uid="{FD4E89A9-7E9B-45F5-A3C9-34B44C178AEA}">
          <x14:formula1>
            <xm:f>Configuracion!$X$2:$X$5</xm:f>
          </x14:formula1>
          <xm:sqref>C46 C8</xm:sqref>
        </x14:dataValidation>
        <x14:dataValidation type="list" allowBlank="1" showInputMessage="1" showErrorMessage="1" xr:uid="{C7752E18-0E2C-4BC2-9218-8378B9C9BFF9}">
          <x14:formula1>
            <xm:f>Configuracion!$K$2:$K$7</xm:f>
          </x14:formula1>
          <xm:sqref>C33</xm:sqref>
        </x14:dataValidation>
        <x14:dataValidation type="list" allowBlank="1" showInputMessage="1" showErrorMessage="1" xr:uid="{94D6BB2B-AACA-40DB-8070-AC291B679B0F}">
          <x14:formula1>
            <xm:f>Configuracion!$G$2:$G$8</xm:f>
          </x14:formula1>
          <xm:sqref>C68 C43 C71:C74 C85 C99</xm:sqref>
        </x14:dataValidation>
        <x14:dataValidation type="list" allowBlank="1" showInputMessage="1" showErrorMessage="1" xr:uid="{602F33FD-931C-4302-BB83-364D9E37B9D5}">
          <x14:formula1>
            <xm:f>Configuracion!$F$2:$F$15</xm:f>
          </x14:formula1>
          <xm:sqref>C57 C9 C41:C42 C55 C49:C50</xm:sqref>
        </x14:dataValidation>
        <x14:dataValidation type="list" allowBlank="1" showInputMessage="1" showErrorMessage="1" xr:uid="{B0E7408F-3C64-4F11-8C70-1AA38A794B3A}">
          <x14:formula1>
            <xm:f>Configuracion!$U$2:$U$4</xm:f>
          </x14:formula1>
          <xm:sqref>C19:E19</xm:sqref>
        </x14:dataValidation>
        <x14:dataValidation type="list" allowBlank="1" showInputMessage="1" showErrorMessage="1" xr:uid="{1C342A60-39A8-47F2-B776-677D1CC0D8C0}">
          <x14:formula1>
            <xm:f>Configuracion!$I$2:$I$5</xm:f>
          </x14:formula1>
          <xm:sqref>C105</xm:sqref>
        </x14:dataValidation>
        <x14:dataValidation type="list" allowBlank="1" showInputMessage="1" showErrorMessage="1" xr:uid="{D0E8F19A-670E-4F1F-B6B8-36D9AA2E9F18}">
          <x14:formula1>
            <xm:f>Configuracion!$J$2:$J$7</xm:f>
          </x14:formula1>
          <xm:sqref>C78 C89</xm:sqref>
        </x14:dataValidation>
        <x14:dataValidation type="list" allowBlank="1" showInputMessage="1" showErrorMessage="1" xr:uid="{2BB2D4C4-985E-46EF-B09D-561C2FE85012}">
          <x14:formula1>
            <xm:f>Configuracion!$Y$2:$Y$3</xm:f>
          </x14:formula1>
          <xm:sqref>C48</xm:sqref>
        </x14:dataValidation>
        <x14:dataValidation type="list" allowBlank="1" showInputMessage="1" showErrorMessage="1" xr:uid="{CA94A47A-ABB4-4BB0-8126-D6D8C11AA3F1}">
          <x14:formula1>
            <xm:f>Configuracion!$S$2:$S$4</xm:f>
          </x14:formula1>
          <xm:sqref>C76</xm:sqref>
        </x14:dataValidation>
        <x14:dataValidation type="list" allowBlank="1" showInputMessage="1" showErrorMessage="1" xr:uid="{422AA140-DEE4-4ECC-B7A1-D2C05EAEF513}">
          <x14:formula1>
            <xm:f>Configuracion!$K$2:$K$12</xm:f>
          </x14:formula1>
          <xm:sqref>C79:C80</xm:sqref>
        </x14:dataValidation>
        <x14:dataValidation type="list" allowBlank="1" showInputMessage="1" showErrorMessage="1" xr:uid="{408791F5-2738-41F0-A7A6-5D2E70B2E91F}">
          <x14:formula1>
            <xm:f>Configuracion!$AB$2:$AB$4</xm:f>
          </x14:formula1>
          <xm:sqref>C10 C107 C56 C51 C26</xm:sqref>
        </x14:dataValidation>
        <x14:dataValidation type="list" allowBlank="1" showInputMessage="1" showErrorMessage="1" xr:uid="{8A4F0A35-126C-44F8-9C5A-39879B7A4D42}">
          <x14:formula1>
            <xm:f>Configuracion!$Z$2:$Z$3</xm:f>
          </x14:formula1>
          <xm:sqref>C52</xm:sqref>
        </x14:dataValidation>
      </x14:dataValidations>
    </ext>
  </extLst>
</worksheet>
</file>

<file path=xl/worksheets/sheet15.xml><?xml version="1.0" encoding="utf-8"?>
<worksheet xmlns="http://schemas.openxmlformats.org/spreadsheetml/2006/main" xmlns:r="http://schemas.openxmlformats.org/officeDocument/2006/relationships">
  <sheetPr codeName="Sheet16"/>
  <dimension ref="A1:AD136"/>
  <sheetViews>
    <sheetView topLeftCell="C1" workbookViewId="0">
      <selection activeCell="G13" sqref="G13:H13"/>
    </sheetView>
  </sheetViews>
  <sheetFormatPr baseColWidth="10" defaultColWidth="9.140625" defaultRowHeight="15"/>
  <cols>
    <col min="1" max="1" width="26.42578125" style="4" bestFit="1" customWidth="1"/>
    <col min="2" max="2" width="15.42578125"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13.5703125" bestFit="1" customWidth="1"/>
    <col min="12" max="12" width="11" bestFit="1" customWidth="1"/>
    <col min="13" max="13" width="8.5703125" bestFit="1" customWidth="1"/>
    <col min="14" max="14" width="13.140625" bestFit="1" customWidth="1"/>
    <col min="15" max="15" width="7"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30">
      <c r="A1" s="4" t="s">
        <v>0</v>
      </c>
      <c r="B1" s="5" t="s">
        <v>1</v>
      </c>
      <c r="C1" s="4" t="s">
        <v>2</v>
      </c>
      <c r="D1" s="4" t="s">
        <v>3</v>
      </c>
      <c r="E1" s="4" t="s">
        <v>4</v>
      </c>
      <c r="F1" s="4" t="s">
        <v>236</v>
      </c>
      <c r="G1" s="4" t="s">
        <v>13</v>
      </c>
      <c r="H1" s="4" t="s">
        <v>228</v>
      </c>
    </row>
    <row r="2" spans="1:30">
      <c r="A2" s="4" t="s">
        <v>11</v>
      </c>
      <c r="B2" s="7"/>
      <c r="C2" s="6" t="s">
        <v>121</v>
      </c>
      <c r="D2" s="6"/>
      <c r="E2" s="6"/>
      <c r="F2" s="6">
        <v>1</v>
      </c>
      <c r="G2" s="6" t="s">
        <v>231</v>
      </c>
      <c r="H2" s="6" t="s">
        <v>7</v>
      </c>
    </row>
    <row r="3" spans="1:30">
      <c r="A3" s="6" t="s">
        <v>32</v>
      </c>
      <c r="B3" s="7"/>
      <c r="C3" s="6" t="s">
        <v>792</v>
      </c>
      <c r="D3" s="6"/>
      <c r="E3" s="6"/>
      <c r="F3" s="6">
        <v>1</v>
      </c>
      <c r="G3" s="6" t="s">
        <v>8</v>
      </c>
      <c r="H3" s="6" t="s">
        <v>791</v>
      </c>
      <c r="J3" t="s">
        <v>0</v>
      </c>
      <c r="K3" t="s">
        <v>1</v>
      </c>
      <c r="L3" t="s">
        <v>2</v>
      </c>
      <c r="M3" s="4" t="s">
        <v>3</v>
      </c>
      <c r="N3" s="4" t="s">
        <v>4</v>
      </c>
      <c r="O3" s="4" t="s">
        <v>236</v>
      </c>
      <c r="P3" t="s">
        <v>14</v>
      </c>
      <c r="T3" t="s">
        <v>28</v>
      </c>
      <c r="V3" s="26" t="s">
        <v>226</v>
      </c>
      <c r="W3" s="26"/>
      <c r="X3" s="26"/>
      <c r="Y3" s="26"/>
      <c r="Z3" s="26"/>
      <c r="AA3" s="26"/>
    </row>
    <row r="4" spans="1:30" ht="30">
      <c r="A4" s="6" t="s">
        <v>153</v>
      </c>
      <c r="B4" s="7" t="s">
        <v>591</v>
      </c>
      <c r="C4" s="6"/>
      <c r="D4" s="6"/>
      <c r="E4" s="6"/>
      <c r="F4" s="6">
        <v>1</v>
      </c>
      <c r="G4" s="6" t="s">
        <v>8</v>
      </c>
      <c r="H4" s="6" t="s">
        <v>791</v>
      </c>
      <c r="V4" t="s">
        <v>231</v>
      </c>
      <c r="W4" t="s">
        <v>8</v>
      </c>
      <c r="X4" t="s">
        <v>5</v>
      </c>
      <c r="Y4" t="s">
        <v>680</v>
      </c>
      <c r="Z4" t="s">
        <v>681</v>
      </c>
      <c r="AA4" t="s">
        <v>960</v>
      </c>
      <c r="AB4" t="s">
        <v>961</v>
      </c>
      <c r="AC4" t="s">
        <v>962</v>
      </c>
      <c r="AD4" t="s">
        <v>963</v>
      </c>
    </row>
    <row r="5" spans="1:30">
      <c r="A5" s="6" t="s">
        <v>32</v>
      </c>
      <c r="B5" s="7"/>
      <c r="C5" s="6" t="s">
        <v>52</v>
      </c>
      <c r="D5" s="6"/>
      <c r="E5" s="6"/>
      <c r="F5" s="6">
        <v>1</v>
      </c>
      <c r="G5" s="6" t="s">
        <v>8</v>
      </c>
      <c r="H5" s="6" t="s">
        <v>791</v>
      </c>
      <c r="V5" t="s">
        <v>7</v>
      </c>
      <c r="W5" t="s">
        <v>791</v>
      </c>
      <c r="X5" t="s">
        <v>791</v>
      </c>
    </row>
    <row r="6" spans="1:30">
      <c r="A6" s="6" t="s">
        <v>153</v>
      </c>
      <c r="B6" s="7" t="s">
        <v>647</v>
      </c>
      <c r="C6" s="6"/>
      <c r="D6" s="6"/>
      <c r="E6" s="6"/>
      <c r="F6" s="6">
        <v>1</v>
      </c>
      <c r="G6" s="6" t="s">
        <v>8</v>
      </c>
      <c r="H6" s="6" t="s">
        <v>791</v>
      </c>
    </row>
    <row r="7" spans="1:30">
      <c r="A7" s="6" t="s">
        <v>153</v>
      </c>
      <c r="B7" s="7" t="s">
        <v>26</v>
      </c>
      <c r="C7" s="6"/>
      <c r="D7" s="6"/>
      <c r="E7" s="6"/>
      <c r="F7" s="6">
        <v>3</v>
      </c>
      <c r="G7" s="6" t="s">
        <v>8</v>
      </c>
      <c r="H7" s="6" t="s">
        <v>791</v>
      </c>
    </row>
    <row r="8" spans="1:30">
      <c r="A8" s="6" t="s">
        <v>43</v>
      </c>
      <c r="B8" s="7"/>
      <c r="C8" s="6" t="s">
        <v>66</v>
      </c>
      <c r="D8" s="6"/>
      <c r="E8" s="6"/>
      <c r="F8" s="6">
        <v>1</v>
      </c>
      <c r="G8" s="6" t="s">
        <v>8</v>
      </c>
      <c r="H8" s="6" t="s">
        <v>791</v>
      </c>
    </row>
    <row r="9" spans="1:30">
      <c r="A9" s="6" t="s">
        <v>170</v>
      </c>
      <c r="B9" s="7"/>
      <c r="C9" s="6"/>
      <c r="D9" s="6"/>
      <c r="E9" s="6"/>
      <c r="F9" s="6">
        <v>1</v>
      </c>
      <c r="G9" s="6" t="s">
        <v>8</v>
      </c>
      <c r="H9" s="6" t="s">
        <v>791</v>
      </c>
    </row>
    <row r="10" spans="1:30">
      <c r="A10" s="6" t="s">
        <v>136</v>
      </c>
      <c r="B10" s="7"/>
      <c r="C10" s="6"/>
      <c r="D10" s="6"/>
      <c r="E10" s="6"/>
      <c r="F10" s="6">
        <v>1</v>
      </c>
      <c r="G10" s="6" t="s">
        <v>8</v>
      </c>
      <c r="H10" s="6" t="s">
        <v>791</v>
      </c>
    </row>
    <row r="11" spans="1:30">
      <c r="A11" s="6" t="s">
        <v>11</v>
      </c>
      <c r="B11" s="7"/>
      <c r="C11" s="6" t="s">
        <v>121</v>
      </c>
      <c r="D11" s="6"/>
      <c r="E11" s="6"/>
      <c r="F11" s="6">
        <v>2</v>
      </c>
      <c r="G11" s="6" t="s">
        <v>8</v>
      </c>
      <c r="H11" s="6" t="s">
        <v>791</v>
      </c>
    </row>
    <row r="12" spans="1:30">
      <c r="A12" s="6" t="s">
        <v>171</v>
      </c>
      <c r="B12" s="7"/>
      <c r="C12" s="6" t="s">
        <v>841</v>
      </c>
      <c r="D12" s="6"/>
      <c r="E12" s="6"/>
      <c r="F12" s="6">
        <v>1</v>
      </c>
      <c r="G12" s="6" t="s">
        <v>8</v>
      </c>
      <c r="H12" s="6" t="s">
        <v>791</v>
      </c>
    </row>
    <row r="13" spans="1:30">
      <c r="A13" s="6" t="s">
        <v>157</v>
      </c>
      <c r="B13" s="7"/>
      <c r="C13" s="6" t="s">
        <v>792</v>
      </c>
      <c r="D13" s="6"/>
      <c r="E13" s="6"/>
      <c r="F13" s="6">
        <v>1</v>
      </c>
      <c r="G13" s="6" t="s">
        <v>8</v>
      </c>
      <c r="H13" s="6" t="s">
        <v>791</v>
      </c>
    </row>
    <row r="14" spans="1:30">
      <c r="A14" s="6"/>
      <c r="B14" s="7"/>
      <c r="C14" s="6"/>
      <c r="D14" s="6"/>
      <c r="E14" s="6"/>
      <c r="F14" s="6"/>
      <c r="G14" s="6"/>
      <c r="H14" s="6"/>
    </row>
    <row r="15" spans="1:30">
      <c r="A15" s="6"/>
      <c r="B15" s="7"/>
      <c r="C15" s="6"/>
      <c r="D15" s="6"/>
      <c r="E15" s="6"/>
      <c r="F15" s="6"/>
      <c r="G15" s="6"/>
      <c r="H15" s="6"/>
    </row>
    <row r="16" spans="1:30">
      <c r="A16" s="6"/>
      <c r="B16" s="7"/>
      <c r="C16" s="6"/>
      <c r="D16" s="6"/>
      <c r="E16" s="6"/>
      <c r="F16" s="6"/>
      <c r="G16" s="6"/>
      <c r="H16" s="6"/>
    </row>
    <row r="17" spans="1:8">
      <c r="A17" s="6"/>
      <c r="B17" s="7"/>
      <c r="C17" s="6"/>
      <c r="D17" s="6"/>
      <c r="E17" s="6"/>
      <c r="F17" s="6"/>
      <c r="G17" s="6"/>
      <c r="H17" s="6"/>
    </row>
    <row r="18" spans="1:8">
      <c r="A18" s="6"/>
      <c r="B18" s="7"/>
      <c r="C18" s="6"/>
      <c r="D18" s="6"/>
      <c r="E18" s="6"/>
      <c r="F18" s="6"/>
      <c r="G18" s="6"/>
      <c r="H18" s="6"/>
    </row>
    <row r="19" spans="1:8">
      <c r="A19" s="6"/>
      <c r="B19" s="7"/>
      <c r="C19" s="6"/>
      <c r="D19" s="6"/>
      <c r="E19" s="6"/>
      <c r="F19" s="6"/>
      <c r="G19" s="6"/>
      <c r="H19" s="6"/>
    </row>
    <row r="20" spans="1:8">
      <c r="A20" s="6"/>
      <c r="B20" s="7"/>
      <c r="C20" s="6"/>
      <c r="D20" s="6"/>
      <c r="E20" s="6"/>
      <c r="F20" s="6"/>
      <c r="G20" s="6"/>
      <c r="H20" s="6"/>
    </row>
    <row r="21" spans="1:8">
      <c r="A21" s="6"/>
      <c r="B21" s="7"/>
      <c r="C21" s="6"/>
      <c r="D21" s="6"/>
      <c r="E21" s="6"/>
      <c r="F21" s="6"/>
      <c r="G21" s="6"/>
      <c r="H21" s="6"/>
    </row>
    <row r="22" spans="1:8">
      <c r="A22" s="6"/>
      <c r="B22" s="7"/>
      <c r="C22" s="6"/>
      <c r="D22" s="6"/>
      <c r="E22" s="6"/>
      <c r="F22" s="6"/>
      <c r="G22" s="6"/>
      <c r="H22" s="6"/>
    </row>
    <row r="23" spans="1:8">
      <c r="A23" s="6"/>
      <c r="B23" s="7"/>
      <c r="C23" s="6"/>
      <c r="D23" s="6"/>
      <c r="E23" s="6"/>
      <c r="F23" s="6"/>
      <c r="G23" s="6"/>
      <c r="H23" s="6"/>
    </row>
    <row r="24" spans="1:8">
      <c r="A24" s="6"/>
      <c r="B24" s="7"/>
      <c r="C24" s="6"/>
      <c r="D24" s="6"/>
      <c r="E24" s="6"/>
      <c r="F24" s="6"/>
      <c r="G24" s="6"/>
      <c r="H24" s="6"/>
    </row>
    <row r="25" spans="1:8">
      <c r="A25" s="6"/>
      <c r="B25" s="7"/>
      <c r="C25" s="6"/>
      <c r="D25" s="6"/>
      <c r="E25" s="6"/>
      <c r="F25" s="6"/>
      <c r="G25" s="6"/>
      <c r="H25" s="6"/>
    </row>
    <row r="26" spans="1:8">
      <c r="A26" s="6"/>
      <c r="B26" s="7"/>
      <c r="C26" s="6"/>
      <c r="D26" s="6"/>
      <c r="E26" s="6"/>
      <c r="F26" s="6"/>
      <c r="G26" s="6"/>
      <c r="H26" s="6"/>
    </row>
    <row r="27" spans="1:8">
      <c r="A27" s="6"/>
      <c r="B27" s="7"/>
      <c r="C27" s="6"/>
      <c r="D27" s="6"/>
      <c r="E27" s="6"/>
      <c r="F27" s="6"/>
      <c r="G27" s="6"/>
      <c r="H27" s="6"/>
    </row>
    <row r="28" spans="1:8">
      <c r="A28" s="6"/>
      <c r="B28" s="7"/>
      <c r="C28" s="6"/>
      <c r="D28" s="6"/>
      <c r="E28" s="6"/>
      <c r="F28" s="6"/>
      <c r="G28" s="6"/>
      <c r="H28" s="6"/>
    </row>
    <row r="29" spans="1:8">
      <c r="A29" s="6"/>
      <c r="B29" s="7"/>
      <c r="C29" s="6"/>
      <c r="D29" s="6"/>
      <c r="E29" s="6"/>
      <c r="F29" s="6"/>
      <c r="G29" s="6"/>
      <c r="H29" s="6"/>
    </row>
    <row r="30" spans="1:8">
      <c r="A30" s="6"/>
      <c r="B30" s="7"/>
      <c r="C30" s="6"/>
      <c r="D30" s="6"/>
      <c r="E30" s="6"/>
      <c r="F30" s="6"/>
      <c r="G30" s="6"/>
      <c r="H30" s="6"/>
    </row>
    <row r="31" spans="1:8">
      <c r="A31" s="6"/>
      <c r="B31" s="7"/>
      <c r="C31" s="6"/>
      <c r="D31" s="6"/>
      <c r="E31" s="6"/>
      <c r="F31" s="6"/>
      <c r="G31" s="6"/>
      <c r="H31" s="6"/>
    </row>
    <row r="32" spans="1:8">
      <c r="A32" s="6"/>
      <c r="B32" s="7"/>
      <c r="C32" s="6"/>
      <c r="D32" s="6"/>
      <c r="E32" s="6"/>
      <c r="F32" s="6"/>
      <c r="G32" s="6"/>
      <c r="H32" s="6"/>
    </row>
    <row r="33" spans="1:8">
      <c r="A33" s="6"/>
      <c r="B33" s="7"/>
      <c r="C33" s="6"/>
      <c r="D33" s="6"/>
      <c r="E33" s="6"/>
      <c r="F33" s="6"/>
      <c r="G33" s="6"/>
      <c r="H33" s="6"/>
    </row>
    <row r="34" spans="1:8">
      <c r="A34" s="6"/>
      <c r="B34" s="7"/>
      <c r="C34" s="6"/>
      <c r="D34" s="6"/>
      <c r="E34" s="6"/>
      <c r="F34" s="6"/>
      <c r="G34" s="6"/>
      <c r="H34" s="6"/>
    </row>
    <row r="35" spans="1:8">
      <c r="A35" s="6"/>
      <c r="B35" s="7"/>
      <c r="C35" s="6"/>
      <c r="D35" s="6"/>
      <c r="E35" s="6"/>
      <c r="F35" s="6"/>
      <c r="G35" s="6"/>
      <c r="H35" s="6"/>
    </row>
    <row r="36" spans="1:8">
      <c r="A36" s="6"/>
      <c r="B36" s="7"/>
      <c r="C36" s="6"/>
      <c r="D36" s="6"/>
      <c r="E36" s="6"/>
      <c r="F36" s="6"/>
      <c r="G36" s="6"/>
      <c r="H36" s="6"/>
    </row>
    <row r="37" spans="1:8">
      <c r="A37" s="6"/>
      <c r="B37" s="7"/>
      <c r="C37" s="6"/>
      <c r="D37" s="6"/>
      <c r="E37" s="6"/>
      <c r="F37" s="6"/>
      <c r="G37" s="6"/>
      <c r="H37" s="6"/>
    </row>
    <row r="38" spans="1:8">
      <c r="A38" s="6"/>
      <c r="B38" s="7"/>
      <c r="C38" s="6"/>
      <c r="D38" s="6"/>
      <c r="E38" s="6"/>
      <c r="F38" s="6"/>
      <c r="G38" s="6"/>
      <c r="H38" s="6"/>
    </row>
    <row r="39" spans="1:8">
      <c r="A39" s="6"/>
      <c r="B39" s="7"/>
      <c r="C39" s="6"/>
      <c r="D39" s="6"/>
      <c r="E39" s="6"/>
      <c r="F39" s="6"/>
      <c r="G39" s="6"/>
      <c r="H39" s="6"/>
    </row>
    <row r="40" spans="1:8">
      <c r="A40" s="6"/>
      <c r="B40" s="7"/>
      <c r="C40" s="6"/>
      <c r="D40" s="6"/>
      <c r="E40" s="6"/>
      <c r="F40" s="6"/>
      <c r="G40" s="6"/>
      <c r="H40" s="6"/>
    </row>
    <row r="41" spans="1:8">
      <c r="A41" s="6"/>
      <c r="B41" s="7"/>
      <c r="C41" s="6"/>
      <c r="D41" s="6"/>
      <c r="E41" s="6"/>
      <c r="F41" s="6"/>
      <c r="G41" s="6"/>
      <c r="H41" s="6"/>
    </row>
    <row r="42" spans="1:8">
      <c r="A42" s="6"/>
      <c r="B42" s="7"/>
      <c r="C42" s="6"/>
      <c r="D42" s="6"/>
      <c r="E42" s="6"/>
      <c r="F42" s="6"/>
      <c r="G42" s="6"/>
      <c r="H42" s="6"/>
    </row>
    <row r="43" spans="1:8">
      <c r="A43" s="6"/>
      <c r="B43" s="7"/>
      <c r="C43" s="6"/>
      <c r="D43" s="6"/>
      <c r="E43" s="6"/>
      <c r="F43" s="6"/>
      <c r="G43" s="6"/>
      <c r="H43" s="6"/>
    </row>
    <row r="44" spans="1:8">
      <c r="A44" s="6"/>
      <c r="B44" s="7"/>
      <c r="C44" s="6"/>
      <c r="D44" s="6"/>
      <c r="E44" s="6"/>
      <c r="F44" s="6"/>
      <c r="G44" s="6"/>
      <c r="H44" s="6"/>
    </row>
    <row r="45" spans="1:8">
      <c r="A45" s="6"/>
      <c r="B45" s="7"/>
      <c r="C45" s="6"/>
      <c r="D45" s="6"/>
      <c r="E45" s="6"/>
      <c r="F45" s="6"/>
      <c r="G45" s="6"/>
      <c r="H45" s="6"/>
    </row>
    <row r="46" spans="1:8">
      <c r="A46" s="6"/>
      <c r="B46" s="7"/>
      <c r="C46" s="6"/>
      <c r="D46" s="6"/>
      <c r="E46" s="6"/>
      <c r="F46" s="6"/>
      <c r="G46" s="6"/>
      <c r="H46" s="6"/>
    </row>
    <row r="47" spans="1:8">
      <c r="A47" s="6"/>
      <c r="B47" s="7"/>
      <c r="C47" s="6"/>
      <c r="D47" s="6"/>
      <c r="E47" s="6"/>
      <c r="F47" s="6"/>
      <c r="G47" s="6"/>
      <c r="H47" s="6"/>
    </row>
    <row r="48" spans="1:8">
      <c r="A48" s="6"/>
      <c r="B48" s="7"/>
      <c r="C48" s="6"/>
      <c r="D48" s="6"/>
      <c r="E48" s="6"/>
      <c r="F48" s="6"/>
      <c r="G48" s="6"/>
      <c r="H48" s="6"/>
    </row>
    <row r="49" spans="1:8">
      <c r="A49" s="6"/>
      <c r="B49" s="7"/>
      <c r="C49" s="6"/>
      <c r="D49" s="6"/>
      <c r="E49" s="6"/>
      <c r="F49" s="6"/>
      <c r="G49" s="6"/>
      <c r="H49" s="6"/>
    </row>
    <row r="50" spans="1:8">
      <c r="A50" s="6"/>
      <c r="B50" s="7"/>
      <c r="C50" s="6"/>
      <c r="D50" s="6"/>
      <c r="E50" s="6"/>
      <c r="F50" s="6"/>
      <c r="G50" s="6"/>
      <c r="H50" s="6"/>
    </row>
    <row r="51" spans="1:8">
      <c r="A51" s="6"/>
      <c r="B51" s="7"/>
      <c r="C51" s="6"/>
      <c r="D51" s="6"/>
      <c r="E51" s="6"/>
      <c r="F51" s="6"/>
      <c r="G51" s="6"/>
      <c r="H51" s="6"/>
    </row>
    <row r="52" spans="1:8">
      <c r="A52" s="6"/>
      <c r="B52" s="7"/>
      <c r="C52" s="6"/>
      <c r="D52" s="6"/>
      <c r="E52" s="6"/>
      <c r="F52" s="6"/>
      <c r="G52" s="6"/>
      <c r="H52" s="6"/>
    </row>
    <row r="53" spans="1:8">
      <c r="A53" s="6"/>
      <c r="B53" s="7"/>
      <c r="C53" s="6"/>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A60" s="6"/>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A67" s="6"/>
      <c r="B67" s="7"/>
      <c r="C67" s="6"/>
      <c r="D67" s="6"/>
      <c r="E67" s="6"/>
      <c r="F67" s="6"/>
      <c r="G67" s="6"/>
      <c r="H67" s="6"/>
    </row>
    <row r="68" spans="1:8">
      <c r="A68" s="6"/>
      <c r="B68" s="7"/>
      <c r="C68" s="6"/>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A73" s="6"/>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A81" s="6"/>
      <c r="B81" s="7"/>
      <c r="C81"/>
      <c r="D81" s="6"/>
      <c r="E81" s="6"/>
      <c r="F81" s="6"/>
      <c r="G81" s="6"/>
      <c r="H81" s="6"/>
    </row>
    <row r="82" spans="1:8">
      <c r="A82" s="6"/>
      <c r="B82" s="7"/>
      <c r="C82" s="6"/>
      <c r="D82" s="6"/>
      <c r="E82" s="6"/>
      <c r="F82" s="6"/>
      <c r="G82" s="6"/>
      <c r="H82" s="6"/>
    </row>
    <row r="83" spans="1:8">
      <c r="A83" s="6"/>
      <c r="B83" s="7"/>
      <c r="C83"/>
      <c r="D83" s="6"/>
      <c r="E83" s="6"/>
      <c r="F83" s="6"/>
      <c r="G83" s="6"/>
      <c r="H83" s="6"/>
    </row>
    <row r="84" spans="1:8">
      <c r="A84" s="6"/>
      <c r="B84" s="7"/>
      <c r="C84"/>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10">
    <dataValidation type="list" allowBlank="1" showInputMessage="1" showErrorMessage="1" sqref="H52">
      <formula1>INDEX($V$5:$AB$12,0,MATCH(OFFSET(INDIRECT(ADDRESS(ROW(), COLUMN())),0,-1),$V$4:$AB$4,0))</formula1>
    </dataValidation>
    <dataValidation type="list" allowBlank="1" showInputMessage="1" showErrorMessage="1" sqref="G101:G1048576 G2:G83">
      <formula1>$V$4:$AD$4</formula1>
    </dataValidation>
    <dataValidation type="list" allowBlank="1" showInputMessage="1" showErrorMessage="1" sqref="L4">
      <formula1>INDEX(Medidas,0,MATCH(OFFSET(INDIRECT(ADDRESS(ROW(), COLUMN())),0,-2),categoriasDeMedidas,0))</formula1>
    </dataValidation>
    <dataValidation type="list" allowBlank="1" showInputMessage="1" showErrorMessage="1" sqref="J4:J1048576 A1:A1048576">
      <formula1>categorias</formula1>
    </dataValidation>
    <dataValidation type="list" allowBlank="1" showInputMessage="1" showErrorMessage="1" sqref="C1 C7 C14">
      <formula1>Medidas</formula1>
    </dataValidation>
    <dataValidation type="list" allowBlank="1" showInputMessage="1" showErrorMessage="1" sqref="H136 G1">
      <formula1>CajonerasMovil54</formula1>
    </dataValidation>
    <dataValidation type="list" allowBlank="1" showInputMessage="1" showErrorMessage="1" sqref="H137:H1048576 L1:L3 H53:H135 H1 L52:L1048576">
      <formula1>INDEX(Compartimentosmovil54,0,MATCH(OFFSET(INDIRECT(ADDRESS(ROW(), COLUMN())),0,-1),CajonerasMovil54,0))</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H2:H51">
      <formula1>INDEX($V$5:$Y$12,0,MATCH(OFFSET(INDIRECT(ADDRESS(ROW(), COLUMN())),0,-1),$V$4:$Y$4,0))</formula1>
    </dataValidation>
    <dataValidation type="list" allowBlank="1" showInputMessage="1" showErrorMessage="1" sqref="P34:P42">
      <formula1>$T$4:$T$22</formula1>
    </dataValidation>
  </dataValidations>
  <pageMargins left="0.7" right="0.7" top="0.75" bottom="0.75" header="0.3" footer="0.3"/>
  <tableParts count="4">
    <tablePart r:id="rId1"/>
    <tablePart r:id="rId2"/>
    <tablePart r:id="rId3"/>
    <tablePart r:id="rId4"/>
  </tableParts>
  <extLst xmlns:xr="http://schemas.microsoft.com/office/spreadsheetml/2014/revision">
    <ext xmlns:x14="http://schemas.microsoft.com/office/spreadsheetml/2009/9/main" uri="{CCE6A557-97BC-4b89-ADB6-D9C93CAAB3DF}">
      <x14:dataValidations xmlns:xm="http://schemas.microsoft.com/office/excel/2006/main" count="35">
        <x14:dataValidation type="list" allowBlank="1" showInputMessage="1" showErrorMessage="1" xr:uid="{C0C92327-5A9F-4461-88DF-77622B2908DC}">
          <x14:formula1>
            <xm:f>Configuracion!$K$2:$K$12</xm:f>
          </x14:formula1>
          <xm:sqref>C79:C80</xm:sqref>
        </x14:dataValidation>
        <x14:dataValidation type="list" allowBlank="1" showInputMessage="1" showErrorMessage="1" xr:uid="{149EDA55-732B-4739-B1D9-9DCD93B1D404}">
          <x14:formula1>
            <xm:f>Configuracion!$S$2:$S$4</xm:f>
          </x14:formula1>
          <xm:sqref>C76</xm:sqref>
        </x14:dataValidation>
        <x14:dataValidation type="list" allowBlank="1" showInputMessage="1" showErrorMessage="1" xr:uid="{C4B8D6C4-CFF8-47B5-BE63-F099E866C4D7}">
          <x14:formula1>
            <xm:f>Configuracion!$Y$2:$Y$3</xm:f>
          </x14:formula1>
          <xm:sqref>C48</xm:sqref>
        </x14:dataValidation>
        <x14:dataValidation type="list" allowBlank="1" showInputMessage="1" showErrorMessage="1" xr:uid="{8497D3F9-CD1E-4073-BD95-3FBEC221538F}">
          <x14:formula1>
            <xm:f>Configuracion!$J$2:$J$7</xm:f>
          </x14:formula1>
          <xm:sqref>C78 C89 C8</xm:sqref>
        </x14:dataValidation>
        <x14:dataValidation type="list" allowBlank="1" showInputMessage="1" showErrorMessage="1" xr:uid="{41A22904-AECD-4D31-BF7E-D8FBB5FD6FE2}">
          <x14:formula1>
            <xm:f>Configuracion!$I$2:$I$5</xm:f>
          </x14:formula1>
          <xm:sqref>C105</xm:sqref>
        </x14:dataValidation>
        <x14:dataValidation type="list" allowBlank="1" showInputMessage="1" showErrorMessage="1" xr:uid="{FCBC3CB3-33A8-4844-A1B2-B2D2854B831A}">
          <x14:formula1>
            <xm:f>Configuracion!$U$2:$U$4</xm:f>
          </x14:formula1>
          <xm:sqref>C19:E19</xm:sqref>
        </x14:dataValidation>
        <x14:dataValidation type="list" allowBlank="1" showInputMessage="1" showErrorMessage="1" xr:uid="{31E4C4A6-2997-4128-8397-A1FFA04775C6}">
          <x14:formula1>
            <xm:f>Configuracion!$F$2:$F$15</xm:f>
          </x14:formula1>
          <xm:sqref>C57 C9 C41:C42 C55 C49:C50</xm:sqref>
        </x14:dataValidation>
        <x14:dataValidation type="list" allowBlank="1" showInputMessage="1" showErrorMessage="1" xr:uid="{2FAE0084-88CC-4C66-9E7D-0AC851E0B0CA}">
          <x14:formula1>
            <xm:f>Configuracion!$G$2:$G$8</xm:f>
          </x14:formula1>
          <xm:sqref>C68 C43 C71:C74 C85 C99 C3 C5</xm:sqref>
        </x14:dataValidation>
        <x14:dataValidation type="list" allowBlank="1" showInputMessage="1" showErrorMessage="1" xr:uid="{CD2669D4-4FAA-4C2E-8CFA-E19D77E4038A}">
          <x14:formula1>
            <xm:f>Configuracion!$K$2:$K$7</xm:f>
          </x14:formula1>
          <xm:sqref>C33</xm:sqref>
        </x14:dataValidation>
        <x14:dataValidation type="list" allowBlank="1" showInputMessage="1" showErrorMessage="1" xr:uid="{8DDE2A17-705D-494A-B0FC-CDD5EDE3138C}">
          <x14:formula1>
            <xm:f>Configuracion!$X$2:$X$5</xm:f>
          </x14:formula1>
          <xm:sqref>C46</xm:sqref>
        </x14:dataValidation>
        <x14:dataValidation type="list" allowBlank="1" showInputMessage="1" showErrorMessage="1" xr:uid="{24CBF4A5-4E8B-4603-9258-EC10C2D8F774}">
          <x14:formula1>
            <xm:f>Configuracion!$S$2:$S$3</xm:f>
          </x14:formula1>
          <xm:sqref>C34 C38</xm:sqref>
        </x14:dataValidation>
        <x14:dataValidation type="list" allowBlank="1" showInputMessage="1" showErrorMessage="1" xr:uid="{7004ECB0-1178-4775-9F59-61852915C146}">
          <x14:formula1>
            <xm:f>Configuracion!$Q$2:$Q$8</xm:f>
          </x14:formula1>
          <xm:sqref>C27</xm:sqref>
        </x14:dataValidation>
        <x14:dataValidation type="list" allowBlank="1" showInputMessage="1" showErrorMessage="1" xr:uid="{9E788DEF-6790-4353-976A-9DF27A0905EA}">
          <x14:formula1>
            <xm:f>Configuracion!$A$2:$A$72</xm:f>
          </x14:formula1>
          <xm:sqref>J1:J3</xm:sqref>
        </x14:dataValidation>
        <x14:dataValidation type="list" allowBlank="1" showInputMessage="1" showErrorMessage="1" xr:uid="{3ACFEC1F-4623-4CFE-86E5-25E89E4952C7}">
          <x14:formula1>
            <xm:f>Configuracion!$S$2:$S$11</xm:f>
          </x14:formula1>
          <xm:sqref>C15</xm:sqref>
        </x14:dataValidation>
        <x14:dataValidation type="list" allowBlank="1" showInputMessage="1" showErrorMessage="1" xr:uid="{C4C3670E-4382-4CF0-A8EC-AE2560220271}">
          <x14:formula1>
            <xm:f>Configuracion!$G$2:$G$3</xm:f>
          </x14:formula1>
          <xm:sqref>C127:C128</xm:sqref>
        </x14:dataValidation>
        <x14:dataValidation type="list" allowBlank="1" showInputMessage="1" showErrorMessage="1" xr:uid="{062DDE4D-DC58-480B-9C52-D72C85EF560E}">
          <x14:formula1>
            <xm:f>Configuracion!$F$2:$F$5</xm:f>
          </x14:formula1>
          <xm:sqref>C28</xm:sqref>
        </x14:dataValidation>
        <x14:dataValidation type="list" allowBlank="1" showInputMessage="1" showErrorMessage="1" xr:uid="{65F84132-FA4F-40F9-A625-A7C7545B5F0F}">
          <x14:formula1>
            <xm:f>Configuracion!$F$2:$F$3</xm:f>
          </x14:formula1>
          <xm:sqref>C16</xm:sqref>
        </x14:dataValidation>
        <x14:dataValidation type="list" allowBlank="1" showInputMessage="1" showErrorMessage="1" xr:uid="{9F68801C-A7D5-4D53-B8A2-07710847FCB2}">
          <x14:formula1>
            <xm:f>Configuracion!$M$2:$M$6</xm:f>
          </x14:formula1>
          <xm:sqref>C17</xm:sqref>
        </x14:dataValidation>
        <x14:dataValidation type="list" allowBlank="1" showInputMessage="1" showErrorMessage="1" xr:uid="{A5BF120F-4CD5-4E26-93F4-6482886BE0A3}">
          <x14:formula1>
            <xm:f>Configuracion!$F$2:$F$10</xm:f>
          </x14:formula1>
          <xm:sqref>C125:C126</xm:sqref>
        </x14:dataValidation>
        <x14:dataValidation type="list" allowBlank="1" showInputMessage="1" showErrorMessage="1" xr:uid="{2ADADB41-1C97-42C9-82D4-0BE3EC292FBC}">
          <x14:formula1>
            <xm:f>Configuracion!$J$2:$J$5</xm:f>
          </x14:formula1>
          <xm:sqref>C24 C58:C59 C29:C30</xm:sqref>
        </x14:dataValidation>
        <x14:dataValidation type="list" allowBlank="1" showInputMessage="1" showErrorMessage="1" xr:uid="{7F2BB1D6-F862-415E-897B-0F0A9ED0B028}">
          <x14:formula1>
            <xm:f>Configuracion!$S$2:$S$10</xm:f>
          </x14:formula1>
          <xm:sqref>C96 C100</xm:sqref>
        </x14:dataValidation>
        <x14:dataValidation type="list" allowBlank="1" showInputMessage="1" showErrorMessage="1" xr:uid="{80B608C3-31EB-4249-9656-9CD9C9090174}">
          <x14:formula1>
            <xm:f>Configuracion!$N$2:$N$9</xm:f>
          </x14:formula1>
          <xm:sqref>C120 C122 C82</xm:sqref>
        </x14:dataValidation>
        <x14:dataValidation type="list" allowBlank="1" showInputMessage="1" showErrorMessage="1" xr:uid="{2E400C5B-0DB4-4C87-B2B7-05D4241A0FBF}">
          <x14:formula1>
            <xm:f>Configuracion!$U$2:$U$3</xm:f>
          </x14:formula1>
          <xm:sqref>C6</xm:sqref>
        </x14:dataValidation>
        <x14:dataValidation type="list" allowBlank="1" showInputMessage="1" showErrorMessage="1" xr:uid="{511E9DB3-7485-4714-A9E9-1B878CEE6B04}">
          <x14:formula1>
            <xm:f>Configuracion!$H$2:$H$4</xm:f>
          </x14:formula1>
          <xm:sqref>C52 C106 C108</xm:sqref>
        </x14:dataValidation>
        <x14:dataValidation type="list" allowBlank="1" showInputMessage="1" showErrorMessage="1" xr:uid="{B68B41CA-B874-45A5-BE7A-BB8D7F5A73E4}">
          <x14:formula1>
            <xm:f>Configuracion!$V$2:$V$4</xm:f>
          </x14:formula1>
          <xm:sqref>C22</xm:sqref>
        </x14:dataValidation>
        <x14:dataValidation type="list" allowBlank="1" showInputMessage="1" showErrorMessage="1" xr:uid="{986801BF-F30E-4DBE-ACD0-A826E354884A}">
          <x14:formula1>
            <xm:f>Configuracion!$T$2:$T$7</xm:f>
          </x14:formula1>
          <xm:sqref>C25</xm:sqref>
        </x14:dataValidation>
        <x14:dataValidation type="list" allowBlank="1" showInputMessage="1" showErrorMessage="1" xr:uid="{7E3D9318-C43A-4328-AF85-258147C2394E}">
          <x14:formula1>
            <xm:f>Configuracion!$L$2:$L$3</xm:f>
          </x14:formula1>
          <xm:sqref>C40</xm:sqref>
        </x14:dataValidation>
        <x14:dataValidation type="list" allowBlank="1" showInputMessage="1" showErrorMessage="1" xr:uid="{F5EC00C4-3805-42FE-941D-A0617D93D3CB}">
          <x14:formula1>
            <xm:f>Configuracion!$R$2:$R$4</xm:f>
          </x14:formula1>
          <xm:sqref>C39 C12</xm:sqref>
        </x14:dataValidation>
        <x14:dataValidation type="list" allowBlank="1" showInputMessage="1" showErrorMessage="1" xr:uid="{D05607A4-6F9C-49B1-8C27-5DDA39ACBC1A}">
          <x14:formula1>
            <xm:f>Configuracion!$Q$2:$Q$9</xm:f>
          </x14:formula1>
          <xm:sqref>C44:C45 C94</xm:sqref>
        </x14:dataValidation>
        <x14:dataValidation type="list" allowBlank="1" showInputMessage="1" showErrorMessage="1" xr:uid="{71FB608F-4397-40BB-88E5-5632EA1A664F}">
          <x14:formula1>
            <xm:f>Configuracion!$K$2:$K$11</xm:f>
          </x14:formula1>
          <xm:sqref>C65</xm:sqref>
        </x14:dataValidation>
        <x14:dataValidation type="list" allowBlank="1" showInputMessage="1" showErrorMessage="1" xr:uid="{C220EE21-0C71-4F0C-A8B0-5D43AD8C5921}">
          <x14:formula1>
            <xm:f>Configuracion!$F$2:$F$17</xm:f>
          </x14:formula1>
          <xm:sqref>C69 C20:C21 C86 C98 C101:C104 C2 C11</xm:sqref>
        </x14:dataValidation>
        <x14:dataValidation type="list" allowBlank="1" showInputMessage="1" showErrorMessage="1" xr:uid="{1D5F095E-BE70-46B6-8509-B1258EFB8833}">
          <x14:formula1>
            <xm:f>Configuracion!$Y$2:$Y$17</xm:f>
          </x14:formula1>
          <xm:sqref>C18 C95 C90 C4</xm:sqref>
        </x14:dataValidation>
        <x14:dataValidation type="list" allowBlank="1" showInputMessage="1" showErrorMessage="1" xr:uid="{18768EFA-E716-4646-A719-917B5BE97E64}">
          <x14:formula1>
            <xm:f>Configuracion!$I$2:$I$6</xm:f>
          </x14:formula1>
          <xm:sqref>C136 C53</xm:sqref>
        </x14:dataValidation>
        <x14:dataValidation type="list" allowBlank="1" showInputMessage="1" showErrorMessage="1" xr:uid="{2C5CD8AC-F406-4C28-8BE3-9CDBB7225FB0}">
          <x14:formula1>
            <xm:f>Configuracion!$V$2:$V$5</xm:f>
          </x14:formula1>
          <xm:sqref>C13</xm:sqref>
        </x14:dataValidation>
        <x14:dataValidation type="list" allowBlank="1" showInputMessage="1" showErrorMessage="1" xr:uid="{CEACC2B8-B069-473E-952E-9436AC4595DB}">
          <x14:formula1>
            <xm:f>Configuracion!$AB$2:$AB$4</xm:f>
          </x14:formula1>
          <xm:sqref>C10 C107 C56 C51 C26</xm:sqref>
        </x14:dataValidation>
      </x14:dataValidations>
    </ext>
  </extLst>
</worksheet>
</file>

<file path=xl/worksheets/sheet16.xml><?xml version="1.0" encoding="utf-8"?>
<worksheet xmlns="http://schemas.openxmlformats.org/spreadsheetml/2006/main" xmlns:r="http://schemas.openxmlformats.org/officeDocument/2006/relationships">
  <sheetPr codeName="Sheet3"/>
  <dimension ref="A1:AC135"/>
  <sheetViews>
    <sheetView topLeftCell="A117" workbookViewId="0">
      <selection activeCell="A128" sqref="A128"/>
    </sheetView>
  </sheetViews>
  <sheetFormatPr baseColWidth="10" defaultColWidth="9.140625" defaultRowHeight="15"/>
  <cols>
    <col min="1" max="1" width="22.140625" bestFit="1" customWidth="1"/>
    <col min="2" max="2" width="10.7109375" customWidth="1"/>
    <col min="5" max="5" width="11.28515625" customWidth="1"/>
    <col min="6" max="6" width="14" bestFit="1" customWidth="1"/>
    <col min="7" max="7" width="9" bestFit="1" customWidth="1"/>
    <col min="8" max="8" width="11.28515625" bestFit="1" customWidth="1"/>
    <col min="9" max="9" width="14.28515625" bestFit="1" customWidth="1"/>
    <col min="10" max="10" width="12.5703125" bestFit="1" customWidth="1"/>
    <col min="11" max="11" width="11.28515625" bestFit="1" customWidth="1"/>
    <col min="12" max="12" width="9" bestFit="1" customWidth="1"/>
    <col min="13" max="13" width="8.85546875" bestFit="1" customWidth="1"/>
    <col min="14" max="14" width="18.85546875" bestFit="1" customWidth="1"/>
    <col min="15" max="15" width="10.5703125" bestFit="1" customWidth="1"/>
    <col min="16" max="16" width="11" bestFit="1" customWidth="1"/>
    <col min="17" max="17" width="8.42578125" bestFit="1" customWidth="1"/>
    <col min="18" max="18" width="13.85546875" bestFit="1" customWidth="1"/>
    <col min="29" max="29" width="15" bestFit="1" customWidth="1"/>
  </cols>
  <sheetData>
    <row r="1" spans="1:29">
      <c r="A1" s="2" t="s">
        <v>34</v>
      </c>
      <c r="F1" t="s">
        <v>11</v>
      </c>
      <c r="G1" t="s">
        <v>32</v>
      </c>
      <c r="H1" t="s">
        <v>35</v>
      </c>
      <c r="I1" t="s">
        <v>40</v>
      </c>
      <c r="J1" t="s">
        <v>43</v>
      </c>
      <c r="K1" t="s">
        <v>44</v>
      </c>
      <c r="L1" t="s">
        <v>54</v>
      </c>
      <c r="M1" t="s">
        <v>61</v>
      </c>
      <c r="N1" t="s">
        <v>59</v>
      </c>
      <c r="O1" t="s">
        <v>86</v>
      </c>
      <c r="P1" t="s">
        <v>104</v>
      </c>
      <c r="Q1" t="s">
        <v>108</v>
      </c>
      <c r="R1" t="s">
        <v>171</v>
      </c>
      <c r="S1" t="s">
        <v>172</v>
      </c>
      <c r="T1" s="6" t="s">
        <v>390</v>
      </c>
      <c r="U1" t="s">
        <v>209</v>
      </c>
      <c r="V1" t="s">
        <v>157</v>
      </c>
      <c r="W1" t="s">
        <v>724</v>
      </c>
      <c r="X1" t="s">
        <v>757</v>
      </c>
      <c r="Y1" t="s">
        <v>860</v>
      </c>
      <c r="Z1" t="s">
        <v>914</v>
      </c>
      <c r="AA1" t="s">
        <v>864</v>
      </c>
      <c r="AB1" t="s">
        <v>865</v>
      </c>
      <c r="AC1" s="6" t="s">
        <v>129</v>
      </c>
    </row>
    <row r="2" spans="1:29">
      <c r="A2" t="s">
        <v>99</v>
      </c>
      <c r="F2" t="s">
        <v>117</v>
      </c>
      <c r="G2" t="s">
        <v>221</v>
      </c>
      <c r="H2" t="s">
        <v>37</v>
      </c>
      <c r="I2" t="s">
        <v>251</v>
      </c>
      <c r="J2" t="s">
        <v>66</v>
      </c>
      <c r="K2" t="s">
        <v>70</v>
      </c>
      <c r="L2" t="s">
        <v>221</v>
      </c>
      <c r="M2" t="s">
        <v>589</v>
      </c>
      <c r="N2" t="s">
        <v>52</v>
      </c>
      <c r="P2" t="s">
        <v>106</v>
      </c>
      <c r="Q2" t="s">
        <v>125</v>
      </c>
      <c r="R2" t="s">
        <v>232</v>
      </c>
      <c r="S2" t="s">
        <v>233</v>
      </c>
      <c r="T2" t="s">
        <v>520</v>
      </c>
      <c r="U2" t="s">
        <v>456</v>
      </c>
      <c r="V2" t="s">
        <v>636</v>
      </c>
      <c r="W2" t="s">
        <v>725</v>
      </c>
      <c r="X2" t="s">
        <v>758</v>
      </c>
      <c r="Y2" t="s">
        <v>861</v>
      </c>
      <c r="Z2" t="s">
        <v>769</v>
      </c>
      <c r="AA2" t="s">
        <v>909</v>
      </c>
      <c r="AB2" t="s">
        <v>909</v>
      </c>
      <c r="AC2" t="s">
        <v>726</v>
      </c>
    </row>
    <row r="3" spans="1:29">
      <c r="A3" t="s">
        <v>656</v>
      </c>
      <c r="F3" s="3" t="s">
        <v>50</v>
      </c>
      <c r="G3" t="s">
        <v>72</v>
      </c>
      <c r="H3" t="s">
        <v>38</v>
      </c>
      <c r="I3" t="s">
        <v>792</v>
      </c>
      <c r="J3" t="s">
        <v>65</v>
      </c>
      <c r="K3" t="s">
        <v>69</v>
      </c>
      <c r="L3" t="s">
        <v>52</v>
      </c>
      <c r="M3" t="s">
        <v>791</v>
      </c>
      <c r="N3" t="s">
        <v>791</v>
      </c>
      <c r="P3" t="s">
        <v>107</v>
      </c>
      <c r="Q3" t="s">
        <v>126</v>
      </c>
      <c r="R3" t="s">
        <v>801</v>
      </c>
      <c r="S3" t="s">
        <v>531</v>
      </c>
      <c r="T3" t="s">
        <v>627</v>
      </c>
      <c r="U3" t="s">
        <v>107</v>
      </c>
      <c r="V3" t="s">
        <v>637</v>
      </c>
      <c r="W3" t="s">
        <v>726</v>
      </c>
      <c r="X3" t="s">
        <v>759</v>
      </c>
      <c r="Y3" t="s">
        <v>907</v>
      </c>
      <c r="Z3" t="s">
        <v>901</v>
      </c>
      <c r="AA3" t="s">
        <v>969</v>
      </c>
      <c r="AB3" t="s">
        <v>969</v>
      </c>
    </row>
    <row r="4" spans="1:29">
      <c r="A4" t="s">
        <v>315</v>
      </c>
      <c r="F4" t="s">
        <v>79</v>
      </c>
      <c r="G4" t="s">
        <v>283</v>
      </c>
      <c r="H4" t="s">
        <v>102</v>
      </c>
      <c r="I4" t="s">
        <v>41</v>
      </c>
      <c r="J4" t="s">
        <v>720</v>
      </c>
      <c r="K4" t="s">
        <v>67</v>
      </c>
      <c r="P4" t="s">
        <v>105</v>
      </c>
      <c r="Q4" t="s">
        <v>127</v>
      </c>
      <c r="R4" t="s">
        <v>841</v>
      </c>
      <c r="S4" t="s">
        <v>792</v>
      </c>
      <c r="T4" t="s">
        <v>628</v>
      </c>
      <c r="U4" s="6" t="s">
        <v>791</v>
      </c>
      <c r="V4" t="s">
        <v>683</v>
      </c>
      <c r="W4" t="s">
        <v>63</v>
      </c>
      <c r="X4" t="s">
        <v>760</v>
      </c>
      <c r="Y4" t="s">
        <v>792</v>
      </c>
      <c r="AA4" t="s">
        <v>910</v>
      </c>
      <c r="AB4" t="s">
        <v>910</v>
      </c>
    </row>
    <row r="5" spans="1:29">
      <c r="A5" t="s">
        <v>672</v>
      </c>
      <c r="F5" t="s">
        <v>30</v>
      </c>
      <c r="G5" t="s">
        <v>33</v>
      </c>
      <c r="I5" s="6" t="s">
        <v>895</v>
      </c>
      <c r="J5" t="s">
        <v>721</v>
      </c>
      <c r="K5" t="s">
        <v>45</v>
      </c>
      <c r="P5" t="s">
        <v>462</v>
      </c>
      <c r="Q5" t="s">
        <v>128</v>
      </c>
      <c r="T5" t="s">
        <v>629</v>
      </c>
      <c r="V5" t="s">
        <v>792</v>
      </c>
      <c r="W5" t="s">
        <v>727</v>
      </c>
      <c r="X5" t="s">
        <v>761</v>
      </c>
    </row>
    <row r="6" spans="1:29">
      <c r="A6" t="s">
        <v>43</v>
      </c>
      <c r="F6" t="s">
        <v>77</v>
      </c>
      <c r="G6" t="s">
        <v>52</v>
      </c>
      <c r="J6" t="s">
        <v>854</v>
      </c>
      <c r="K6" t="s">
        <v>64</v>
      </c>
      <c r="Q6" t="s">
        <v>123</v>
      </c>
      <c r="T6" t="s">
        <v>568</v>
      </c>
      <c r="W6" t="s">
        <v>728</v>
      </c>
    </row>
    <row r="7" spans="1:29">
      <c r="A7" t="s">
        <v>302</v>
      </c>
      <c r="F7" t="s">
        <v>58</v>
      </c>
      <c r="G7" t="s">
        <v>792</v>
      </c>
      <c r="J7" t="s">
        <v>855</v>
      </c>
      <c r="K7" t="s">
        <v>296</v>
      </c>
      <c r="Q7" t="s">
        <v>124</v>
      </c>
      <c r="T7" t="s">
        <v>685</v>
      </c>
      <c r="W7" t="s">
        <v>33</v>
      </c>
    </row>
    <row r="8" spans="1:29">
      <c r="A8" t="s">
        <v>663</v>
      </c>
      <c r="F8" t="s">
        <v>119</v>
      </c>
      <c r="G8" t="s">
        <v>798</v>
      </c>
      <c r="K8" t="s">
        <v>800</v>
      </c>
      <c r="Q8" t="s">
        <v>794</v>
      </c>
      <c r="T8" t="s">
        <v>782</v>
      </c>
      <c r="W8" t="s">
        <v>52</v>
      </c>
    </row>
    <row r="9" spans="1:29">
      <c r="A9" t="s">
        <v>136</v>
      </c>
      <c r="F9" t="s">
        <v>31</v>
      </c>
      <c r="K9" t="s">
        <v>856</v>
      </c>
      <c r="L9" t="s">
        <v>55</v>
      </c>
      <c r="M9" t="s">
        <v>63</v>
      </c>
      <c r="N9" t="s">
        <v>33</v>
      </c>
      <c r="O9" t="s">
        <v>52</v>
      </c>
      <c r="Q9" t="s">
        <v>792</v>
      </c>
      <c r="W9" t="s">
        <v>72</v>
      </c>
    </row>
    <row r="10" spans="1:29">
      <c r="A10" t="s">
        <v>108</v>
      </c>
      <c r="F10" t="s">
        <v>121</v>
      </c>
      <c r="K10" t="s">
        <v>859</v>
      </c>
    </row>
    <row r="11" spans="1:29">
      <c r="A11" t="s">
        <v>463</v>
      </c>
      <c r="F11" t="s">
        <v>285</v>
      </c>
      <c r="K11" t="s">
        <v>858</v>
      </c>
    </row>
    <row r="12" spans="1:29">
      <c r="A12" t="s">
        <v>463</v>
      </c>
      <c r="F12" t="s">
        <v>730</v>
      </c>
      <c r="K12" t="s">
        <v>950</v>
      </c>
    </row>
    <row r="13" spans="1:29">
      <c r="A13" t="s">
        <v>461</v>
      </c>
      <c r="F13" t="s">
        <v>775</v>
      </c>
      <c r="K13" t="s">
        <v>854</v>
      </c>
    </row>
    <row r="14" spans="1:29">
      <c r="A14" t="s">
        <v>114</v>
      </c>
      <c r="F14" t="s">
        <v>41</v>
      </c>
    </row>
    <row r="15" spans="1:29">
      <c r="A15" s="1" t="s">
        <v>92</v>
      </c>
      <c r="F15" t="s">
        <v>776</v>
      </c>
    </row>
    <row r="16" spans="1:29">
      <c r="A16" t="s">
        <v>212</v>
      </c>
      <c r="F16" t="s">
        <v>852</v>
      </c>
    </row>
    <row r="17" spans="1:6">
      <c r="A17" t="s">
        <v>474</v>
      </c>
      <c r="F17" t="s">
        <v>852</v>
      </c>
    </row>
    <row r="18" spans="1:6">
      <c r="A18" t="s">
        <v>664</v>
      </c>
    </row>
    <row r="19" spans="1:6">
      <c r="A19" t="s">
        <v>737</v>
      </c>
    </row>
    <row r="20" spans="1:6">
      <c r="A20" t="s">
        <v>369</v>
      </c>
    </row>
    <row r="21" spans="1:6">
      <c r="A21" t="s">
        <v>140</v>
      </c>
    </row>
    <row r="22" spans="1:6">
      <c r="A22" t="s">
        <v>395</v>
      </c>
    </row>
    <row r="23" spans="1:6">
      <c r="A23" t="s">
        <v>89</v>
      </c>
    </row>
    <row r="24" spans="1:6">
      <c r="A24" t="s">
        <v>249</v>
      </c>
    </row>
    <row r="25" spans="1:6">
      <c r="A25" t="s">
        <v>46</v>
      </c>
    </row>
    <row r="26" spans="1:6">
      <c r="A26" t="s">
        <v>357</v>
      </c>
    </row>
    <row r="27" spans="1:6">
      <c r="A27" t="s">
        <v>422</v>
      </c>
    </row>
    <row r="28" spans="1:6">
      <c r="A28" t="s">
        <v>390</v>
      </c>
    </row>
    <row r="29" spans="1:6">
      <c r="A29" t="s">
        <v>170</v>
      </c>
    </row>
    <row r="30" spans="1:6">
      <c r="A30" t="s">
        <v>53</v>
      </c>
    </row>
    <row r="31" spans="1:6">
      <c r="A31" t="s">
        <v>497</v>
      </c>
    </row>
    <row r="32" spans="1:6">
      <c r="A32" t="s">
        <v>83</v>
      </c>
    </row>
    <row r="33" spans="1:1">
      <c r="A33" t="s">
        <v>705</v>
      </c>
    </row>
    <row r="34" spans="1:1">
      <c r="A34" t="s">
        <v>238</v>
      </c>
    </row>
    <row r="35" spans="1:1">
      <c r="A35" t="s">
        <v>188</v>
      </c>
    </row>
    <row r="36" spans="1:1">
      <c r="A36" t="s">
        <v>489</v>
      </c>
    </row>
    <row r="37" spans="1:1">
      <c r="A37" t="s">
        <v>171</v>
      </c>
    </row>
    <row r="38" spans="1:1">
      <c r="A38" t="s">
        <v>413</v>
      </c>
    </row>
    <row r="39" spans="1:1">
      <c r="A39" t="s">
        <v>679</v>
      </c>
    </row>
    <row r="40" spans="1:1">
      <c r="A40" t="s">
        <v>185</v>
      </c>
    </row>
    <row r="41" spans="1:1">
      <c r="A41" t="s">
        <v>80</v>
      </c>
    </row>
    <row r="42" spans="1:1">
      <c r="A42" t="s">
        <v>688</v>
      </c>
    </row>
    <row r="43" spans="1:1">
      <c r="A43" t="s">
        <v>35</v>
      </c>
    </row>
    <row r="44" spans="1:1">
      <c r="A44" t="s">
        <v>615</v>
      </c>
    </row>
    <row r="45" spans="1:1">
      <c r="A45" t="s">
        <v>341</v>
      </c>
    </row>
    <row r="46" spans="1:1">
      <c r="A46" t="s">
        <v>373</v>
      </c>
    </row>
    <row r="47" spans="1:1">
      <c r="A47" t="s">
        <v>488</v>
      </c>
    </row>
    <row r="48" spans="1:1">
      <c r="A48" t="s">
        <v>360</v>
      </c>
    </row>
    <row r="49" spans="1:1">
      <c r="A49" t="s">
        <v>157</v>
      </c>
    </row>
    <row r="50" spans="1:1">
      <c r="A50" t="s">
        <v>505</v>
      </c>
    </row>
    <row r="51" spans="1:1">
      <c r="A51" t="s">
        <v>61</v>
      </c>
    </row>
    <row r="52" spans="1:1">
      <c r="A52" t="s">
        <v>132</v>
      </c>
    </row>
    <row r="53" spans="1:1">
      <c r="A53" t="s">
        <v>222</v>
      </c>
    </row>
    <row r="54" spans="1:1">
      <c r="A54" t="s">
        <v>490</v>
      </c>
    </row>
    <row r="55" spans="1:1">
      <c r="A55" t="s">
        <v>104</v>
      </c>
    </row>
    <row r="56" spans="1:1">
      <c r="A56" t="s">
        <v>467</v>
      </c>
    </row>
    <row r="57" spans="1:1">
      <c r="A57" t="s">
        <v>207</v>
      </c>
    </row>
    <row r="58" spans="1:1">
      <c r="A58" t="s">
        <v>97</v>
      </c>
    </row>
    <row r="59" spans="1:1">
      <c r="A59" t="s">
        <v>151</v>
      </c>
    </row>
    <row r="60" spans="1:1">
      <c r="A60" t="s">
        <v>153</v>
      </c>
    </row>
    <row r="61" spans="1:1">
      <c r="A61" t="s">
        <v>12</v>
      </c>
    </row>
    <row r="62" spans="1:1">
      <c r="A62" t="s">
        <v>500</v>
      </c>
    </row>
    <row r="63" spans="1:1">
      <c r="A63" t="s">
        <v>32</v>
      </c>
    </row>
    <row r="64" spans="1:1">
      <c r="A64" t="s">
        <v>59</v>
      </c>
    </row>
    <row r="65" spans="1:1">
      <c r="A65" t="s">
        <v>477</v>
      </c>
    </row>
    <row r="66" spans="1:1">
      <c r="A66" t="s">
        <v>208</v>
      </c>
    </row>
    <row r="67" spans="1:1">
      <c r="A67" t="s">
        <v>110</v>
      </c>
    </row>
    <row r="68" spans="1:1">
      <c r="A68" t="s">
        <v>757</v>
      </c>
    </row>
    <row r="69" spans="1:1">
      <c r="A69" t="s">
        <v>237</v>
      </c>
    </row>
    <row r="70" spans="1:1">
      <c r="A70" t="s">
        <v>40</v>
      </c>
    </row>
    <row r="71" spans="1:1">
      <c r="A71" t="s">
        <v>192</v>
      </c>
    </row>
    <row r="72" spans="1:1">
      <c r="A72" t="s">
        <v>507</v>
      </c>
    </row>
    <row r="73" spans="1:1">
      <c r="A73" t="s">
        <v>486</v>
      </c>
    </row>
    <row r="74" spans="1:1">
      <c r="A74" s="24" t="s">
        <v>732</v>
      </c>
    </row>
    <row r="75" spans="1:1">
      <c r="A75" t="s">
        <v>465</v>
      </c>
    </row>
    <row r="76" spans="1:1">
      <c r="A76" t="s">
        <v>143</v>
      </c>
    </row>
    <row r="77" spans="1:1">
      <c r="A77" t="s">
        <v>309</v>
      </c>
    </row>
    <row r="78" spans="1:1">
      <c r="A78" t="s">
        <v>137</v>
      </c>
    </row>
    <row r="79" spans="1:1">
      <c r="A79" t="s">
        <v>148</v>
      </c>
    </row>
    <row r="80" spans="1:1">
      <c r="A80" t="s">
        <v>141</v>
      </c>
    </row>
    <row r="81" spans="1:1">
      <c r="A81" t="s">
        <v>603</v>
      </c>
    </row>
    <row r="82" spans="1:1">
      <c r="A82" t="s">
        <v>671</v>
      </c>
    </row>
    <row r="83" spans="1:1">
      <c r="A83" t="s">
        <v>375</v>
      </c>
    </row>
    <row r="84" spans="1:1">
      <c r="A84" t="s">
        <v>253</v>
      </c>
    </row>
    <row r="85" spans="1:1">
      <c r="A85" t="s">
        <v>86</v>
      </c>
    </row>
    <row r="86" spans="1:1">
      <c r="A86" t="s">
        <v>129</v>
      </c>
    </row>
    <row r="87" spans="1:1">
      <c r="A87" t="s">
        <v>239</v>
      </c>
    </row>
    <row r="88" spans="1:1">
      <c r="A88" t="s">
        <v>240</v>
      </c>
    </row>
    <row r="89" spans="1:1">
      <c r="A89" t="s">
        <v>741</v>
      </c>
    </row>
    <row r="90" spans="1:1">
      <c r="A90" t="s">
        <v>494</v>
      </c>
    </row>
    <row r="91" spans="1:1">
      <c r="A91" t="s">
        <v>476</v>
      </c>
    </row>
    <row r="92" spans="1:1">
      <c r="A92" t="s">
        <v>386</v>
      </c>
    </row>
    <row r="93" spans="1:1">
      <c r="A93" t="s">
        <v>381</v>
      </c>
    </row>
    <row r="94" spans="1:1">
      <c r="A94" t="s">
        <v>214</v>
      </c>
    </row>
    <row r="95" spans="1:1">
      <c r="A95" t="s">
        <v>95</v>
      </c>
    </row>
    <row r="96" spans="1:1">
      <c r="A96" t="s">
        <v>44</v>
      </c>
    </row>
    <row r="97" spans="1:1">
      <c r="A97" t="s">
        <v>546</v>
      </c>
    </row>
    <row r="98" spans="1:1">
      <c r="A98" t="s">
        <v>190</v>
      </c>
    </row>
    <row r="99" spans="1:1">
      <c r="A99" t="s">
        <v>673</v>
      </c>
    </row>
    <row r="100" spans="1:1">
      <c r="A100" t="s">
        <v>469</v>
      </c>
    </row>
    <row r="101" spans="1:1">
      <c r="A101" t="s">
        <v>498</v>
      </c>
    </row>
    <row r="102" spans="1:1">
      <c r="A102" t="s">
        <v>499</v>
      </c>
    </row>
    <row r="103" spans="1:1">
      <c r="A103" t="s">
        <v>464</v>
      </c>
    </row>
    <row r="104" spans="1:1">
      <c r="A104" t="s">
        <v>748</v>
      </c>
    </row>
    <row r="105" spans="1:1">
      <c r="A105" t="s">
        <v>88</v>
      </c>
    </row>
    <row r="106" spans="1:1">
      <c r="A106" t="s">
        <v>466</v>
      </c>
    </row>
    <row r="107" spans="1:1">
      <c r="A107" t="s">
        <v>87</v>
      </c>
    </row>
    <row r="108" spans="1:1">
      <c r="A108" t="s">
        <v>389</v>
      </c>
    </row>
    <row r="109" spans="1:1">
      <c r="A109" t="s">
        <v>487</v>
      </c>
    </row>
    <row r="110" spans="1:1">
      <c r="A110" t="s">
        <v>144</v>
      </c>
    </row>
    <row r="111" spans="1:1">
      <c r="A111" s="25" t="s">
        <v>90</v>
      </c>
    </row>
    <row r="112" spans="1:1">
      <c r="A112" t="s">
        <v>11</v>
      </c>
    </row>
    <row r="113" spans="1:1">
      <c r="A113" t="s">
        <v>54</v>
      </c>
    </row>
    <row r="114" spans="1:1">
      <c r="A114" t="s">
        <v>172</v>
      </c>
    </row>
    <row r="115" spans="1:1">
      <c r="A115" t="s">
        <v>754</v>
      </c>
    </row>
    <row r="116" spans="1:1">
      <c r="A116" t="s">
        <v>724</v>
      </c>
    </row>
    <row r="117" spans="1:1">
      <c r="A117" t="s">
        <v>788</v>
      </c>
    </row>
    <row r="118" spans="1:1">
      <c r="A118" t="s">
        <v>836</v>
      </c>
    </row>
    <row r="119" spans="1:1">
      <c r="A119" t="s">
        <v>860</v>
      </c>
    </row>
    <row r="120" spans="1:1">
      <c r="A120" t="s">
        <v>863</v>
      </c>
    </row>
    <row r="121" spans="1:1">
      <c r="A121" t="s">
        <v>864</v>
      </c>
    </row>
    <row r="122" spans="1:1">
      <c r="A122" t="s">
        <v>865</v>
      </c>
    </row>
    <row r="123" spans="1:1">
      <c r="A123" t="s">
        <v>866</v>
      </c>
    </row>
    <row r="124" spans="1:1">
      <c r="A124" t="s">
        <v>867</v>
      </c>
    </row>
    <row r="125" spans="1:1">
      <c r="A125" t="s">
        <v>914</v>
      </c>
    </row>
    <row r="126" spans="1:1">
      <c r="A126" t="s">
        <v>913</v>
      </c>
    </row>
    <row r="127" spans="1:1">
      <c r="A127" t="s">
        <v>912</v>
      </c>
    </row>
    <row r="128" spans="1:1">
      <c r="A128" t="s">
        <v>902</v>
      </c>
    </row>
    <row r="129" spans="1:1">
      <c r="A129" t="s">
        <v>903</v>
      </c>
    </row>
    <row r="130" spans="1:1">
      <c r="A130" t="s">
        <v>904</v>
      </c>
    </row>
    <row r="131" spans="1:1">
      <c r="A131" t="s">
        <v>905</v>
      </c>
    </row>
    <row r="132" spans="1:1">
      <c r="A132" t="s">
        <v>906</v>
      </c>
    </row>
    <row r="133" spans="1:1">
      <c r="A133" t="s">
        <v>908</v>
      </c>
    </row>
    <row r="134" spans="1:1">
      <c r="A134" t="s">
        <v>911</v>
      </c>
    </row>
    <row r="135" spans="1:1">
      <c r="A135" t="s">
        <v>917</v>
      </c>
    </row>
  </sheetData>
  <dataValidations count="1">
    <dataValidation type="list" allowBlank="1" showInputMessage="1" showErrorMessage="1" sqref="A5 T1 A111 AC1">
      <formula1>categorias</formula1>
    </dataValidation>
  </dataValidations>
  <pageMargins left="0.7" right="0.7" top="0.75" bottom="0.75" header="0.3" footer="0.3"/>
  <pageSetup paperSize="9" orientation="portrait"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16</vt:i4>
      </vt:variant>
      <vt:variant>
        <vt:lpstr>Rangos con nombre</vt:lpstr>
      </vt:variant>
      <vt:variant>
        <vt:i4>48</vt:i4>
      </vt:variant>
    </vt:vector>
  </HeadingPairs>
  <TitlesOfParts>
    <vt:vector size="64" baseType="lpstr">
      <vt:lpstr>Movil 51</vt:lpstr>
      <vt:lpstr>Movil 56</vt:lpstr>
      <vt:lpstr>Movil 41</vt:lpstr>
      <vt:lpstr>Movil 39</vt:lpstr>
      <vt:lpstr>Movil 40</vt:lpstr>
      <vt:lpstr>Movil 52</vt:lpstr>
      <vt:lpstr>Movil 42</vt:lpstr>
      <vt:lpstr>Inventario general</vt:lpstr>
      <vt:lpstr>Movil 54</vt:lpstr>
      <vt:lpstr>Movil 46</vt:lpstr>
      <vt:lpstr>Destacamento 1º Acopio</vt:lpstr>
      <vt:lpstr>Movil 43</vt:lpstr>
      <vt:lpstr>Movil 49</vt:lpstr>
      <vt:lpstr>Movil 37</vt:lpstr>
      <vt:lpstr>Movil 55</vt:lpstr>
      <vt:lpstr>Configuracion</vt:lpstr>
      <vt:lpstr>'Movil 42'!Área_de_impresión</vt:lpstr>
      <vt:lpstr>'Movil 51'!Área_de_impresión</vt:lpstr>
      <vt:lpstr>'Movil 39'!Bolsos</vt:lpstr>
      <vt:lpstr>'Movil 42'!Bolsos</vt:lpstr>
      <vt:lpstr>Bolsos</vt:lpstr>
      <vt:lpstr>BolsosM39</vt:lpstr>
      <vt:lpstr>BolsosM40</vt:lpstr>
      <vt:lpstr>'Movil 39'!BolsosM41</vt:lpstr>
      <vt:lpstr>'Movil 42'!BolsosM41</vt:lpstr>
      <vt:lpstr>BolsosM41</vt:lpstr>
      <vt:lpstr>'Movil 42'!BolsosM52</vt:lpstr>
      <vt:lpstr>BolsosM52</vt:lpstr>
      <vt:lpstr>BolsosMovil54</vt:lpstr>
      <vt:lpstr>'Movil 39'!Cajoneras</vt:lpstr>
      <vt:lpstr>'Movil 42'!Cajoneras</vt:lpstr>
      <vt:lpstr>Cajoneras</vt:lpstr>
      <vt:lpstr>'Movil 39'!CajonerasM39</vt:lpstr>
      <vt:lpstr>'Movil 42'!CajonerasM39</vt:lpstr>
      <vt:lpstr>CajonerasM39</vt:lpstr>
      <vt:lpstr>'Movil 42'!CajonerasM41</vt:lpstr>
      <vt:lpstr>CajonerasM41</vt:lpstr>
      <vt:lpstr>'Movil 42'!CajonerasM52</vt:lpstr>
      <vt:lpstr>CajonerasM52</vt:lpstr>
      <vt:lpstr>CajonerasMovil54</vt:lpstr>
      <vt:lpstr>'Movil 39'!categorias</vt:lpstr>
      <vt:lpstr>'Movil 42'!categorias</vt:lpstr>
      <vt:lpstr>categorias</vt:lpstr>
      <vt:lpstr>'Movil 42'!categoriasDeMedidas</vt:lpstr>
      <vt:lpstr>categoriasDeMedidas</vt:lpstr>
      <vt:lpstr>Compartimentosmovil54</vt:lpstr>
      <vt:lpstr>'Movil 39'!Compartimientos</vt:lpstr>
      <vt:lpstr>'Movil 42'!Compartimientos</vt:lpstr>
      <vt:lpstr>Compartimientos</vt:lpstr>
      <vt:lpstr>'Movil 42'!CompartimientosM39</vt:lpstr>
      <vt:lpstr>CompartimientosM39</vt:lpstr>
      <vt:lpstr>'Movil 39'!CompartimientosM41</vt:lpstr>
      <vt:lpstr>'Movil 42'!CompartimientosM41</vt:lpstr>
      <vt:lpstr>CompartimientosM41</vt:lpstr>
      <vt:lpstr>'Movil 42'!CompartimientosM52</vt:lpstr>
      <vt:lpstr>CompartimientosM52</vt:lpstr>
      <vt:lpstr>Medidas</vt:lpstr>
      <vt:lpstr>'Movil 42'!medidasDeCategorias</vt:lpstr>
      <vt:lpstr>medidasDeCategorias</vt:lpstr>
      <vt:lpstr>'Movil 42'!Títulos_a_imprimir</vt:lpstr>
      <vt:lpstr>'Movil 51'!Títulos_a_imprimir</vt:lpstr>
      <vt:lpstr>'Movil 39'!validacion</vt:lpstr>
      <vt:lpstr>'Movil 42'!validacion</vt:lpstr>
      <vt:lpstr>validacion</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2019-04-18T01:34:41Z</dcterms:modified>
</cp:coreProperties>
</file>