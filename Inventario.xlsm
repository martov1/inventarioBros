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5C3FC884-56C6-4113-ABAE-2BBE24C02435}" xr6:coauthVersionLast="41" xr6:coauthVersionMax="41" xr10:uidLastSave="{00000000-0000-0000-0000-000000000000}"/>
  <bookViews>
    <workbookView xWindow="11520" yWindow="2040" windowWidth="20730" windowHeight="11160" firstSheet="12" activeTab="13"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Altura (provisional" sheetId="15" r:id="rId15"/>
    <sheet name="Configuracion" sheetId="3" r:id="rId16"/>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3" l="1"/>
  <c r="B12" i="4"/>
  <c r="B86" i="4"/>
  <c r="B54" i="4"/>
  <c r="B63" i="4"/>
  <c r="B39" i="4"/>
  <c r="B60" i="4"/>
  <c r="B90" i="4"/>
  <c r="B65" i="4"/>
  <c r="B35" i="4"/>
  <c r="B40" i="4"/>
  <c r="B38" i="4"/>
  <c r="B10" i="4"/>
  <c r="B59" i="4"/>
  <c r="B37" i="4"/>
  <c r="B61" i="4"/>
  <c r="B34" i="4"/>
  <c r="B88" i="4"/>
  <c r="B89" i="4"/>
  <c r="B62" i="4"/>
  <c r="B85" i="4"/>
  <c r="B87" i="4"/>
  <c r="B66" i="4"/>
  <c r="B64" i="4"/>
  <c r="B67" i="4"/>
  <c r="B11" i="4"/>
  <c r="B29" i="8"/>
  <c r="B76" i="8"/>
  <c r="B31" i="8"/>
  <c r="B75" i="8"/>
  <c r="B30" i="8"/>
  <c r="B77" i="8"/>
  <c r="B105" i="1"/>
  <c r="B69" i="1"/>
  <c r="B119" i="1"/>
  <c r="B27" i="1"/>
  <c r="B90" i="14"/>
  <c r="B29" i="7"/>
  <c r="B5" i="7"/>
  <c r="B28" i="7"/>
  <c r="B6" i="7"/>
  <c r="B25" i="7"/>
  <c r="B4" i="7"/>
  <c r="B52" i="14"/>
  <c r="B21" i="14"/>
  <c r="B20" i="14"/>
  <c r="B36" i="14"/>
  <c r="B19" i="14"/>
</calcChain>
</file>

<file path=xl/sharedStrings.xml><?xml version="1.0" encoding="utf-8"?>
<sst xmlns="http://schemas.openxmlformats.org/spreadsheetml/2006/main" count="3596" uniqueCount="921">
  <si>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</si>
  <si>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</si>
  <si>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</si>
  <si>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</si>
  <si>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</si>
  <si>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</si>
  <si>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</si>
  <si>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</si>
  <si>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</si>
  <si>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</si>
  <si>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</si>
  <si>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</si>
  <si>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</si>
  <si>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</si>
  <si>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</si>
  <si>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</si>
  <si>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</si>
  <si>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</si>
  <si>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</si>
  <si>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</si>
  <si>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</si>
  <si>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</si>
  <si>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</si>
  <si>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</si>
  <si>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</si>
  <si>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</si>
  <si>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</si>
  <si>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</si>
  <si>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</si>
  <si>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</si>
  <si>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</si>
  <si>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</si>
  <si>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</si>
  <si>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</si>
  <si>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</si>
  <si>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</si>
  <si>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</si>
  <si>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</si>
  <si>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</si>
  <si>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</si>
  <si>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</si>
  <si>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</si>
  <si>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</si>
  <si>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</si>
  <si>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</si>
  <si>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</si>
  <si>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</si>
  <si>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</si>
  <si>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</si>
  <si>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</si>
  <si>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</si>
  <si>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</si>
  <si>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</si>
  <si>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</si>
  <si>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</si>
  <si>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</si>
  <si>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</si>
  <si>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</si>
  <si>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</si>
  <si>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</si>
  <si>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</si>
  <si>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</si>
  <si>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</si>
  <si>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</si>
  <si>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</si>
  <si>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</si>
  <si>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</si>
  <si>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</si>
  <si>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</si>
  <si>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</si>
  <si>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</si>
  <si>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</si>
  <si>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</si>
  <si>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</si>
  <si>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</si>
  <si>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</si>
  <si>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</si>
  <si>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</si>
  <si>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</si>
  <si>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</si>
  <si>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</si>
  <si>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</si>
  <si>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</si>
  <si>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</si>
  <si>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</si>
  <si>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</si>
  <si>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</si>
  <si>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</si>
  <si>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</si>
  <si>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</si>
  <si>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</si>
  <si>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</si>
  <si>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</si>
  <si>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</si>
  <si>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</si>
  <si>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</si>
  <si>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</si>
  <si>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</si>
  <si>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</si>
  <si>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</si>
  <si>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</si>
  <si>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</si>
  <si>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</si>
  <si>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</si>
  <si>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</si>
  <si>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</si>
  <si>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</si>
  <si>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</si>
  <si>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</si>
  <si>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</si>
  <si>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</si>
  <si>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</si>
  <si>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</si>
  <si>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</si>
  <si>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</si>
  <si>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</si>
  <si>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</si>
  <si>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</si>
  <si>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</si>
  <si>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</si>
  <si>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</si>
  <si>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</si>
  <si>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</si>
  <si>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</si>
  <si>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</si>
  <si>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</si>
  <si>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</si>
  <si>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</si>
  <si>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</si>
  <si>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</si>
  <si>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</si>
  <si>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</si>
  <si>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</si>
  <si>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</si>
  <si>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</si>
  <si>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</si>
  <si>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</si>
  <si>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</si>
  <si>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</si>
  <si>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</si>
  <si>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</si>
  <si>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</si>
  <si>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</si>
  <si>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</si>
  <si>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</si>
  <si>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</si>
  <si>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</si>
  <si>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</si>
  <si>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</si>
  <si>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</si>
  <si>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</si>
  <si>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</si>
  <si>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</si>
  <si>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</si>
  <si>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</si>
  <si>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</si>
  <si>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</si>
  <si>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</si>
  <si>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</si>
  <si>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</si>
  <si>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</si>
  <si>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</si>
  <si>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</si>
  <si>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</si>
  <si>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</si>
  <si>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</si>
  <si>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</si>
  <si>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</si>
  <si>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</si>
  <si>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</si>
  <si>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</si>
  <si>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</si>
  <si>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</si>
  <si>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</si>
  <si>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</si>
  <si>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</si>
  <si>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</si>
  <si>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</si>
  <si>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</si>
  <si>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</si>
  <si>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</si>
  <si>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</si>
  <si>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</si>
  <si>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</si>
  <si>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</si>
  <si>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</si>
  <si>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</si>
  <si>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</si>
  <si>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</si>
  <si>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</si>
  <si>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</si>
  <si>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</si>
  <si>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</si>
  <si>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</si>
  <si>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</si>
  <si>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</si>
  <si>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</si>
  <si>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</si>
  <si>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</si>
  <si>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</si>
  <si>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</si>
  <si>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</si>
  <si>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</si>
  <si>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</si>
  <si>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</si>
  <si>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</si>
  <si>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</si>
  <si>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</si>
  <si>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</si>
  <si>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</si>
  <si>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</si>
  <si>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</si>
  <si>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</si>
  <si>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</si>
  <si>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</si>
  <si>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</si>
  <si>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</si>
  <si>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</si>
  <si>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</si>
  <si>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</si>
  <si>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</si>
  <si>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</si>
  <si>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</si>
  <si>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</si>
  <si>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</si>
  <si>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</si>
  <si>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</si>
  <si>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</si>
  <si>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</si>
  <si>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</si>
  <si>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</si>
  <si>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</si>
  <si>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</si>
  <si>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</si>
  <si>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</si>
  <si>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</si>
  <si>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</si>
  <si>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</si>
  <si>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</si>
  <si>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</si>
  <si>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</si>
  <si>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</si>
  <si>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</si>
  <si>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</si>
  <si>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</si>
  <si>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</si>
  <si>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</si>
  <si>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</si>
  <si>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</si>
  <si>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</si>
  <si>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</si>
  <si>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</si>
  <si>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</si>
  <si>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</si>
  <si>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</si>
  <si>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</si>
  <si>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</si>
  <si>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</si>
  <si>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</si>
  <si>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</si>
  <si>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</si>
  <si>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</si>
  <si>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</si>
  <si>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</si>
  <si>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</si>
  <si>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</si>
  <si>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</si>
  <si>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</si>
  <si>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</si>
  <si>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</si>
  <si>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</si>
  <si>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</si>
  <si>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</si>
  <si>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</si>
  <si>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</si>
  <si>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</si>
  <si>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</si>
  <si>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</si>
  <si>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</si>
  <si>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</si>
  <si>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</si>
  <si>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</si>
  <si>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</si>
  <si>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</si>
  <si>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</si>
  <si>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</si>
  <si>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</si>
  <si>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</si>
  <si>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</si>
  <si>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</si>
  <si>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</si>
  <si>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</si>
  <si>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</si>
  <si>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</si>
  <si>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</si>
  <si>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</si>
  <si>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</si>
  <si>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</si>
  <si>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</si>
  <si>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</si>
  <si>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</si>
  <si>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</si>
  <si>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</si>
  <si>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</si>
  <si>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</si>
  <si>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</si>
  <si>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</si>
  <si>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</si>
  <si>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</si>
  <si>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</si>
  <si>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</si>
  <si>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</si>
  <si>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</si>
  <si>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</si>
  <si>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</si>
  <si>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</si>
  <si>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</si>
  <si>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</si>
  <si>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</si>
  <si>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</si>
  <si>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</si>
  <si>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</si>
  <si>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</si>
  <si>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</si>
  <si>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</si>
  <si>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</si>
  <si>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</si>
  <si>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</si>
  <si>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</si>
  <si>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</si>
  <si>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</si>
  <si>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</si>
  <si>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</si>
  <si>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</si>
  <si>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</si>
  <si>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</si>
  <si>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</si>
  <si>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</si>
  <si>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</si>
  <si>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</si>
  <si>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</si>
  <si>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</si>
  <si>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</si>
  <si>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</si>
  <si>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</si>
  <si>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</si>
  <si>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</si>
  <si>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</si>
  <si>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</si>
  <si>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</si>
  <si>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</si>
  <si>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</si>
  <si>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</si>
  <si>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</si>
  <si>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</si>
  <si>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</si>
  <si>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</si>
  <si>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</si>
  <si>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</si>
  <si>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</si>
  <si>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</si>
  <si>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</si>
  <si>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</si>
  <si>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</si>
  <si>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</si>
  <si>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</si>
  <si>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</si>
  <si>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</si>
  <si>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</si>
  <si>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</si>
  <si>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</si>
  <si>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</si>
  <si>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</si>
  <si>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</si>
  <si>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</si>
  <si>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</si>
  <si>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</si>
  <si>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</si>
  <si>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</si>
  <si>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</si>
  <si>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</si>
  <si>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</si>
  <si>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</si>
  <si>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</si>
  <si>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</si>
  <si>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</si>
  <si>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</si>
  <si>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</si>
  <si>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</si>
  <si>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</si>
  <si>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</si>
  <si>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</si>
  <si>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</si>
  <si>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</si>
  <si>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</si>
  <si>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</si>
  <si>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</si>
  <si>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</si>
  <si>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</si>
  <si>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</si>
  <si>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</si>
  <si>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</si>
  <si>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</si>
  <si>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</si>
  <si>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</si>
  <si>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</si>
  <si>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</si>
  <si>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</si>
  <si>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</si>
  <si>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</si>
  <si>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</si>
  <si>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</si>
  <si>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</si>
  <si>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</si>
  <si>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</si>
  <si>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</si>
  <si>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</si>
  <si>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</si>
  <si>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</si>
  <si>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</si>
  <si>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</si>
  <si>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</si>
  <si>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</si>
  <si>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</si>
  <si>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</si>
  <si>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</si>
  <si>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</si>
  <si>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</si>
  <si>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</si>
  <si>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</si>
  <si>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</si>
  <si>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</si>
  <si>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</si>
  <si>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</si>
  <si>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</si>
  <si>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</si>
  <si>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</si>
  <si>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</si>
  <si>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</si>
  <si>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</si>
  <si>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</si>
  <si>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</si>
  <si>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</si>
  <si>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</si>
  <si>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</si>
  <si>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</si>
  <si>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</si>
  <si>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</si>
  <si>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</si>
  <si>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</si>
  <si>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</si>
  <si>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</si>
  <si>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</si>
  <si>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</si>
  <si>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</si>
  <si>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</si>
  <si>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</si>
  <si>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</si>
  <si>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</si>
  <si>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</si>
  <si>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</si>
  <si>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</si>
  <si>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</si>
  <si>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</si>
  <si>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</si>
  <si>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</si>
  <si>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</si>
  <si>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</si>
  <si>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</si>
  <si>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</si>
  <si>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</si>
  <si>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</si>
  <si>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</si>
  <si>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</si>
  <si>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</si>
  <si>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</si>
  <si>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</si>
  <si>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</si>
  <si>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</si>
  <si>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</si>
  <si>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</si>
  <si>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</si>
  <si>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</si>
  <si>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</si>
  <si>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</si>
  <si>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</si>
  <si>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</si>
  <si>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</si>
  <si>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</si>
  <si>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</si>
  <si>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</si>
  <si>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</si>
  <si>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</si>
  <si>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</si>
  <si>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</si>
  <si>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</si>
  <si>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</si>
  <si>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</si>
  <si>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</si>
  <si>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</si>
  <si>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</si>
  <si>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</si>
  <si>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</si>
  <si>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</si>
  <si>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</si>
  <si>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</si>
  <si>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</si>
  <si>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</si>
  <si>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</si>
  <si>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</si>
  <si>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</si>
  <si>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</si>
  <si>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</si>
  <si>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</si>
  <si>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</si>
  <si>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</si>
  <si>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</si>
  <si>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</si>
  <si>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</si>
  <si>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</si>
  <si>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</si>
  <si>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</si>
  <si>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</si>
  <si>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</si>
  <si>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</si>
  <si>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</si>
  <si>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</si>
  <si>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</si>
  <si>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</si>
  <si>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</si>
  <si>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</si>
  <si>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</si>
  <si>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</si>
  <si>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</si>
  <si>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</si>
  <si>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</si>
  <si>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</si>
  <si>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</si>
  <si>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</si>
  <si>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</si>
  <si>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</si>
  <si>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</si>
  <si>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</si>
  <si>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</si>
  <si>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</si>
  <si>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</si>
  <si>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</si>
  <si>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</si>
  <si>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</si>
  <si>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</si>
  <si>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</si>
  <si>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</si>
  <si>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</si>
  <si>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</si>
  <si>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</si>
  <si>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</si>
  <si>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</si>
  <si>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</si>
  <si>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</si>
  <si>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</si>
  <si>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</si>
  <si>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</si>
  <si>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</si>
  <si>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</si>
  <si>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</si>
  <si>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</si>
  <si>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</si>
  <si>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</si>
  <si>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</si>
  <si>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</si>
  <si>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</si>
  <si>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</si>
  <si>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</si>
  <si>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</si>
  <si>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</si>
  <si>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</si>
  <si>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</si>
  <si>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</si>
  <si>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</si>
  <si>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</si>
  <si>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</si>
  <si>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</si>
  <si>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</si>
  <si>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</si>
  <si>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</si>
  <si>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</si>
  <si>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</si>
  <si>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</si>
  <si>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</si>
  <si>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</si>
  <si>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</si>
  <si>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</si>
  <si>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</si>
  <si>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</si>
  <si>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</si>
  <si>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</si>
  <si>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</si>
  <si>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</si>
  <si>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</si>
  <si>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</si>
  <si>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</si>
  <si>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</si>
  <si>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</si>
  <si>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</si>
  <si>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</si>
  <si>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</si>
  <si>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</si>
  <si>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</si>
  <si>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</si>
  <si>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</si>
  <si>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</si>
  <si>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</si>
  <si>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</si>
  <si>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</si>
  <si>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</si>
  <si>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</si>
  <si>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</si>
  <si>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</si>
  <si>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</si>
  <si>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</si>
  <si>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</si>
  <si>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</si>
  <si>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</si>
  <si>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</si>
  <si>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</si>
  <si>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</si>
  <si>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</si>
  <si>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</si>
  <si>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</si>
  <si>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</si>
  <si>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</si>
  <si>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</si>
  <si>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</si>
  <si>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</si>
  <si>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</si>
  <si>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</si>
  <si>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</si>
  <si>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</si>
  <si>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</si>
  <si>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</si>
  <si>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</si>
  <si>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</si>
  <si>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</si>
  <si>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</si>
  <si>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</si>
  <si>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</si>
  <si>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</si>
  <si>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</si>
  <si>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</si>
  <si>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</si>
  <si>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</si>
  <si>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</si>
  <si>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</si>
  <si>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</si>
  <si>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</si>
  <si>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</si>
  <si>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</si>
  <si>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</si>
  <si>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</si>
  <si>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</si>
  <si>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</si>
  <si>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</si>
  <si>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</si>
  <si>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</si>
  <si>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</si>
  <si>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</si>
  <si>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</si>
  <si>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</si>
  <si>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</si>
  <si>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</si>
  <si>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</si>
  <si>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</si>
  <si>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</si>
  <si>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</si>
  <si>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</si>
  <si>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</si>
  <si>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</si>
  <si>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</si>
  <si>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</si>
  <si>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</si>
  <si>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</si>
  <si>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</si>
  <si>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</si>
  <si>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</si>
  <si>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</si>
  <si>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</si>
  <si>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</si>
  <si>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</si>
  <si>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</si>
  <si>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</si>
  <si>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</si>
  <si>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</si>
  <si>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</si>
  <si>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</si>
  <si>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</si>
  <si>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</si>
  <si>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</si>
  <si>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</si>
  <si>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</si>
  <si>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</si>
  <si>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</si>
  <si>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</si>
  <si>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</si>
  <si>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</si>
  <si>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</si>
  <si>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</si>
  <si>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</si>
  <si>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</si>
  <si>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</si>
  <si>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</si>
  <si>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</si>
  <si>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</si>
  <si>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</si>
  <si>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</si>
  <si>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</si>
  <si>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</si>
  <si>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</si>
  <si>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</si>
  <si>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</si>
  <si>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</si>
  <si>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</si>
  <si>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</si>
  <si>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</si>
  <si>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</si>
  <si>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</si>
  <si>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</si>
  <si>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</si>
  <si>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</si>
  <si>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</si>
  <si>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</si>
  <si>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</si>
  <si>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</si>
  <si>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</si>
  <si>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</si>
  <si>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</si>
  <si>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</si>
  <si>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</si>
  <si>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</si>
  <si>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</si>
  <si>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</si>
  <si>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</si>
  <si>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</si>
  <si>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</si>
  <si>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</si>
  <si>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</si>
  <si>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</si>
  <si>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</si>
  <si>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</si>
  <si>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</si>
  <si>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</si>
  <si>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</si>
  <si>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</si>
  <si>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</si>
  <si>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</si>
  <si>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</si>
  <si>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</si>
  <si>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</si>
  <si>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</si>
  <si>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</si>
  <si>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</si>
  <si>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</si>
  <si>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</si>
  <si>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</si>
  <si>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</si>
  <si>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</si>
  <si>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</si>
  <si>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</si>
  <si>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</si>
  <si>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</si>
  <si>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</si>
  <si>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</si>
  <si>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</si>
  <si>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</si>
  <si>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</si>
  <si>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</si>
  <si>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</si>
  <si>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</si>
  <si>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</si>
  <si>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</si>
  <si>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</si>
  <si>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</si>
  <si>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</si>
  <si>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</si>
  <si>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</si>
  <si>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</si>
  <si>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</si>
  <si>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</si>
  <si>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</si>
  <si>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</si>
  <si>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</si>
  <si>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</si>
  <si>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</si>
  <si>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</si>
  <si>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</si>
  <si>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</si>
  <si>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</si>
  <si>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</si>
  <si>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</si>
  <si>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</si>
  <si>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</si>
  <si>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</si>
  <si>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</si>
  <si>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</si>
  <si>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</si>
  <si>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</si>
  <si>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</si>
  <si>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</si>
  <si>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</si>
  <si>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</si>
  <si>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</si>
  <si>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</si>
  <si>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</si>
  <si>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</si>
  <si>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</si>
  <si>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</si>
  <si>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</si>
  <si>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</si>
  <si>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</si>
  <si>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</si>
  <si>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</si>
  <si>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</si>
  <si>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</si>
  <si>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</si>
  <si>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</si>
  <si>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</si>
  <si>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</si>
  <si>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</si>
  <si>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</si>
  <si>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</si>
  <si>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</si>
  <si>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</si>
  <si>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</si>
  <si>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</si>
  <si>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</si>
  <si>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</si>
  <si>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</si>
  <si>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</si>
  <si>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</si>
  <si>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</si>
  <si>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</si>
  <si>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</si>
  <si>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</si>
  <si>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</si>
  <si>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</si>
  <si>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</si>
  <si>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</si>
  <si>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</si>
  <si>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</si>
  <si>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</si>
  <si>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</si>
  <si>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</si>
  <si>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</si>
  <si>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</si>
  <si>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</si>
  <si>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</si>
  <si>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</si>
  <si>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</si>
  <si>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</si>
  <si>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</si>
  <si>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</si>
  <si>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</si>
  <si>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</si>
  <si>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</si>
  <si>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</si>
  <si>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</si>
  <si>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</si>
  <si>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</si>
  <si>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</si>
  <si>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</si>
  <si>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</si>
  <si>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Semiestatica  50mts</t>
  </si>
  <si>
    <t>Movil 49</t>
  </si>
  <si>
    <t>Protector plastico rigido</t>
  </si>
  <si>
    <t xml:space="preserve">Anclaje </t>
  </si>
  <si>
    <t>Pre armado con cuerda y proteccion</t>
  </si>
  <si>
    <t>musitani</t>
  </si>
  <si>
    <t>5 puntos, azul</t>
  </si>
  <si>
    <t>cinta plana 6m</t>
  </si>
  <si>
    <t>19mm</t>
  </si>
  <si>
    <t>cinta tubular 6m</t>
  </si>
  <si>
    <t>misc. De altura</t>
  </si>
  <si>
    <t>protector de cuerda 70cm verde</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</si>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</sst>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7">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00"/>
        <bgColor theme="4" tint="0.79998168889431442"/>
      </patternFill>
    </fill>
  </fills>
  <borders count="8">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4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1" fillId="2" borderId="0" xfId="1" applyAlignment="1">
      <alignment horizontal="center"/>
    </xf>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6" xfId="0" applyBorder="1" applyAlignment="1">
      <alignment horizontal="left" vertical="center"/>
    </xf>
    <xf numFmtId="0" fontId="0" fillId="0" borderId="7" xfId="0" applyBorder="1" applyAlignment="1">
      <alignment horizontal="left" vertical="center"/>
    </xf>
    <xf numFmtId="0" fontId="0" fillId="5" borderId="5" xfId="0" applyFill="1" applyBorder="1" applyAlignment="1">
      <alignment horizontal="left" vertical="center"/>
    </xf>
    <xf numFmtId="0" fontId="0" fillId="5" borderId="6" xfId="0" applyFill="1" applyBorder="1" applyAlignment="1">
      <alignment horizontal="left" vertical="center" wrapText="1"/>
    </xf>
    <xf numFmtId="0" fontId="0" fillId="5" borderId="6" xfId="0" applyFill="1" applyBorder="1" applyAlignment="1">
      <alignment horizontal="left" vertical="center"/>
    </xf>
    <xf numFmtId="0" fontId="0" fillId="5" borderId="7" xfId="0" applyFill="1" applyBorder="1" applyAlignment="1">
      <alignment horizontal="left" vertical="center"/>
    </xf>
    <xf numFmtId="0" fontId="0" fillId="5" borderId="6" xfId="0" applyFill="1" applyBorder="1"/>
    <xf numFmtId="0" fontId="0" fillId="0" borderId="6" xfId="0" applyBorder="1"/>
    <xf numFmtId="0" fontId="2" fillId="3" borderId="5" xfId="0" applyFont="1" applyFill="1" applyBorder="1" applyAlignment="1">
      <alignment horizontal="left"/>
    </xf>
    <xf numFmtId="0" fontId="2" fillId="3" borderId="6" xfId="0" applyFont="1" applyFill="1" applyBorder="1" applyAlignment="1">
      <alignment horizontal="left" wrapText="1"/>
    </xf>
    <xf numFmtId="0" fontId="2" fillId="3" borderId="6" xfId="0" applyFont="1" applyFill="1" applyBorder="1" applyAlignment="1">
      <alignment horizontal="left"/>
    </xf>
    <xf numFmtId="0" fontId="2" fillId="3" borderId="7" xfId="0" applyFont="1" applyFill="1" applyBorder="1" applyAlignment="1">
      <alignment horizontal="left"/>
    </xf>
    <xf numFmtId="0" fontId="0" fillId="5" borderId="5" xfId="0" applyFill="1" applyBorder="1" applyAlignment="1">
      <alignment horizontal="left"/>
    </xf>
    <xf numFmtId="0" fontId="0" fillId="4" borderId="6" xfId="0" applyFill="1" applyBorder="1" applyAlignment="1">
      <alignment horizontal="left" vertical="center" wrapText="1"/>
    </xf>
    <xf numFmtId="0" fontId="0" fillId="6" borderId="6" xfId="0" applyFill="1" applyBorder="1" applyAlignment="1">
      <alignment horizontal="left" vertical="center" wrapText="1"/>
    </xf>
  </cellXfs>
  <cellStyles count="2">
    <cellStyle name="Accent1" xfId="1" builtinId="29"/>
    <cellStyle name="Normal" xfId="0" builtinId="0"/>
  </cellStyles>
  <dxfs count="130">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29" dataDxfId="128">
  <autoFilter ref="A1:H131" xr:uid="{00000000-0009-0000-0100-000001000000}"/>
  <sortState ref="A2:H136">
    <sortCondition ref="G2:G136"/>
    <sortCondition ref="H2:H136"/>
  </sortState>
  <tableColumns count="8">
    <tableColumn id="1" xr3:uid="{00000000-0010-0000-0000-000001000000}" name="Categoria" dataDxfId="127"/>
    <tableColumn id="2" xr3:uid="{00000000-0010-0000-0000-000002000000}" name="Descripcion" dataDxfId="126"/>
    <tableColumn id="3" xr3:uid="{00000000-0010-0000-0000-000003000000}" name="Medidas" dataDxfId="125"/>
    <tableColumn id="4" xr3:uid="{00000000-0010-0000-0000-000004000000}" name="marca" dataDxfId="124"/>
    <tableColumn id="5" xr3:uid="{00000000-0010-0000-0000-000005000000}" name="N/ de serie" dataDxfId="123"/>
    <tableColumn id="7" xr3:uid="{20A560DE-96A4-4C20-8E3B-6987DAD27B3D}" name="cant" dataDxfId="122"/>
    <tableColumn id="6" xr3:uid="{00000000-0010-0000-0000-000006000000}" name="Cajonera" dataDxfId="121"/>
    <tableColumn id="8" xr3:uid="{6A730937-5917-4102-A73F-F22FC5E46982}" name="Compartimiento" dataDxfId="1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119" dataDxfId="118">
  <autoFilter ref="A1:H98" xr:uid="{4420E20B-53C0-415C-9CB8-8EBBE392DB7E}"/>
  <sortState ref="A2:H136">
    <sortCondition ref="G2:G136"/>
    <sortCondition ref="H2:H136"/>
  </sortState>
  <tableColumns count="8">
    <tableColumn id="1" xr3:uid="{45F247E6-E4F8-4524-8BAC-4E5305BFD4E8}" name="Categoria" dataDxfId="117"/>
    <tableColumn id="2" xr3:uid="{18D75DA7-F382-464D-90FD-E4E0506B8A6E}" name="Descripcion" dataDxfId="116"/>
    <tableColumn id="3" xr3:uid="{E2793599-1DAF-466B-A1AD-A54BA4C6AC06}" name="Medidas" dataDxfId="115"/>
    <tableColumn id="4" xr3:uid="{46F5E322-E424-487F-AE67-B4E3358E403F}" name="marca" dataDxfId="114"/>
    <tableColumn id="5" xr3:uid="{3D283D2B-D541-479C-87FD-6AA3D3CF8E18}" name="N/ de serie" dataDxfId="113"/>
    <tableColumn id="7" xr3:uid="{1D224AAD-0462-40C4-9698-3AD0B9B09F9C}" name="cant" dataDxfId="112"/>
    <tableColumn id="6" xr3:uid="{E962ECD1-4DEF-4678-96D7-81953010DD85}" name="Cajonera" dataDxfId="111"/>
    <tableColumn id="8" xr3:uid="{DDA87DEE-616F-4F4F-B1CF-4AFC1D7DDE80}" name="Compartimiento"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109" dataDxfId="108">
  <autoFilter ref="A1:H108" xr:uid="{00254174-483B-40DF-A806-D062C22867F7}"/>
  <sortState ref="A2:H79">
    <sortCondition ref="G1:G79"/>
  </sortState>
  <tableColumns count="8">
    <tableColumn id="1" xr3:uid="{5C129E02-49ED-404D-8803-23BEEE082B13}" name="Categoria" dataDxfId="107"/>
    <tableColumn id="2" xr3:uid="{08752A4C-B745-47BD-916C-8371AA823B30}" name="Descripcion" dataDxfId="106"/>
    <tableColumn id="3" xr3:uid="{D9947D9F-91DC-48F8-80F0-740777B930CC}" name="Medidas" dataDxfId="105"/>
    <tableColumn id="4" xr3:uid="{83541DD3-29AB-4FE0-9DE9-7D8BE5E78196}" name="marca" dataDxfId="104"/>
    <tableColumn id="5" xr3:uid="{9713A367-BEFE-4DF4-8B3D-E3AF8E87D8E7}" name="N/ de serie" dataDxfId="103"/>
    <tableColumn id="7" xr3:uid="{9D266E2D-E8B4-43A5-8816-E295D94D2A54}" name="cant" dataDxfId="102"/>
    <tableColumn id="6" xr3:uid="{4AF3B0F9-84DE-4653-A23E-C2CFBC721A37}" name="Cajonera" dataDxfId="101"/>
    <tableColumn id="8" xr3:uid="{255D225F-46DC-4AF1-9C5F-A6DC06571BC6}" name="Compartimiento" dataDxfId="10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99" dataDxfId="98">
  <autoFilter ref="A1:H16" xr:uid="{00254174-483B-40DF-A806-D062C22867F7}"/>
  <sortState ref="A2:H135">
    <sortCondition ref="G2:G135"/>
    <sortCondition ref="H2:H135"/>
    <sortCondition ref="A2:A135"/>
  </sortState>
  <tableColumns count="8">
    <tableColumn id="1" xr3:uid="{7762CF18-0359-4492-B4ED-710C2ACA3AD8}" name="Categoria" dataDxfId="97"/>
    <tableColumn id="2" xr3:uid="{982DCC3C-D12D-4640-A32E-79F71F293297}" name="Descripcion" dataDxfId="96"/>
    <tableColumn id="3" xr3:uid="{C74DD3A9-C890-46F2-B066-1E8734A70F10}" name="Medidas" dataDxfId="95"/>
    <tableColumn id="4" xr3:uid="{99E6F613-CBD2-473A-BDCE-1F04B38ED8A1}" name="marca" dataDxfId="94"/>
    <tableColumn id="5" xr3:uid="{D00DBFC2-B0D3-40E1-AACD-2CEA831C5A4A}" name="N/ de serie" dataDxfId="93"/>
    <tableColumn id="7" xr3:uid="{B766F210-A0F3-4E00-BCA4-192046AAC52E}" name="cant" dataDxfId="92"/>
    <tableColumn id="6" xr3:uid="{8D465A67-0F78-40E6-9E8A-323E2CC14EBF}" name="Cajonera" dataDxfId="91"/>
    <tableColumn id="8" xr3:uid="{3E183286-0CB5-4BAA-96D9-64884EE8C037}" name="Compartimiento" dataDxfId="9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89" dataDxfId="88">
  <autoFilter ref="A1:H9" xr:uid="{457D8B93-05A8-45D1-A609-71A6A311AD05}"/>
  <sortState ref="A2:H135">
    <sortCondition ref="G2:G135"/>
    <sortCondition ref="H2:H135"/>
    <sortCondition ref="A2:A135"/>
  </sortState>
  <tableColumns count="8">
    <tableColumn id="1" xr3:uid="{55BD14F0-E66D-452C-AFF3-87BBA173A115}" name="Categoria" dataDxfId="87"/>
    <tableColumn id="2" xr3:uid="{60F3859F-A565-4FB3-981A-BD333DBD68CB}" name="Descripcion" dataDxfId="86"/>
    <tableColumn id="3" xr3:uid="{506B4F8D-96F8-480A-ABAA-ED38D4D1E27F}" name="Medidas" dataDxfId="85"/>
    <tableColumn id="4" xr3:uid="{43411A3F-3399-4BC0-849F-F795ACF9FFE9}" name="marca" dataDxfId="84"/>
    <tableColumn id="5" xr3:uid="{1ED9114D-170A-43B6-B49C-6D57225B4023}" name="N/ de serie" dataDxfId="83"/>
    <tableColumn id="7" xr3:uid="{0E3B0CE1-7CEE-4F0F-9B55-4D0171D39B85}" name="cant" dataDxfId="82"/>
    <tableColumn id="6" xr3:uid="{ABC8F4C2-BB8E-4F4D-A226-E6E794842ED3}" name="Cajonera" dataDxfId="81"/>
    <tableColumn id="8" xr3:uid="{3BA68BFC-1ECF-4773-9364-E4875D861C00}" name="Compartimiento" dataDxfId="8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79" dataDxfId="78">
  <autoFilter ref="A1:H21" xr:uid="{9BEA3E99-12FC-4092-94CA-0CD530761350}"/>
  <sortState ref="A2:H135">
    <sortCondition ref="G2:G135"/>
    <sortCondition ref="H2:H135"/>
    <sortCondition ref="A2:A135"/>
  </sortState>
  <tableColumns count="8">
    <tableColumn id="1" xr3:uid="{59F451BF-799E-467F-87E6-D1A92B2F2F19}" name="Categoria" dataDxfId="77"/>
    <tableColumn id="2" xr3:uid="{7B78AF34-49C2-4BC7-88BB-EB59466AF70E}" name="Descripcion" dataDxfId="76"/>
    <tableColumn id="3" xr3:uid="{91AE2D4D-14E6-4D02-A2AE-5C64C2399D48}" name="Medidas" dataDxfId="75"/>
    <tableColumn id="4" xr3:uid="{5862D588-22B6-471B-9202-79CB070BA9F1}" name="marca" dataDxfId="74"/>
    <tableColumn id="5" xr3:uid="{2E34E0CF-7BE5-4082-9DDE-726BF5669D7D}" name="N/ de serie" dataDxfId="73"/>
    <tableColumn id="7" xr3:uid="{2E9D9731-27A3-4A80-B0FD-D982940A817F}" name="cant" dataDxfId="72"/>
    <tableColumn id="6" xr3:uid="{29E6860E-7FCC-42E5-BD7A-DD1148407EF7}" name="Cajonera" dataDxfId="71"/>
    <tableColumn id="8" xr3:uid="{176739AE-F62A-4931-BD7F-D9296054E437}" name="Compartimiento" dataDxfId="7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9" dataDxfId="18">
  <autoFilter ref="A1:H34" xr:uid="{00000000-0009-0000-0100-000001000000}"/>
  <sortState ref="A2:H135">
    <sortCondition ref="G2:G135"/>
    <sortCondition ref="H2:H135"/>
    <sortCondition ref="A2:A135"/>
  </sortState>
  <tableColumns count="8">
    <tableColumn id="1" xr3:uid="{F908C9F5-DD8B-443A-A527-DCABD33B8237}" name="Categoria" dataDxfId="17"/>
    <tableColumn id="2" xr3:uid="{8036B6F2-C43F-461F-A164-185E9010DABA}" name="Descripcion" dataDxfId="16"/>
    <tableColumn id="3" xr3:uid="{4B73C355-844D-4708-8DD2-3BAA3380C699}" name="Medidas" dataDxfId="15"/>
    <tableColumn id="4" xr3:uid="{0D85BE5C-3096-482C-BC13-95741D8C8766}" name="marca" dataDxfId="14"/>
    <tableColumn id="5" xr3:uid="{86876B37-5F66-4B8C-9658-6F4D3F570100}" name="N/ de serie" dataDxfId="13"/>
    <tableColumn id="7" xr3:uid="{DDA2BF92-6F99-4EE6-8D4C-490484E63590}" name="cant" dataDxfId="12"/>
    <tableColumn id="6" xr3:uid="{65BD277E-AD38-49FE-8584-2B2393B38D9E}" name="Cajonera" dataDxfId="11"/>
    <tableColumn id="8" xr3:uid="{1DEC6FAA-BE51-4355-AD37-F311FED3A618}" name="Compartimiento" dataDxfId="1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6" totalsRowShown="0">
  <autoFilter ref="J3:R26"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1" totalsRowShown="0">
  <autoFilter ref="T3:T11"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69" dataDxfId="68">
  <autoFilter ref="A1:H33" xr:uid="{EE60CB91-E66E-4B94-BADC-73B0217D7692}"/>
  <sortState ref="A2:H135">
    <sortCondition ref="G2:G135"/>
    <sortCondition ref="H2:H135"/>
    <sortCondition ref="A2:A135"/>
  </sortState>
  <tableColumns count="8">
    <tableColumn id="1" xr3:uid="{3D3EEF2E-B775-49EA-9945-33EFCC82535B}" name="Categoria" dataDxfId="67"/>
    <tableColumn id="2" xr3:uid="{999E3447-0265-44E2-B747-FA6F2EBE169D}" name="Descripcion" dataDxfId="66"/>
    <tableColumn id="3" xr3:uid="{12BDFB71-75C7-446B-BCF7-1047DAFF3ADE}" name="Medidas" dataDxfId="65"/>
    <tableColumn id="4" xr3:uid="{F8ACE0BE-5D90-48DF-9F45-DE491F39B72B}" name="marca" dataDxfId="64"/>
    <tableColumn id="5" xr3:uid="{D4482888-34CA-4530-B2E5-3ED88C8D3088}" name="N/ de serie" dataDxfId="63"/>
    <tableColumn id="7" xr3:uid="{108EA62C-813D-4392-9EA6-C3425C840871}" name="cant" dataDxfId="62"/>
    <tableColumn id="6" xr3:uid="{CA59F73D-026B-4A4D-8E48-EB1B6CE17072}" name="Cajonera" dataDxfId="61"/>
    <tableColumn id="8" xr3:uid="{4E05A0C2-E1DF-46E3-9ED0-732250BF0F12}" name="Compartimiento" dataDxfId="6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59" dataDxfId="58">
  <autoFilter ref="A1:H6" xr:uid="{A5908FBA-116C-427F-AA54-0AD2EE632FAF}"/>
  <sortState ref="A2:H135">
    <sortCondition ref="G2:G135"/>
    <sortCondition ref="H2:H135"/>
    <sortCondition ref="A2:A135"/>
  </sortState>
  <tableColumns count="8">
    <tableColumn id="1" xr3:uid="{8D9ADBA2-6DED-4412-8C95-D2E3D5C85E29}" name="Categoria" dataDxfId="57"/>
    <tableColumn id="2" xr3:uid="{1F788147-D057-4410-8E99-BD1062ADCF5B}" name="Descripcion" dataDxfId="56"/>
    <tableColumn id="3" xr3:uid="{A0F34A60-DD95-447C-A4EC-61D157C44676}" name="Medidas" dataDxfId="55"/>
    <tableColumn id="4" xr3:uid="{E5C683E7-68B3-4924-A184-FF808C319A79}" name="marca" dataDxfId="54"/>
    <tableColumn id="5" xr3:uid="{B629A735-91AA-4F7E-925A-261C3DB10308}" name="N/ de serie" dataDxfId="53"/>
    <tableColumn id="7" xr3:uid="{A57FB101-5784-4949-9029-BA17A10098FA}" name="cant" dataDxfId="52"/>
    <tableColumn id="6" xr3:uid="{A596D4DD-A5FA-4A2A-A32A-777757E03F54}" name="Cajonera" dataDxfId="51"/>
    <tableColumn id="8" xr3:uid="{F896BB72-11E5-4D81-97C6-FA0E9F11B31E}" name="Compartimiento" dataDxfId="5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49" dataDxfId="4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47"/>
    <tableColumn id="4" xr3:uid="{A5A990D8-2D12-404C-9AFB-A7897535B40D}" name="marca" dataDxfId="46"/>
    <tableColumn id="5" xr3:uid="{83CFE6DF-58FD-4C54-8BF6-8F29558E865D}" name="N/ de serie" dataDxfId="45"/>
    <tableColumn id="7" xr3:uid="{86D67A5B-0A3E-4D1E-B129-F051AD7E977F}" name="cant" dataDxfId="44"/>
    <tableColumn id="6" xr3:uid="{68E8FFD6-3363-4E54-9F58-C7395922AF8B}" name="Cajonera" dataDxfId="43"/>
    <tableColumn id="8" xr3:uid="{80C6BE60-E334-4A13-999A-471E456EE168}" name="Compartimiento" dataDxfId="4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41" dataDxfId="40">
  <autoFilter ref="A1:H53" xr:uid="{922CAAF8-E26D-4AE2-AA58-8D5A5D13A780}"/>
  <sortState ref="A2:H135">
    <sortCondition ref="G2:G135"/>
    <sortCondition ref="H2:H135"/>
    <sortCondition ref="A2:A135"/>
  </sortState>
  <tableColumns count="8">
    <tableColumn id="1" xr3:uid="{218BB1FC-41FB-4888-933D-517798E51563}" name="Categoria" dataDxfId="39"/>
    <tableColumn id="2" xr3:uid="{6A711805-A343-4C4D-9F01-101B27247709}" name="Descripcion" dataDxfId="38"/>
    <tableColumn id="3" xr3:uid="{991AD057-7817-4D14-AC3B-A71108B9E55A}" name="Medidas" dataDxfId="37"/>
    <tableColumn id="4" xr3:uid="{F07780C7-58E8-4B6C-B25D-2D584F646A85}" name="marca" dataDxfId="36"/>
    <tableColumn id="5" xr3:uid="{D3BCA6E2-9052-46FA-A634-26C532A92A32}" name="N/ de serie" dataDxfId="35"/>
    <tableColumn id="7" xr3:uid="{1FC9A2EA-4AB6-414A-91E2-F467B4A3F589}" name="cant" dataDxfId="34"/>
    <tableColumn id="6" xr3:uid="{03302471-EF2A-4C5B-9366-49445D2CF4D5}" name="Cajonera" dataDxfId="33"/>
    <tableColumn id="8" xr3:uid="{DBB8ACD6-43C0-4799-A26D-9C3F990AF7BB}" name="Compartimiento" dataDxfId="3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105" totalsRowShown="0" headerRowDxfId="31" dataDxfId="30">
  <autoFilter ref="A1:H105" xr:uid="{5E39A798-9B81-4456-9B6B-11241E9A85FC}"/>
  <sortState ref="A2:H135">
    <sortCondition ref="G2:G135"/>
    <sortCondition ref="H2:H135"/>
    <sortCondition ref="A2:A135"/>
  </sortState>
  <tableColumns count="8">
    <tableColumn id="1" xr3:uid="{AA114C70-43ED-4D38-A83F-60373719EDD1}" name="Categoria" dataDxfId="29"/>
    <tableColumn id="2" xr3:uid="{ABD2504C-DDE3-482C-B4B4-0BBFFB2F9898}" name="Descripcion" dataDxfId="28"/>
    <tableColumn id="3" xr3:uid="{8CA7AB49-8D86-4531-ADA2-333C673DB178}" name="Medidas" dataDxfId="27"/>
    <tableColumn id="4" xr3:uid="{81AD5C67-95AF-4F82-B8E4-09BCD2F67CD4}" name="marca" dataDxfId="26"/>
    <tableColumn id="5" xr3:uid="{3FD3E935-6D14-4703-B94F-655FA80907FF}" name="N/ de serie" dataDxfId="25"/>
    <tableColumn id="7" xr3:uid="{35F7BABD-DE88-4FEB-A3E4-5A51FFC0CEA8}" name="cant" dataDxfId="24"/>
    <tableColumn id="6" xr3:uid="{30670AA3-2A21-4459-A0A8-CA259267150C}" name="Cajonera" dataDxfId="23"/>
    <tableColumn id="8" xr3:uid="{3D792321-5CD5-48D8-ADFA-1256A235BA2F}" name="Compartimiento" dataDxfId="2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12" totalsRowShown="0">
  <autoFilter ref="T3:T12"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51" totalsRowShown="0">
  <autoFilter ref="J3:P51"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28B63EB-A083-4627-B16D-513E58BE1FA2}" name="Table12017444852" displayName="Table12017444852" ref="A1:H5" totalsRowShown="0" headerRowDxfId="9" dataDxfId="8">
  <autoFilter ref="A1:H5" xr:uid="{C080ED06-2973-4923-B368-ACABE45B896E}"/>
  <sortState ref="A2:H135">
    <sortCondition ref="G2:G135"/>
    <sortCondition ref="H2:H135"/>
    <sortCondition ref="A2:A135"/>
  </sortState>
  <tableColumns count="8">
    <tableColumn id="1" xr3:uid="{5A4D80A2-1036-48D7-B500-94C79530AC04}" name="Categoria" dataDxfId="7"/>
    <tableColumn id="2" xr3:uid="{81540E3B-525E-4D05-BF78-BA718A69F3C3}" name="Descripcion" dataDxfId="6"/>
    <tableColumn id="3" xr3:uid="{1C6027F5-1B2B-4FD2-BED1-670F7B861CAB}" name="Medidas" dataDxfId="5"/>
    <tableColumn id="4" xr3:uid="{1E4E0E35-A1DF-41C1-875B-F9971BAE1E09}" name="marca" dataDxfId="4"/>
    <tableColumn id="5" xr3:uid="{2FC0B82E-CC12-44F0-A7FB-DD218756683B}" name="N/ de serie" dataDxfId="3"/>
    <tableColumn id="7" xr3:uid="{C5C90BBA-E5F5-4116-AF4D-C94217E1A728}" name="cant" dataDxfId="2"/>
    <tableColumn id="6" xr3:uid="{601D1534-0104-4D5E-80AC-D95D3AE4571A}" name="Cajonera" dataDxfId="1"/>
    <tableColumn id="8" xr3:uid="{D99D57ED-47E0-4EE7-8469-9990B45C7EE6}" name="Compartimiento" dataDxfId="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6F1FFDE-C933-4833-B765-8B5BA0A60667}" name="Table22234454953" displayName="Table22234454953" ref="T3:T7" totalsRowShown="0">
  <autoFilter ref="T3:T7" xr:uid="{A5606AA8-6C32-470F-8304-519BC4E288EF}"/>
  <tableColumns count="1">
    <tableColumn id="1" xr3:uid="{4F558096-3595-40E6-B8ED-5C33A61443FB}" name="Bolsos"/>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B2D9F19-731A-4294-BF88-683A8032F921}" name="Table52335465054" displayName="Table52335465054" ref="V4:AD12" totalsRowShown="0">
  <autoFilter ref="V4:AD12" xr:uid="{1968BDE3-6BD9-4479-A02F-4264429163EB}"/>
  <tableColumns count="9">
    <tableColumn id="1" xr3:uid="{870EC2C6-DF55-48EE-9CB2-47F8F1B11126}" name="Cabina"/>
    <tableColumn id="2" xr3:uid="{BD6AC086-6D36-423D-9F33-BF1A59B1EF9C}" name="Cajonera 1"/>
    <tableColumn id="3" xr3:uid="{9BAA617F-AED2-494C-8928-B9E72152FC39}" name="Cajonera 2"/>
    <tableColumn id="4" xr3:uid="{CFFD840F-FF5D-443F-B148-A232115A340E}" name="Cajonera 3"/>
    <tableColumn id="5" xr3:uid="{F90E657C-0A2B-402F-BC88-582F16F614AA}" name="Cajonera 4"/>
    <tableColumn id="6" xr3:uid="{7C9809A1-49D3-4409-B2C6-DADCF2C16E64}" name="Cajonera 5"/>
    <tableColumn id="7" xr3:uid="{C9DB012E-7B52-475D-8CF8-B3ECE6A4CC01}" name="Cajonera 6"/>
    <tableColumn id="8" xr3:uid="{DEC7575D-175B-4C35-B727-A25C20985B85}" name="Cajonera 7"/>
    <tableColumn id="9" xr3:uid="{2F341B47-C2FC-45DD-836C-6A0FD03C6EE4}" name="Techo"/>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A8C24400-9D85-453A-8DBE-67EB6DDFB5D7}" name="Table62133475155" displayName="Table62133475155" ref="J3:P4" insertRow="1" totalsRowShown="0">
  <autoFilter ref="J3:P4" xr:uid="{BE941AEE-8419-421F-901D-8526A5C85909}"/>
  <tableColumns count="7">
    <tableColumn id="1" xr3:uid="{699D7875-5F4B-44DF-943A-B2B2A04D9954}" name="Categoria"/>
    <tableColumn id="9" xr3:uid="{2345CFE4-96FE-4BA1-98BB-33AF4C4958C7}" name="Descripcion"/>
    <tableColumn id="8" xr3:uid="{E243068C-6105-4368-80E6-D1EE5997AEDA}" name="Medidas"/>
    <tableColumn id="7" xr3:uid="{46B9CC65-AA9D-403B-BCF0-97B6454E4E48}" name="marca"/>
    <tableColumn id="6" xr3:uid="{797DF547-BE60-492E-B987-D26A2DE44A8D}" name="N/ de serie"/>
    <tableColumn id="2" xr3:uid="{C2304BD9-BBDB-44B6-9F82-09ED2FC34573}" name="cant"/>
    <tableColumn id="3" xr3:uid="{833B3945-963A-456F-9ED8-BC9DC17C7A97}" name="Bolso"/>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Y17" totalsRowShown="0">
  <autoFilter ref="F1:Y17" xr:uid="{1055A59D-20B2-4F59-BA98-5A360C8D58B6}"/>
  <sortState ref="F2:P9">
    <sortCondition ref="F1:F9"/>
  </sortState>
  <tableColumns count="20">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 id="20" xr3:uid="{D43CDC2D-B433-455A-958B-1C2279B22D14}" name="Cuerda de altura"/>
  </tableColumns>
  <tableStyleInfo name="TableStyleLight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24" totalsRowShown="0" headerRowDxfId="21" tableBorderDxfId="20">
  <autoFilter ref="A1:A124"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106" activePane="bottomLeft" state="frozen"/>
      <selection pane="bottomLeft" activeCell="A115" sqref="A115"/>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26" t="s">
        <v>230</v>
      </c>
      <c r="Z3" s="26"/>
      <c r="AA3" s="26"/>
      <c r="AB3" s="26"/>
      <c r="AC3" s="26"/>
      <c r="AD3" s="26"/>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530</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530</v>
      </c>
    </row>
    <row r="14" spans="1:31" x14ac:dyDescent="0.25">
      <c r="A14" s="6" t="s">
        <v>243</v>
      </c>
      <c r="B14" s="7" t="s">
        <v>98</v>
      </c>
      <c r="C14" s="6"/>
      <c r="D14" s="6" t="s">
        <v>99</v>
      </c>
      <c r="E14" s="6"/>
      <c r="F14" s="6">
        <v>1</v>
      </c>
      <c r="G14" s="6" t="s">
        <v>8</v>
      </c>
      <c r="H14" s="6">
        <v>2</v>
      </c>
      <c r="K14" t="s">
        <v>471</v>
      </c>
      <c r="L14" t="s">
        <v>149</v>
      </c>
      <c r="P14">
        <v>4</v>
      </c>
      <c r="Q14" t="s">
        <v>530</v>
      </c>
    </row>
    <row r="15" spans="1:31" x14ac:dyDescent="0.25">
      <c r="A15" s="6" t="s">
        <v>244</v>
      </c>
      <c r="B15" s="7" t="s">
        <v>98</v>
      </c>
      <c r="C15" s="6"/>
      <c r="D15" s="6"/>
      <c r="E15" s="6"/>
      <c r="F15" s="6">
        <v>1</v>
      </c>
      <c r="G15" s="6" t="s">
        <v>8</v>
      </c>
      <c r="H15" s="6">
        <v>2</v>
      </c>
      <c r="K15" t="s">
        <v>471</v>
      </c>
      <c r="L15" t="s">
        <v>150</v>
      </c>
      <c r="P15">
        <v>3</v>
      </c>
      <c r="Q15" t="s">
        <v>530</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528</v>
      </c>
      <c r="C20" s="6"/>
      <c r="D20" s="6"/>
      <c r="E20" s="6"/>
      <c r="F20" s="6">
        <v>4</v>
      </c>
      <c r="G20" s="6" t="s">
        <v>8</v>
      </c>
      <c r="H20" s="6">
        <v>3</v>
      </c>
      <c r="K20" t="s">
        <v>841</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743</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531</v>
      </c>
      <c r="P32">
        <v>20</v>
      </c>
      <c r="Q32" t="s">
        <v>529</v>
      </c>
    </row>
    <row r="33" spans="1:8" x14ac:dyDescent="0.25">
      <c r="A33" s="6" t="s">
        <v>11</v>
      </c>
      <c r="B33" s="7" t="s">
        <v>532</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533</v>
      </c>
      <c r="C120" s="6" t="s">
        <v>79</v>
      </c>
      <c r="D120" s="6" t="s">
        <v>27</v>
      </c>
      <c r="E120" s="6" t="s">
        <v>27</v>
      </c>
      <c r="F120" s="6">
        <v>1</v>
      </c>
      <c r="G120" s="6" t="s">
        <v>5</v>
      </c>
      <c r="H120" s="6">
        <v>1</v>
      </c>
    </row>
    <row r="121" spans="1:8" x14ac:dyDescent="0.25">
      <c r="A121" s="6" t="s">
        <v>11</v>
      </c>
      <c r="B121" s="7" t="s">
        <v>534</v>
      </c>
      <c r="C121" s="6" t="s">
        <v>30</v>
      </c>
      <c r="D121" s="6" t="s">
        <v>27</v>
      </c>
      <c r="E121" s="6" t="s">
        <v>27</v>
      </c>
      <c r="F121" s="6">
        <v>4</v>
      </c>
      <c r="G121" s="6" t="s">
        <v>5</v>
      </c>
      <c r="H121" s="6">
        <v>1</v>
      </c>
    </row>
    <row r="122" spans="1:8" x14ac:dyDescent="0.25">
      <c r="A122" s="6" t="s">
        <v>12</v>
      </c>
      <c r="B122" s="7" t="s">
        <v>535</v>
      </c>
      <c r="C122" s="6"/>
      <c r="D122" s="6"/>
      <c r="E122" s="6"/>
      <c r="F122" s="6">
        <v>1</v>
      </c>
      <c r="G122" s="6" t="s">
        <v>5</v>
      </c>
      <c r="H122" s="6">
        <v>1</v>
      </c>
    </row>
    <row r="123" spans="1:8" ht="30" x14ac:dyDescent="0.25">
      <c r="A123" s="6" t="s">
        <v>44</v>
      </c>
      <c r="B123" s="7" t="s">
        <v>536</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0294B67D-E469-4692-B763-863A19A1C2D6}">
          <x14:formula1>
            <xm:f>Configuracion!$I$2:$I$6</xm:f>
          </x14:formula1>
          <xm:sqref>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A31" workbookViewId="0">
      <selection activeCell="B33" sqref="B3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26" t="s">
        <v>230</v>
      </c>
      <c r="W3" s="26"/>
      <c r="X3" s="26"/>
      <c r="Y3" s="26"/>
      <c r="Z3" s="26"/>
      <c r="AA3" s="26"/>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row>
    <row r="15" spans="1:30" x14ac:dyDescent="0.25">
      <c r="A15" s="6" t="s">
        <v>12</v>
      </c>
      <c r="B15" s="7" t="s">
        <v>547</v>
      </c>
      <c r="C15" s="6" t="s">
        <v>461</v>
      </c>
      <c r="D15" s="6" t="s">
        <v>548</v>
      </c>
      <c r="E15" s="6"/>
      <c r="F15" s="6">
        <v>1</v>
      </c>
      <c r="G15" s="6" t="s">
        <v>257</v>
      </c>
      <c r="H15" s="6">
        <v>1</v>
      </c>
      <c r="J15" t="s">
        <v>395</v>
      </c>
      <c r="K15" t="s">
        <v>395</v>
      </c>
      <c r="L15" t="s">
        <v>397</v>
      </c>
      <c r="O15">
        <v>2</v>
      </c>
      <c r="P15" t="s">
        <v>574</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691</v>
      </c>
      <c r="D39" s="6"/>
      <c r="E39" s="6"/>
      <c r="F39" s="6">
        <v>1</v>
      </c>
      <c r="G39" s="6" t="s">
        <v>9</v>
      </c>
      <c r="H39" s="6">
        <v>1</v>
      </c>
      <c r="J39" t="s">
        <v>151</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row>
    <row r="48" spans="1:16" x14ac:dyDescent="0.25">
      <c r="A48" s="6" t="s">
        <v>59</v>
      </c>
      <c r="B48" s="7" t="s">
        <v>592</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558</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594</v>
      </c>
      <c r="C55" s="6" t="s">
        <v>103</v>
      </c>
      <c r="D55" s="6"/>
      <c r="E55" s="6"/>
      <c r="F55" s="6">
        <v>1</v>
      </c>
      <c r="G55" s="6" t="s">
        <v>36</v>
      </c>
      <c r="H55" s="6" t="s">
        <v>36</v>
      </c>
    </row>
    <row r="56" spans="1:9" x14ac:dyDescent="0.25">
      <c r="A56" s="6" t="s">
        <v>35</v>
      </c>
      <c r="B56" s="7" t="s">
        <v>593</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595</v>
      </c>
      <c r="C58" s="6" t="s">
        <v>596</v>
      </c>
      <c r="D58" s="6"/>
      <c r="E58" s="6"/>
      <c r="F58" s="6">
        <v>1</v>
      </c>
      <c r="G58" s="6" t="s">
        <v>36</v>
      </c>
      <c r="H58" s="6" t="s">
        <v>36</v>
      </c>
    </row>
    <row r="59" spans="1:9" x14ac:dyDescent="0.25">
      <c r="A59" s="6" t="s">
        <v>156</v>
      </c>
      <c r="B59" s="7" t="s">
        <v>597</v>
      </c>
      <c r="C59" s="6" t="s">
        <v>538</v>
      </c>
      <c r="D59" s="6"/>
      <c r="E59" s="6"/>
      <c r="F59" s="6">
        <v>1</v>
      </c>
      <c r="G59" s="6" t="s">
        <v>36</v>
      </c>
      <c r="H59" s="6" t="s">
        <v>36</v>
      </c>
    </row>
    <row r="60" spans="1:9" x14ac:dyDescent="0.25">
      <c r="A60" s="6" t="s">
        <v>156</v>
      </c>
      <c r="B60" s="7" t="s">
        <v>598</v>
      </c>
      <c r="C60" s="6"/>
      <c r="D60" s="6"/>
      <c r="E60" s="6"/>
      <c r="F60" s="6">
        <v>1</v>
      </c>
      <c r="G60" s="6" t="s">
        <v>8</v>
      </c>
      <c r="H60" s="6">
        <v>1</v>
      </c>
      <c r="I60" s="6"/>
    </row>
    <row r="61" spans="1:9" x14ac:dyDescent="0.25">
      <c r="A61" s="6" t="s">
        <v>156</v>
      </c>
      <c r="B61" s="7" t="s">
        <v>599</v>
      </c>
      <c r="C61" s="6"/>
      <c r="D61" s="6"/>
      <c r="E61" s="6"/>
      <c r="F61" s="6">
        <v>1</v>
      </c>
      <c r="G61" s="6" t="s">
        <v>8</v>
      </c>
      <c r="H61" s="6">
        <v>1</v>
      </c>
    </row>
    <row r="62" spans="1:9" x14ac:dyDescent="0.25">
      <c r="A62" s="6" t="s">
        <v>156</v>
      </c>
      <c r="B62" s="7" t="s">
        <v>600</v>
      </c>
      <c r="C62" s="6"/>
      <c r="D62" s="6"/>
      <c r="E62" s="6"/>
      <c r="F62" s="6">
        <v>1</v>
      </c>
      <c r="G62" s="6" t="s">
        <v>8</v>
      </c>
      <c r="H62" s="6">
        <v>1</v>
      </c>
    </row>
    <row r="63" spans="1:9" x14ac:dyDescent="0.25">
      <c r="A63" s="6" t="s">
        <v>156</v>
      </c>
      <c r="B63" s="7" t="s">
        <v>601</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B80" workbookViewId="0">
      <selection activeCell="B90" sqref="B90"/>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26" t="s">
        <v>230</v>
      </c>
      <c r="U3" s="26"/>
      <c r="V3" s="26"/>
      <c r="W3" s="26"/>
      <c r="X3" s="26"/>
      <c r="Y3" s="26"/>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row>
    <row r="30" spans="1:18" x14ac:dyDescent="0.25">
      <c r="A30" s="6" t="s">
        <v>381</v>
      </c>
      <c r="B30" s="7" t="s">
        <v>423</v>
      </c>
      <c r="C30" s="6"/>
      <c r="D30" s="6"/>
      <c r="E30" s="6"/>
      <c r="F30" s="6">
        <v>2</v>
      </c>
      <c r="G30" s="6" t="s">
        <v>9</v>
      </c>
      <c r="H30" s="6">
        <v>1</v>
      </c>
      <c r="J30" t="s">
        <v>677</v>
      </c>
      <c r="K30" t="s">
        <v>287</v>
      </c>
      <c r="L30" t="s">
        <v>467</v>
      </c>
      <c r="O30">
        <v>1</v>
      </c>
      <c r="P30" t="s">
        <v>280</v>
      </c>
    </row>
    <row r="31" spans="1:18" x14ac:dyDescent="0.25">
      <c r="A31" s="6" t="s">
        <v>381</v>
      </c>
      <c r="B31" s="7" t="s">
        <v>424</v>
      </c>
      <c r="C31" s="6"/>
      <c r="D31" s="6" t="s">
        <v>354</v>
      </c>
      <c r="E31" s="6"/>
      <c r="F31" s="6">
        <v>2</v>
      </c>
      <c r="G31" s="6" t="s">
        <v>9</v>
      </c>
      <c r="H31" s="6">
        <v>1</v>
      </c>
      <c r="J31" t="s">
        <v>678</v>
      </c>
      <c r="K31" t="s">
        <v>326</v>
      </c>
      <c r="O31">
        <v>1</v>
      </c>
      <c r="P31" t="s">
        <v>352</v>
      </c>
    </row>
    <row r="32" spans="1:18" x14ac:dyDescent="0.25">
      <c r="A32" s="6" t="s">
        <v>381</v>
      </c>
      <c r="B32" s="7" t="s">
        <v>425</v>
      </c>
      <c r="C32" s="6"/>
      <c r="D32" s="6"/>
      <c r="E32" s="6"/>
      <c r="F32" s="6">
        <v>2</v>
      </c>
      <c r="G32" s="6" t="s">
        <v>9</v>
      </c>
      <c r="H32" s="6">
        <v>1</v>
      </c>
      <c r="J32" t="s">
        <v>678</v>
      </c>
      <c r="K32" t="s">
        <v>327</v>
      </c>
      <c r="O32">
        <v>1</v>
      </c>
      <c r="P32" t="s">
        <v>352</v>
      </c>
    </row>
    <row r="33" spans="1:16" x14ac:dyDescent="0.25">
      <c r="A33" s="6" t="s">
        <v>100</v>
      </c>
      <c r="B33" s="7" t="s">
        <v>360</v>
      </c>
      <c r="C33" s="6"/>
      <c r="D33" s="6" t="s">
        <v>354</v>
      </c>
      <c r="E33" s="6"/>
      <c r="F33" s="6">
        <v>3</v>
      </c>
      <c r="G33" s="6" t="s">
        <v>10</v>
      </c>
      <c r="H33" s="6">
        <v>1</v>
      </c>
      <c r="J33" t="s">
        <v>678</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6" x14ac:dyDescent="0.25">
      <c r="A41" s="6" t="s">
        <v>362</v>
      </c>
      <c r="B41" s="7" t="s">
        <v>363</v>
      </c>
      <c r="C41" s="6"/>
      <c r="D41" s="6" t="s">
        <v>354</v>
      </c>
      <c r="E41" s="6">
        <v>58115</v>
      </c>
      <c r="F41" s="6">
        <v>1</v>
      </c>
      <c r="G41" s="6" t="s">
        <v>10</v>
      </c>
      <c r="H41" s="6">
        <v>1</v>
      </c>
      <c r="J41" t="s">
        <v>680</v>
      </c>
      <c r="K41" t="s">
        <v>681</v>
      </c>
      <c r="M41" t="s">
        <v>682</v>
      </c>
      <c r="O41">
        <v>4</v>
      </c>
      <c r="P41" t="s">
        <v>367</v>
      </c>
    </row>
    <row r="42" spans="1:16" x14ac:dyDescent="0.25">
      <c r="A42" s="6" t="s">
        <v>83</v>
      </c>
      <c r="B42" s="7" t="s">
        <v>363</v>
      </c>
      <c r="C42" s="6"/>
      <c r="D42" s="6" t="s">
        <v>354</v>
      </c>
      <c r="E42" s="6">
        <v>114947</v>
      </c>
      <c r="F42" s="6">
        <v>1</v>
      </c>
      <c r="G42" s="6" t="s">
        <v>10</v>
      </c>
      <c r="H42" s="6">
        <v>1</v>
      </c>
      <c r="J42" t="s">
        <v>680</v>
      </c>
      <c r="K42" t="s">
        <v>683</v>
      </c>
      <c r="M42" t="s">
        <v>684</v>
      </c>
      <c r="O42">
        <v>1</v>
      </c>
      <c r="P42" t="s">
        <v>367</v>
      </c>
    </row>
    <row r="43" spans="1:16" x14ac:dyDescent="0.25">
      <c r="A43" s="6" t="s">
        <v>242</v>
      </c>
      <c r="B43" s="7"/>
      <c r="C43" s="6"/>
      <c r="D43" s="6" t="s">
        <v>354</v>
      </c>
      <c r="E43" s="6"/>
      <c r="F43" s="6">
        <v>2</v>
      </c>
      <c r="G43" s="6" t="s">
        <v>10</v>
      </c>
      <c r="H43" s="6">
        <v>1</v>
      </c>
      <c r="J43" t="s">
        <v>685</v>
      </c>
      <c r="K43" t="s">
        <v>369</v>
      </c>
      <c r="O43">
        <v>12</v>
      </c>
      <c r="P43" t="s">
        <v>368</v>
      </c>
    </row>
    <row r="44" spans="1:16" x14ac:dyDescent="0.25">
      <c r="A44" s="6" t="s">
        <v>242</v>
      </c>
      <c r="B44" s="7"/>
      <c r="C44" s="6"/>
      <c r="D44" s="6" t="s">
        <v>356</v>
      </c>
      <c r="E44" s="6"/>
      <c r="F44" s="6">
        <v>2</v>
      </c>
      <c r="G44" s="6" t="s">
        <v>10</v>
      </c>
      <c r="H44" s="6">
        <v>1</v>
      </c>
      <c r="J44" t="s">
        <v>685</v>
      </c>
      <c r="K44" t="s">
        <v>371</v>
      </c>
      <c r="O44">
        <v>11</v>
      </c>
      <c r="P44" t="s">
        <v>370</v>
      </c>
    </row>
    <row r="45" spans="1:16" x14ac:dyDescent="0.25">
      <c r="A45" s="6" t="s">
        <v>242</v>
      </c>
      <c r="B45" s="7"/>
      <c r="C45" s="6"/>
      <c r="D45" s="6"/>
      <c r="E45" s="6"/>
      <c r="F45" s="6">
        <v>1</v>
      </c>
      <c r="G45" s="6" t="s">
        <v>10</v>
      </c>
      <c r="H45" s="6">
        <v>1</v>
      </c>
      <c r="J45" t="s">
        <v>685</v>
      </c>
      <c r="K45" t="s">
        <v>372</v>
      </c>
      <c r="O45">
        <v>5</v>
      </c>
      <c r="P45" t="s">
        <v>370</v>
      </c>
    </row>
    <row r="46" spans="1:16" ht="30" x14ac:dyDescent="0.25">
      <c r="A46" s="6" t="s">
        <v>80</v>
      </c>
      <c r="B46" s="7" t="s">
        <v>366</v>
      </c>
      <c r="C46" s="6"/>
      <c r="D46" s="6" t="s">
        <v>354</v>
      </c>
      <c r="E46" s="6">
        <v>122054</v>
      </c>
      <c r="F46" s="6">
        <v>1</v>
      </c>
      <c r="G46" s="6" t="s">
        <v>10</v>
      </c>
      <c r="H46" s="6">
        <v>1</v>
      </c>
      <c r="J46" t="s">
        <v>685</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151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644</v>
      </c>
      <c r="D80" s="6"/>
      <c r="E80" s="6"/>
      <c r="F80" s="6">
        <v>2</v>
      </c>
      <c r="G80" s="6" t="s">
        <v>5</v>
      </c>
      <c r="H80" s="6">
        <v>1</v>
      </c>
    </row>
    <row r="81" spans="1:8" x14ac:dyDescent="0.25">
      <c r="A81" s="6" t="s">
        <v>160</v>
      </c>
      <c r="B81" s="7" t="s">
        <v>164</v>
      </c>
      <c r="C81" s="6" t="s">
        <v>644</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A112:A117 A119:A128 A130:A133 A1 A3:A5 A7:A23 A25:A35 A37 A39:A50 A53:A55 A57:A58 A60 A63:A64 A66:A67 J4 J6 J9:J30 J35:J36 J43:J55 A71:A108 J62:J75"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C136</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E1C5A657-D5F0-41F9-BB86-D26E3CE744AC}">
          <x14:formula1>
            <xm:f>Configuracion!$A:$A</xm:f>
          </x14:formula1>
          <xm:sqref>J61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26" t="s">
        <v>230</v>
      </c>
      <c r="U3" s="26"/>
      <c r="V3" s="26"/>
      <c r="W3" s="26"/>
      <c r="X3" s="26"/>
      <c r="Y3" s="26"/>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26" t="s">
        <v>230</v>
      </c>
      <c r="U3" s="26"/>
      <c r="V3" s="26"/>
      <c r="W3" s="26"/>
      <c r="X3" s="26"/>
      <c r="Y3" s="26"/>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B12" sqref="B1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26" t="s">
        <v>230</v>
      </c>
      <c r="U3" s="26"/>
      <c r="V3" s="26"/>
      <c r="W3" s="26"/>
      <c r="X3" s="26"/>
      <c r="Y3" s="26"/>
    </row>
    <row r="4" spans="1:28" x14ac:dyDescent="0.25">
      <c r="A4" s="6" t="s">
        <v>307</v>
      </c>
      <c r="B4" s="7" t="s">
        <v>310</v>
      </c>
      <c r="C4" s="6"/>
      <c r="D4" s="6" t="s">
        <v>311</v>
      </c>
      <c r="E4" s="6"/>
      <c r="F4" s="6">
        <v>1</v>
      </c>
      <c r="G4" s="6" t="s">
        <v>6</v>
      </c>
      <c r="H4" s="6">
        <v>1</v>
      </c>
      <c r="R4" t="s">
        <v>687</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M1" workbookViewId="0">
      <pane ySplit="1" topLeftCell="A5" activePane="bottomLeft" state="frozen"/>
      <selection pane="bottomLeft" activeCell="T11" sqref="T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688</v>
      </c>
      <c r="R3" t="s">
        <v>689</v>
      </c>
      <c r="T3" t="s">
        <v>28</v>
      </c>
      <c r="V3" s="26" t="s">
        <v>230</v>
      </c>
      <c r="W3" s="26"/>
      <c r="X3" s="26"/>
      <c r="Y3" s="26"/>
      <c r="Z3" s="26"/>
      <c r="AA3" s="26"/>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690</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468</v>
      </c>
      <c r="K25" t="s">
        <v>468</v>
      </c>
      <c r="O25">
        <v>1</v>
      </c>
      <c r="P25" t="s">
        <v>906</v>
      </c>
    </row>
    <row r="26" spans="1:16" x14ac:dyDescent="0.25">
      <c r="A26" s="6" t="s">
        <v>88</v>
      </c>
      <c r="B26" s="7" t="s">
        <v>516</v>
      </c>
      <c r="C26" s="6"/>
      <c r="D26" s="6"/>
      <c r="E26" s="6"/>
      <c r="F26" s="6">
        <v>2</v>
      </c>
      <c r="G26" s="6" t="s">
        <v>8</v>
      </c>
      <c r="H26" s="6">
        <v>1</v>
      </c>
      <c r="J26" t="s">
        <v>907</v>
      </c>
      <c r="K26" t="s">
        <v>907</v>
      </c>
      <c r="L26" t="s">
        <v>800</v>
      </c>
      <c r="O26">
        <v>1</v>
      </c>
      <c r="P26" t="s">
        <v>906</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6"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A35:A99 A1:A21 A23:A33 J10:J24 J26:J1048576" xr:uid="{6B216254-A207-423E-A421-6CE68F439DDA}">
      <formula1>categorias</formula1>
    </dataValidation>
    <dataValidation type="list" allowBlank="1" showInputMessage="1" showErrorMessage="1" sqref="L4:L26"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692</v>
      </c>
      <c r="C2" s="6" t="s">
        <v>38</v>
      </c>
      <c r="D2" s="6"/>
      <c r="E2" s="6"/>
      <c r="F2" s="6">
        <v>1</v>
      </c>
      <c r="G2" s="13" t="s">
        <v>693</v>
      </c>
      <c r="H2" s="13" t="s">
        <v>473</v>
      </c>
    </row>
    <row r="3" spans="1:27" x14ac:dyDescent="0.25">
      <c r="A3" s="6" t="s">
        <v>154</v>
      </c>
      <c r="B3" s="7" t="s">
        <v>155</v>
      </c>
      <c r="C3" s="6"/>
      <c r="D3" s="6"/>
      <c r="E3" s="6"/>
      <c r="F3" s="6">
        <v>1</v>
      </c>
      <c r="G3" s="13" t="s">
        <v>693</v>
      </c>
      <c r="H3" s="13" t="s">
        <v>473</v>
      </c>
      <c r="J3" t="s">
        <v>0</v>
      </c>
      <c r="K3" t="s">
        <v>1</v>
      </c>
      <c r="L3" t="s">
        <v>2</v>
      </c>
      <c r="M3" s="4" t="s">
        <v>3</v>
      </c>
      <c r="N3" s="4" t="s">
        <v>4</v>
      </c>
      <c r="O3" s="4" t="s">
        <v>240</v>
      </c>
      <c r="P3" t="s">
        <v>14</v>
      </c>
      <c r="T3" t="s">
        <v>28</v>
      </c>
      <c r="V3" s="26" t="s">
        <v>230</v>
      </c>
      <c r="W3" s="26"/>
      <c r="X3" s="26"/>
      <c r="Y3" s="26"/>
      <c r="Z3" s="26"/>
      <c r="AA3" s="26"/>
    </row>
    <row r="4" spans="1:27" x14ac:dyDescent="0.25">
      <c r="A4" s="6" t="s">
        <v>253</v>
      </c>
      <c r="B4" s="7"/>
      <c r="C4" s="6"/>
      <c r="D4" s="6"/>
      <c r="E4" s="6"/>
      <c r="F4" s="6">
        <v>3</v>
      </c>
      <c r="G4" s="13"/>
      <c r="H4" s="13"/>
      <c r="V4" t="s">
        <v>693</v>
      </c>
      <c r="W4" t="s">
        <v>235</v>
      </c>
      <c r="X4" t="s">
        <v>8</v>
      </c>
      <c r="Y4" t="s">
        <v>5</v>
      </c>
    </row>
    <row r="5" spans="1:27" x14ac:dyDescent="0.25">
      <c r="A5" s="6" t="s">
        <v>210</v>
      </c>
      <c r="B5" s="7">
        <v>2012</v>
      </c>
      <c r="C5" s="6"/>
      <c r="D5" s="6"/>
      <c r="E5" s="6"/>
      <c r="F5" s="6">
        <v>1</v>
      </c>
      <c r="G5" s="13"/>
      <c r="H5" s="13"/>
      <c r="V5" t="s">
        <v>693</v>
      </c>
    </row>
    <row r="6" spans="1:27" x14ac:dyDescent="0.25">
      <c r="A6" s="6" t="s">
        <v>212</v>
      </c>
      <c r="B6" s="7"/>
      <c r="C6" s="6" t="s">
        <v>461</v>
      </c>
      <c r="D6" s="6" t="s">
        <v>694</v>
      </c>
      <c r="E6" s="6"/>
      <c r="F6" s="6">
        <v>1</v>
      </c>
      <c r="G6" s="13"/>
      <c r="H6" s="13"/>
    </row>
    <row r="7" spans="1:27" x14ac:dyDescent="0.25">
      <c r="A7" s="6" t="s">
        <v>590</v>
      </c>
      <c r="B7" s="7"/>
      <c r="C7" s="6"/>
      <c r="D7" s="6" t="s">
        <v>695</v>
      </c>
      <c r="E7" s="6"/>
      <c r="F7" s="6">
        <v>1</v>
      </c>
      <c r="G7" s="13"/>
      <c r="H7" s="13"/>
    </row>
    <row r="8" spans="1:27" x14ac:dyDescent="0.25">
      <c r="A8" s="6" t="s">
        <v>696</v>
      </c>
      <c r="B8" s="7"/>
      <c r="C8" s="6"/>
      <c r="D8" s="6" t="s">
        <v>697</v>
      </c>
      <c r="E8" s="6" t="s">
        <v>698</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699</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700</v>
      </c>
      <c r="C13" s="6"/>
      <c r="D13" s="6"/>
      <c r="E13" s="6"/>
      <c r="F13" s="6">
        <v>1</v>
      </c>
      <c r="G13" s="13"/>
      <c r="H13" s="13"/>
    </row>
    <row r="14" spans="1:27" x14ac:dyDescent="0.25">
      <c r="A14" s="6" t="s">
        <v>156</v>
      </c>
      <c r="B14" s="7" t="s">
        <v>701</v>
      </c>
      <c r="C14" s="6"/>
      <c r="D14" s="6"/>
      <c r="E14" s="6"/>
      <c r="F14" s="6">
        <v>1</v>
      </c>
      <c r="G14" s="13"/>
      <c r="H14" s="13"/>
    </row>
    <row r="15" spans="1:27" x14ac:dyDescent="0.25">
      <c r="A15" s="6" t="s">
        <v>156</v>
      </c>
      <c r="B15" s="7" t="s">
        <v>702</v>
      </c>
      <c r="C15" s="6"/>
      <c r="D15" s="6"/>
      <c r="E15" s="6"/>
      <c r="F15" s="6">
        <v>1</v>
      </c>
      <c r="G15" s="13"/>
      <c r="H15" s="13"/>
    </row>
    <row r="16" spans="1:27" x14ac:dyDescent="0.25">
      <c r="A16" s="6" t="s">
        <v>156</v>
      </c>
      <c r="B16" s="7" t="s">
        <v>703</v>
      </c>
      <c r="C16" s="6"/>
      <c r="D16" s="6"/>
      <c r="E16" s="6"/>
      <c r="F16" s="6">
        <v>1</v>
      </c>
      <c r="G16" s="13"/>
      <c r="H16" s="13"/>
    </row>
    <row r="17" spans="1:8" x14ac:dyDescent="0.25">
      <c r="A17" s="6" t="s">
        <v>156</v>
      </c>
      <c r="B17" s="7" t="s">
        <v>704</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705</v>
      </c>
      <c r="B23" s="12" t="s">
        <v>817</v>
      </c>
      <c r="C23" s="13"/>
      <c r="D23" s="13"/>
      <c r="E23" s="13"/>
      <c r="F23" s="13">
        <v>4</v>
      </c>
      <c r="G23" s="13"/>
      <c r="H23" s="13"/>
    </row>
    <row r="24" spans="1:8" x14ac:dyDescent="0.25">
      <c r="A24" s="6" t="s">
        <v>706</v>
      </c>
      <c r="B24" s="7"/>
      <c r="C24" s="6"/>
      <c r="D24" s="6"/>
      <c r="E24" s="6"/>
      <c r="F24" s="6">
        <v>1</v>
      </c>
      <c r="G24" s="13"/>
      <c r="H24" s="13"/>
    </row>
    <row r="25" spans="1:8" x14ac:dyDescent="0.25">
      <c r="A25" s="6" t="s">
        <v>395</v>
      </c>
      <c r="B25" s="7"/>
      <c r="C25" s="6" t="s">
        <v>693</v>
      </c>
      <c r="D25" s="6"/>
      <c r="E25" s="6"/>
      <c r="F25" s="6">
        <v>6</v>
      </c>
      <c r="G25" s="13"/>
      <c r="H25" s="13"/>
    </row>
    <row r="26" spans="1:8" x14ac:dyDescent="0.25">
      <c r="A26" s="6" t="s">
        <v>505</v>
      </c>
      <c r="B26" s="7"/>
      <c r="C26" s="6"/>
      <c r="D26" s="6"/>
      <c r="E26" s="6"/>
      <c r="F26" s="6">
        <v>2</v>
      </c>
      <c r="G26" s="13"/>
      <c r="H26" s="13"/>
    </row>
    <row r="27" spans="1:8" ht="30" x14ac:dyDescent="0.25">
      <c r="A27" s="13" t="s">
        <v>90</v>
      </c>
      <c r="B27" s="12" t="s">
        <v>818</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819</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707</v>
      </c>
      <c r="C31" s="6" t="s">
        <v>225</v>
      </c>
      <c r="D31" s="6"/>
      <c r="E31" s="6"/>
      <c r="F31" s="6">
        <v>1</v>
      </c>
      <c r="G31" s="13"/>
      <c r="H31" s="13"/>
    </row>
    <row r="32" spans="1:8" x14ac:dyDescent="0.25">
      <c r="A32" s="13" t="s">
        <v>131</v>
      </c>
      <c r="B32" s="12"/>
      <c r="C32" s="13"/>
      <c r="D32" s="13" t="s">
        <v>800</v>
      </c>
      <c r="E32" s="13" t="s">
        <v>800</v>
      </c>
      <c r="F32" s="13">
        <v>1</v>
      </c>
      <c r="G32" s="13"/>
      <c r="H32" s="13"/>
    </row>
    <row r="33" spans="1:8" x14ac:dyDescent="0.25">
      <c r="A33" s="6" t="s">
        <v>258</v>
      </c>
      <c r="B33" s="7" t="s">
        <v>708</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693</v>
      </c>
      <c r="H2" s="13" t="s">
        <v>693</v>
      </c>
    </row>
    <row r="3" spans="1:27" x14ac:dyDescent="0.25">
      <c r="A3" s="6" t="s">
        <v>709</v>
      </c>
      <c r="B3" s="7"/>
      <c r="C3" s="6"/>
      <c r="D3" s="13" t="s">
        <v>800</v>
      </c>
      <c r="E3" s="13" t="s">
        <v>800</v>
      </c>
      <c r="F3" s="6">
        <v>1</v>
      </c>
      <c r="G3" s="13" t="s">
        <v>693</v>
      </c>
      <c r="H3" s="13" t="s">
        <v>693</v>
      </c>
      <c r="J3" t="s">
        <v>0</v>
      </c>
      <c r="K3" t="s">
        <v>1</v>
      </c>
      <c r="L3" t="s">
        <v>2</v>
      </c>
      <c r="M3" s="4" t="s">
        <v>3</v>
      </c>
      <c r="N3" s="4" t="s">
        <v>4</v>
      </c>
      <c r="O3" s="4" t="s">
        <v>240</v>
      </c>
      <c r="P3" t="s">
        <v>14</v>
      </c>
      <c r="T3" t="s">
        <v>28</v>
      </c>
      <c r="V3" s="26" t="s">
        <v>230</v>
      </c>
      <c r="W3" s="26"/>
      <c r="X3" s="26"/>
      <c r="Y3" s="26"/>
      <c r="Z3" s="26"/>
      <c r="AA3" s="26"/>
    </row>
    <row r="4" spans="1:27" x14ac:dyDescent="0.25">
      <c r="A4" s="6" t="s">
        <v>258</v>
      </c>
      <c r="B4" s="7" t="s">
        <v>710</v>
      </c>
      <c r="C4" s="6"/>
      <c r="D4" s="6"/>
      <c r="E4" s="6"/>
      <c r="F4" s="6">
        <v>1</v>
      </c>
      <c r="G4" s="13" t="s">
        <v>693</v>
      </c>
      <c r="H4" s="13" t="s">
        <v>693</v>
      </c>
      <c r="J4" t="s">
        <v>468</v>
      </c>
      <c r="K4" t="s">
        <v>478</v>
      </c>
      <c r="O4">
        <v>1</v>
      </c>
      <c r="P4" t="s">
        <v>476</v>
      </c>
      <c r="V4" t="s">
        <v>693</v>
      </c>
      <c r="W4" t="s">
        <v>235</v>
      </c>
      <c r="X4" t="s">
        <v>8</v>
      </c>
      <c r="Y4" t="s">
        <v>5</v>
      </c>
    </row>
    <row r="5" spans="1:27" x14ac:dyDescent="0.25">
      <c r="A5" s="6" t="s">
        <v>139</v>
      </c>
      <c r="B5" s="7"/>
      <c r="C5" s="6"/>
      <c r="D5" s="6"/>
      <c r="E5" s="6"/>
      <c r="F5" s="6">
        <v>1</v>
      </c>
      <c r="G5" s="13" t="s">
        <v>693</v>
      </c>
      <c r="H5" s="13" t="s">
        <v>693</v>
      </c>
      <c r="V5" t="s">
        <v>693</v>
      </c>
    </row>
    <row r="6" spans="1:27" x14ac:dyDescent="0.25">
      <c r="A6" s="6" t="s">
        <v>53</v>
      </c>
      <c r="B6" s="7"/>
      <c r="C6" s="6"/>
      <c r="D6" s="6"/>
      <c r="E6" s="6"/>
      <c r="F6" s="6">
        <v>4</v>
      </c>
      <c r="G6" s="13" t="s">
        <v>693</v>
      </c>
      <c r="H6" s="13" t="s">
        <v>693</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opLeftCell="A70" workbookViewId="0">
      <selection activeCell="A80" sqref="A8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732</v>
      </c>
      <c r="B2" s="15" t="s">
        <v>730</v>
      </c>
      <c r="C2" s="4" t="s">
        <v>733</v>
      </c>
      <c r="D2" s="6"/>
      <c r="E2" s="6"/>
      <c r="F2" s="15">
        <v>1</v>
      </c>
      <c r="G2" s="6"/>
      <c r="H2" s="6"/>
    </row>
    <row r="3" spans="1:27" x14ac:dyDescent="0.25">
      <c r="A3" s="15" t="s">
        <v>732</v>
      </c>
      <c r="B3" s="15" t="s">
        <v>730</v>
      </c>
      <c r="C3" s="4" t="s">
        <v>734</v>
      </c>
      <c r="D3" s="6"/>
      <c r="E3" s="6"/>
      <c r="F3" s="15">
        <v>1</v>
      </c>
      <c r="G3" s="6"/>
      <c r="H3" s="6"/>
      <c r="J3" t="s">
        <v>0</v>
      </c>
      <c r="K3" t="s">
        <v>1</v>
      </c>
      <c r="L3" t="s">
        <v>2</v>
      </c>
      <c r="M3" s="4" t="s">
        <v>3</v>
      </c>
      <c r="N3" s="4" t="s">
        <v>4</v>
      </c>
      <c r="O3" s="4" t="s">
        <v>240</v>
      </c>
      <c r="P3" t="s">
        <v>14</v>
      </c>
      <c r="T3" t="s">
        <v>28</v>
      </c>
      <c r="V3" s="26" t="s">
        <v>230</v>
      </c>
      <c r="W3" s="26"/>
      <c r="X3" s="26"/>
      <c r="Y3" s="26"/>
      <c r="Z3" s="26"/>
      <c r="AA3" s="26"/>
    </row>
    <row r="4" spans="1:27" x14ac:dyDescent="0.25">
      <c r="A4" s="15" t="s">
        <v>732</v>
      </c>
      <c r="B4" s="15" t="s">
        <v>731</v>
      </c>
      <c r="C4" s="4" t="s">
        <v>734</v>
      </c>
      <c r="D4" s="6"/>
      <c r="E4" s="6"/>
      <c r="F4" s="15">
        <v>2</v>
      </c>
      <c r="G4" s="6"/>
      <c r="H4" s="6"/>
      <c r="V4" t="s">
        <v>693</v>
      </c>
      <c r="W4" t="s">
        <v>235</v>
      </c>
      <c r="X4" t="s">
        <v>8</v>
      </c>
      <c r="Y4" t="s">
        <v>5</v>
      </c>
    </row>
    <row r="5" spans="1:27" x14ac:dyDescent="0.25">
      <c r="A5" s="15" t="s">
        <v>732</v>
      </c>
      <c r="B5" s="15" t="s">
        <v>731</v>
      </c>
      <c r="C5" s="4" t="s">
        <v>734</v>
      </c>
      <c r="D5" s="6"/>
      <c r="E5" s="6"/>
      <c r="F5" s="15">
        <v>3</v>
      </c>
      <c r="G5" s="6"/>
      <c r="H5" s="6"/>
    </row>
    <row r="6" spans="1:27" x14ac:dyDescent="0.25">
      <c r="A6" s="15" t="s">
        <v>732</v>
      </c>
      <c r="B6" s="15" t="s">
        <v>247</v>
      </c>
      <c r="C6" t="s">
        <v>63</v>
      </c>
      <c r="D6" s="6"/>
      <c r="E6" s="6"/>
      <c r="F6" s="15">
        <v>5</v>
      </c>
      <c r="G6" s="6"/>
      <c r="H6" s="6"/>
    </row>
    <row r="7" spans="1:27" x14ac:dyDescent="0.25">
      <c r="A7" s="15" t="s">
        <v>732</v>
      </c>
      <c r="B7" s="15" t="s">
        <v>737</v>
      </c>
      <c r="C7" s="4" t="s">
        <v>736</v>
      </c>
      <c r="D7" s="6"/>
      <c r="E7" s="6"/>
      <c r="F7" s="15">
        <v>4</v>
      </c>
      <c r="G7" s="6"/>
      <c r="H7" s="6"/>
    </row>
    <row r="8" spans="1:27" x14ac:dyDescent="0.25">
      <c r="A8" s="15" t="s">
        <v>732</v>
      </c>
      <c r="B8" s="15"/>
      <c r="C8" s="4" t="s">
        <v>33</v>
      </c>
      <c r="D8" s="6"/>
      <c r="E8" s="6"/>
      <c r="F8" s="15">
        <v>9</v>
      </c>
      <c r="G8" s="6"/>
      <c r="H8" s="6"/>
    </row>
    <row r="9" spans="1:27" x14ac:dyDescent="0.25">
      <c r="A9" s="15" t="s">
        <v>732</v>
      </c>
      <c r="B9" s="15"/>
      <c r="C9" s="4" t="s">
        <v>52</v>
      </c>
      <c r="D9" s="6"/>
      <c r="E9" s="6"/>
      <c r="F9" s="15">
        <v>12</v>
      </c>
      <c r="G9" s="6"/>
      <c r="H9" s="6"/>
    </row>
    <row r="10" spans="1:27" x14ac:dyDescent="0.25">
      <c r="A10" s="15" t="s">
        <v>732</v>
      </c>
      <c r="B10" s="15" t="s">
        <v>68</v>
      </c>
      <c r="C10" s="4" t="s">
        <v>63</v>
      </c>
      <c r="D10" s="6"/>
      <c r="E10" s="6"/>
      <c r="F10" s="15">
        <v>5</v>
      </c>
      <c r="G10" s="6"/>
      <c r="H10" s="6"/>
    </row>
    <row r="11" spans="1:27" x14ac:dyDescent="0.25">
      <c r="A11" s="15" t="s">
        <v>732</v>
      </c>
      <c r="B11" s="15"/>
      <c r="C11" s="4" t="s">
        <v>72</v>
      </c>
      <c r="D11" s="6"/>
      <c r="E11" s="6"/>
      <c r="F11" s="15">
        <v>6</v>
      </c>
      <c r="G11" s="6"/>
      <c r="H11" s="6"/>
    </row>
    <row r="12" spans="1:27" x14ac:dyDescent="0.25">
      <c r="A12" s="15" t="s">
        <v>732</v>
      </c>
      <c r="B12" s="15" t="s">
        <v>68</v>
      </c>
      <c r="C12" s="4" t="s">
        <v>735</v>
      </c>
      <c r="D12" s="6"/>
      <c r="E12" s="6"/>
      <c r="F12" s="15">
        <v>2</v>
      </c>
      <c r="G12" s="6"/>
      <c r="H12" s="6"/>
    </row>
    <row r="13" spans="1:27" x14ac:dyDescent="0.25">
      <c r="A13" s="15" t="s">
        <v>732</v>
      </c>
      <c r="B13" s="15" t="s">
        <v>247</v>
      </c>
      <c r="C13" s="4" t="s">
        <v>735</v>
      </c>
      <c r="D13" s="6"/>
      <c r="E13" s="6"/>
      <c r="F13" s="15">
        <v>1</v>
      </c>
      <c r="G13" s="6"/>
      <c r="H13" s="6"/>
    </row>
    <row r="14" spans="1:27" x14ac:dyDescent="0.25">
      <c r="A14" s="15" t="s">
        <v>732</v>
      </c>
      <c r="B14" s="15" t="s">
        <v>247</v>
      </c>
      <c r="C14" s="4" t="s">
        <v>736</v>
      </c>
      <c r="D14" s="6"/>
      <c r="E14" s="6"/>
      <c r="F14" s="15">
        <v>2</v>
      </c>
      <c r="G14" s="6"/>
      <c r="H14" s="6"/>
    </row>
    <row r="15" spans="1:27" x14ac:dyDescent="0.25">
      <c r="A15" s="15" t="s">
        <v>11</v>
      </c>
      <c r="B15" s="15" t="s">
        <v>739</v>
      </c>
      <c r="C15" s="4" t="s">
        <v>738</v>
      </c>
      <c r="D15" s="6"/>
      <c r="E15" s="6"/>
      <c r="F15" s="15">
        <v>1</v>
      </c>
      <c r="G15" s="6"/>
      <c r="H15" s="6"/>
    </row>
    <row r="16" spans="1:27" x14ac:dyDescent="0.25">
      <c r="A16" s="15" t="s">
        <v>53</v>
      </c>
      <c r="B16" s="15" t="s">
        <v>249</v>
      </c>
      <c r="D16" s="6"/>
      <c r="E16" s="6"/>
      <c r="F16" s="15">
        <v>2</v>
      </c>
      <c r="G16" s="6"/>
      <c r="H16" s="6"/>
    </row>
    <row r="17" spans="1:8" x14ac:dyDescent="0.25">
      <c r="A17" s="15" t="s">
        <v>156</v>
      </c>
      <c r="B17" s="15" t="s">
        <v>711</v>
      </c>
      <c r="D17" s="6"/>
      <c r="E17" s="6"/>
      <c r="F17" s="15">
        <v>2</v>
      </c>
      <c r="G17" s="6"/>
      <c r="H17" s="6"/>
    </row>
    <row r="18" spans="1:8" x14ac:dyDescent="0.25">
      <c r="A18" s="17" t="s">
        <v>92</v>
      </c>
      <c r="B18" s="17" t="s">
        <v>712</v>
      </c>
      <c r="C18" s="18"/>
      <c r="D18" s="13"/>
      <c r="E18" s="13"/>
      <c r="F18" s="17">
        <v>1</v>
      </c>
      <c r="G18" s="6"/>
      <c r="H18" s="6"/>
    </row>
    <row r="19" spans="1:8" x14ac:dyDescent="0.25">
      <c r="A19" t="s">
        <v>713</v>
      </c>
      <c r="B19" s="16"/>
      <c r="D19" s="6"/>
      <c r="E19" s="6"/>
      <c r="F19" s="15">
        <v>1</v>
      </c>
      <c r="G19" s="6"/>
      <c r="H19" s="6"/>
    </row>
    <row r="20" spans="1:8" x14ac:dyDescent="0.25">
      <c r="A20" t="s">
        <v>680</v>
      </c>
      <c r="B20" s="15" t="s">
        <v>714</v>
      </c>
      <c r="D20" s="13" t="s">
        <v>800</v>
      </c>
      <c r="E20" s="13" t="s">
        <v>800</v>
      </c>
      <c r="F20" s="15">
        <v>15</v>
      </c>
      <c r="G20" s="6"/>
      <c r="H20" s="6"/>
    </row>
    <row r="21" spans="1:8" x14ac:dyDescent="0.25">
      <c r="A21" s="19" t="s">
        <v>740</v>
      </c>
      <c r="B21" s="15" t="s">
        <v>715</v>
      </c>
      <c r="D21" s="6"/>
      <c r="E21" s="6"/>
      <c r="F21" s="15">
        <v>5</v>
      </c>
      <c r="G21" s="6"/>
      <c r="H21" s="6"/>
    </row>
    <row r="22" spans="1:8" x14ac:dyDescent="0.25">
      <c r="A22" s="19" t="s">
        <v>740</v>
      </c>
      <c r="B22" s="15" t="s">
        <v>716</v>
      </c>
      <c r="D22" s="6"/>
      <c r="E22" s="6"/>
      <c r="F22" s="15">
        <v>2</v>
      </c>
      <c r="G22" s="6"/>
      <c r="H22" s="6"/>
    </row>
    <row r="23" spans="1:8" x14ac:dyDescent="0.25">
      <c r="A23" t="s">
        <v>146</v>
      </c>
      <c r="B23" s="15" t="s">
        <v>717</v>
      </c>
      <c r="D23" s="6"/>
      <c r="E23" s="6"/>
      <c r="F23" s="15">
        <v>5</v>
      </c>
      <c r="G23" s="6"/>
      <c r="H23" s="6"/>
    </row>
    <row r="24" spans="1:8" x14ac:dyDescent="0.25">
      <c r="A24" t="s">
        <v>491</v>
      </c>
      <c r="B24" s="16"/>
      <c r="D24" s="6"/>
      <c r="E24" s="6"/>
      <c r="F24" s="15">
        <v>7</v>
      </c>
      <c r="G24" s="6"/>
      <c r="H24" s="6"/>
    </row>
    <row r="25" spans="1:8" x14ac:dyDescent="0.25">
      <c r="A25" s="15" t="s">
        <v>111</v>
      </c>
      <c r="B25" s="16" t="s">
        <v>741</v>
      </c>
      <c r="D25" s="6"/>
      <c r="E25" s="6"/>
      <c r="F25" s="15">
        <v>2</v>
      </c>
      <c r="G25" s="6"/>
      <c r="H25" s="6"/>
    </row>
    <row r="26" spans="1:8" x14ac:dyDescent="0.25">
      <c r="A26" s="15" t="s">
        <v>742</v>
      </c>
      <c r="B26" s="15" t="s">
        <v>718</v>
      </c>
      <c r="D26" s="6"/>
      <c r="E26" s="6"/>
      <c r="F26" s="15">
        <v>1</v>
      </c>
      <c r="G26" s="6"/>
      <c r="H26" s="6"/>
    </row>
    <row r="27" spans="1:8" x14ac:dyDescent="0.25">
      <c r="A27" s="15" t="s">
        <v>743</v>
      </c>
      <c r="B27" s="15" t="s">
        <v>719</v>
      </c>
      <c r="D27" s="6"/>
      <c r="E27" s="6"/>
      <c r="F27" s="15">
        <v>2</v>
      </c>
      <c r="G27" s="6"/>
      <c r="H27" s="6"/>
    </row>
    <row r="28" spans="1:8" x14ac:dyDescent="0.25">
      <c r="A28" s="15" t="s">
        <v>156</v>
      </c>
      <c r="B28" s="15" t="s">
        <v>720</v>
      </c>
      <c r="D28" s="6"/>
      <c r="E28" s="6"/>
      <c r="F28" s="15">
        <v>1</v>
      </c>
      <c r="G28" s="6"/>
      <c r="H28" s="6"/>
    </row>
    <row r="29" spans="1:8" x14ac:dyDescent="0.25">
      <c r="A29" s="15" t="s">
        <v>156</v>
      </c>
      <c r="B29" s="15" t="s">
        <v>744</v>
      </c>
      <c r="D29" s="6"/>
      <c r="E29" s="6"/>
      <c r="F29" s="15">
        <v>1</v>
      </c>
      <c r="G29" s="6"/>
      <c r="H29" s="6"/>
    </row>
    <row r="30" spans="1:8" x14ac:dyDescent="0.25">
      <c r="A30" s="15" t="s">
        <v>505</v>
      </c>
      <c r="B30" s="16"/>
      <c r="D30" s="6"/>
      <c r="E30" s="6"/>
      <c r="F30" s="15">
        <v>2</v>
      </c>
      <c r="G30" s="6"/>
      <c r="H30" s="6"/>
    </row>
    <row r="31" spans="1:8" x14ac:dyDescent="0.25">
      <c r="A31" t="s">
        <v>745</v>
      </c>
      <c r="B31" s="16" t="s">
        <v>746</v>
      </c>
      <c r="D31" s="6"/>
      <c r="E31" s="6"/>
      <c r="F31" s="15">
        <v>1</v>
      </c>
      <c r="G31" s="6"/>
      <c r="H31" s="6"/>
    </row>
    <row r="32" spans="1:8" x14ac:dyDescent="0.25">
      <c r="A32" s="15" t="s">
        <v>747</v>
      </c>
      <c r="B32" s="15" t="s">
        <v>721</v>
      </c>
      <c r="C32" s="4" t="s">
        <v>748</v>
      </c>
      <c r="D32" s="6"/>
      <c r="E32" s="6"/>
      <c r="F32" s="15">
        <v>1</v>
      </c>
      <c r="G32" s="6"/>
      <c r="H32" s="6"/>
    </row>
    <row r="33" spans="1:8" x14ac:dyDescent="0.25">
      <c r="A33" s="15" t="s">
        <v>314</v>
      </c>
      <c r="B33" s="15" t="s">
        <v>722</v>
      </c>
      <c r="D33" s="6"/>
      <c r="E33" s="6"/>
      <c r="F33" s="15">
        <v>1</v>
      </c>
      <c r="G33" s="6"/>
      <c r="H33" s="6"/>
    </row>
    <row r="34" spans="1:8" x14ac:dyDescent="0.25">
      <c r="A34" s="15" t="s">
        <v>131</v>
      </c>
      <c r="B34" s="16"/>
      <c r="D34" s="6"/>
      <c r="E34" s="6"/>
      <c r="F34" s="15">
        <v>1</v>
      </c>
      <c r="G34" s="6"/>
      <c r="H34" s="6"/>
    </row>
    <row r="35" spans="1:8" x14ac:dyDescent="0.25">
      <c r="A35" s="15" t="s">
        <v>749</v>
      </c>
      <c r="B35" s="15" t="s">
        <v>723</v>
      </c>
      <c r="D35" s="6"/>
      <c r="E35" s="6"/>
      <c r="F35" s="15">
        <v>2</v>
      </c>
      <c r="G35" s="6"/>
      <c r="H35" s="6"/>
    </row>
    <row r="36" spans="1:8" x14ac:dyDescent="0.25">
      <c r="A36" s="15" t="s">
        <v>116</v>
      </c>
      <c r="B36" s="15" t="s">
        <v>724</v>
      </c>
      <c r="D36" s="6"/>
      <c r="E36" s="6"/>
      <c r="F36" s="15">
        <v>1</v>
      </c>
      <c r="G36" s="6"/>
      <c r="H36" s="6"/>
    </row>
    <row r="37" spans="1:8" x14ac:dyDescent="0.25">
      <c r="A37" s="15" t="s">
        <v>258</v>
      </c>
      <c r="B37" s="15" t="s">
        <v>725</v>
      </c>
      <c r="D37" s="6"/>
      <c r="E37" s="6"/>
      <c r="F37" s="15">
        <v>2</v>
      </c>
      <c r="G37" s="6"/>
      <c r="H37" s="6"/>
    </row>
    <row r="38" spans="1:8" x14ac:dyDescent="0.25">
      <c r="A38" s="15" t="s">
        <v>749</v>
      </c>
      <c r="B38" s="15" t="s">
        <v>726</v>
      </c>
      <c r="D38" s="6"/>
      <c r="E38" s="6"/>
      <c r="F38" s="15">
        <v>2</v>
      </c>
      <c r="G38" s="6"/>
      <c r="H38" s="6"/>
    </row>
    <row r="39" spans="1:8" x14ac:dyDescent="0.25">
      <c r="A39" s="15" t="s">
        <v>749</v>
      </c>
      <c r="B39" s="15" t="s">
        <v>727</v>
      </c>
      <c r="D39" s="6"/>
      <c r="E39" s="6"/>
      <c r="F39" s="15">
        <v>1</v>
      </c>
      <c r="G39" s="6"/>
      <c r="H39" s="6"/>
    </row>
    <row r="40" spans="1:8" x14ac:dyDescent="0.25">
      <c r="A40" s="15" t="s">
        <v>749</v>
      </c>
      <c r="B40" s="15" t="s">
        <v>750</v>
      </c>
      <c r="D40" s="6"/>
      <c r="E40" s="6"/>
      <c r="F40" s="15">
        <v>6</v>
      </c>
      <c r="G40" s="6"/>
      <c r="H40" s="6"/>
    </row>
    <row r="41" spans="1:8" x14ac:dyDescent="0.25">
      <c r="A41" s="15" t="s">
        <v>749</v>
      </c>
      <c r="B41" s="15" t="s">
        <v>751</v>
      </c>
      <c r="D41" s="6"/>
      <c r="E41" s="6"/>
      <c r="F41" s="15">
        <v>3</v>
      </c>
      <c r="G41" s="6"/>
      <c r="H41" s="6"/>
    </row>
    <row r="42" spans="1:8" x14ac:dyDescent="0.25">
      <c r="A42" s="15" t="s">
        <v>749</v>
      </c>
      <c r="B42" s="15" t="s">
        <v>752</v>
      </c>
      <c r="D42" s="6"/>
      <c r="E42" s="6"/>
      <c r="F42" s="15">
        <v>1</v>
      </c>
      <c r="G42" s="6"/>
      <c r="H42" s="6"/>
    </row>
    <row r="43" spans="1:8" x14ac:dyDescent="0.25">
      <c r="A43" s="15" t="s">
        <v>749</v>
      </c>
      <c r="B43" s="15" t="s">
        <v>753</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754</v>
      </c>
      <c r="D46" s="6"/>
      <c r="E46" s="6"/>
      <c r="F46" s="20">
        <v>1</v>
      </c>
      <c r="G46" s="6"/>
      <c r="H46" s="6"/>
    </row>
    <row r="47" spans="1:8" x14ac:dyDescent="0.25">
      <c r="A47" s="15" t="s">
        <v>749</v>
      </c>
      <c r="B47" s="15" t="s">
        <v>755</v>
      </c>
      <c r="D47" s="6"/>
      <c r="E47" s="6"/>
      <c r="F47" s="20">
        <v>1</v>
      </c>
      <c r="G47" s="6"/>
      <c r="H47" s="6"/>
    </row>
    <row r="48" spans="1:8" x14ac:dyDescent="0.25">
      <c r="A48" s="15" t="s">
        <v>765</v>
      </c>
      <c r="B48" s="15" t="s">
        <v>770</v>
      </c>
      <c r="C48" s="4" t="s">
        <v>767</v>
      </c>
      <c r="D48" s="6"/>
      <c r="E48" s="6"/>
      <c r="F48" s="20">
        <v>8</v>
      </c>
      <c r="G48" s="6"/>
      <c r="H48" s="6"/>
    </row>
    <row r="49" spans="1:8" x14ac:dyDescent="0.25">
      <c r="A49" s="15" t="s">
        <v>88</v>
      </c>
      <c r="B49" s="16" t="s">
        <v>771</v>
      </c>
      <c r="D49" s="6"/>
      <c r="E49" s="6"/>
      <c r="F49" s="20">
        <v>3</v>
      </c>
      <c r="G49" s="6"/>
      <c r="H49" s="6"/>
    </row>
    <row r="50" spans="1:8" x14ac:dyDescent="0.25">
      <c r="A50" s="15" t="s">
        <v>88</v>
      </c>
      <c r="B50" s="16" t="s">
        <v>772</v>
      </c>
      <c r="D50" s="6"/>
      <c r="E50" s="6"/>
      <c r="F50" s="20">
        <v>18</v>
      </c>
      <c r="G50" s="6"/>
      <c r="H50" s="6"/>
    </row>
    <row r="51" spans="1:8" x14ac:dyDescent="0.25">
      <c r="A51" s="15" t="s">
        <v>88</v>
      </c>
      <c r="B51" s="16" t="s">
        <v>319</v>
      </c>
      <c r="D51" s="6"/>
      <c r="E51" s="6"/>
      <c r="F51" s="20">
        <v>13</v>
      </c>
      <c r="G51" s="6"/>
      <c r="H51" s="6"/>
    </row>
    <row r="52" spans="1:8" x14ac:dyDescent="0.25">
      <c r="A52" s="15" t="s">
        <v>88</v>
      </c>
      <c r="B52" s="15" t="s">
        <v>773</v>
      </c>
      <c r="D52" s="6"/>
      <c r="E52" s="6"/>
      <c r="F52" s="20">
        <v>3</v>
      </c>
      <c r="G52" s="6"/>
      <c r="H52" s="6"/>
    </row>
    <row r="53" spans="1:8" x14ac:dyDescent="0.25">
      <c r="A53" s="15" t="s">
        <v>765</v>
      </c>
      <c r="B53" s="15"/>
      <c r="C53" s="4" t="s">
        <v>767</v>
      </c>
      <c r="D53" s="6"/>
      <c r="E53" s="6"/>
      <c r="F53" s="20">
        <v>1</v>
      </c>
      <c r="G53" s="6"/>
      <c r="H53" s="6"/>
    </row>
    <row r="54" spans="1:8" x14ac:dyDescent="0.25">
      <c r="A54" s="15" t="s">
        <v>765</v>
      </c>
      <c r="B54" s="15"/>
      <c r="C54" s="4" t="s">
        <v>766</v>
      </c>
      <c r="D54" s="6"/>
      <c r="E54" s="6"/>
      <c r="F54" s="20">
        <v>2</v>
      </c>
      <c r="G54" s="6"/>
      <c r="H54" s="6"/>
    </row>
    <row r="55" spans="1:8" x14ac:dyDescent="0.25">
      <c r="A55" t="s">
        <v>756</v>
      </c>
      <c r="B55" s="16"/>
      <c r="D55" s="6"/>
      <c r="E55" s="6"/>
      <c r="F55" s="20">
        <v>1</v>
      </c>
      <c r="G55" s="6"/>
      <c r="H55" s="6"/>
    </row>
    <row r="56" spans="1:8" x14ac:dyDescent="0.25">
      <c r="A56" s="15" t="s">
        <v>474</v>
      </c>
      <c r="B56" s="16" t="s">
        <v>774</v>
      </c>
      <c r="D56" s="6"/>
      <c r="E56" s="6"/>
      <c r="F56" s="20">
        <v>1</v>
      </c>
      <c r="G56" s="6"/>
      <c r="H56" s="6"/>
    </row>
    <row r="57" spans="1:8" x14ac:dyDescent="0.25">
      <c r="A57" s="15" t="s">
        <v>749</v>
      </c>
      <c r="B57" s="15" t="s">
        <v>757</v>
      </c>
      <c r="D57" s="6"/>
      <c r="E57" s="6"/>
      <c r="F57" s="20">
        <v>1</v>
      </c>
      <c r="G57" s="6"/>
      <c r="H57" s="6"/>
    </row>
    <row r="58" spans="1:8" x14ac:dyDescent="0.25">
      <c r="A58" s="15" t="s">
        <v>749</v>
      </c>
      <c r="B58" s="15" t="s">
        <v>758</v>
      </c>
      <c r="D58" s="6"/>
      <c r="E58" s="6"/>
      <c r="F58" s="20">
        <v>1</v>
      </c>
      <c r="G58" s="6"/>
      <c r="H58" s="6"/>
    </row>
    <row r="59" spans="1:8" x14ac:dyDescent="0.25">
      <c r="A59" s="15" t="s">
        <v>89</v>
      </c>
      <c r="B59" s="15"/>
      <c r="D59" s="6"/>
      <c r="E59" s="6"/>
      <c r="F59" s="20">
        <v>2</v>
      </c>
      <c r="G59" s="6"/>
      <c r="H59" s="6"/>
    </row>
    <row r="60" spans="1:8" x14ac:dyDescent="0.25">
      <c r="A60" t="s">
        <v>320</v>
      </c>
      <c r="B60" s="15" t="s">
        <v>759</v>
      </c>
      <c r="D60" s="6"/>
      <c r="E60" s="6"/>
      <c r="F60" s="20">
        <v>1</v>
      </c>
      <c r="G60" s="6"/>
      <c r="H60" s="6"/>
    </row>
    <row r="61" spans="1:8" x14ac:dyDescent="0.25">
      <c r="A61" s="15" t="s">
        <v>173</v>
      </c>
      <c r="B61" s="16"/>
      <c r="D61" s="6"/>
      <c r="E61" s="6"/>
      <c r="F61" s="20">
        <v>3</v>
      </c>
      <c r="G61" s="6"/>
      <c r="H61" s="6"/>
    </row>
    <row r="62" spans="1:8" x14ac:dyDescent="0.25">
      <c r="A62" s="15" t="s">
        <v>156</v>
      </c>
      <c r="B62" s="15" t="s">
        <v>760</v>
      </c>
      <c r="D62" s="6"/>
      <c r="E62" s="6"/>
      <c r="F62" s="20">
        <v>1</v>
      </c>
      <c r="G62" s="6"/>
      <c r="H62" s="6"/>
    </row>
    <row r="63" spans="1:8" x14ac:dyDescent="0.25">
      <c r="A63" s="15" t="s">
        <v>749</v>
      </c>
      <c r="B63" s="15" t="s">
        <v>761</v>
      </c>
      <c r="D63" s="6"/>
      <c r="E63" s="6"/>
      <c r="F63" s="20">
        <v>11</v>
      </c>
      <c r="G63" s="6"/>
      <c r="H63" s="6"/>
    </row>
    <row r="64" spans="1:8" x14ac:dyDescent="0.25">
      <c r="A64" s="15" t="s">
        <v>749</v>
      </c>
      <c r="B64" s="15" t="s">
        <v>776</v>
      </c>
      <c r="D64" s="6"/>
      <c r="E64" s="6"/>
      <c r="F64" s="20">
        <v>1</v>
      </c>
      <c r="G64" s="6"/>
      <c r="H64" s="6"/>
    </row>
    <row r="65" spans="1:8" x14ac:dyDescent="0.25">
      <c r="A65" s="15" t="s">
        <v>32</v>
      </c>
      <c r="B65" s="16" t="s">
        <v>775</v>
      </c>
      <c r="C65" s="13" t="s">
        <v>693</v>
      </c>
      <c r="D65" s="6"/>
      <c r="E65" s="6"/>
      <c r="F65" s="20">
        <v>1</v>
      </c>
      <c r="G65" s="6"/>
      <c r="H65" s="6"/>
    </row>
    <row r="66" spans="1:8" x14ac:dyDescent="0.25">
      <c r="A66" s="15" t="s">
        <v>59</v>
      </c>
      <c r="B66" s="16" t="s">
        <v>124</v>
      </c>
      <c r="C66" s="13" t="s">
        <v>693</v>
      </c>
      <c r="D66" s="6"/>
      <c r="E66" s="6"/>
      <c r="F66" s="20">
        <v>1</v>
      </c>
      <c r="G66" s="6"/>
      <c r="H66" s="6"/>
    </row>
    <row r="67" spans="1:8" x14ac:dyDescent="0.25">
      <c r="A67" s="15" t="s">
        <v>32</v>
      </c>
      <c r="B67" s="16" t="s">
        <v>777</v>
      </c>
      <c r="C67" s="13" t="s">
        <v>693</v>
      </c>
      <c r="D67" s="6"/>
      <c r="E67" s="6"/>
      <c r="F67" s="20">
        <v>1</v>
      </c>
      <c r="G67" s="6"/>
      <c r="H67" s="6"/>
    </row>
    <row r="68" spans="1:8" x14ac:dyDescent="0.25">
      <c r="A68" s="15" t="s">
        <v>32</v>
      </c>
      <c r="B68" s="16" t="s">
        <v>778</v>
      </c>
      <c r="C68" s="13" t="s">
        <v>693</v>
      </c>
      <c r="D68" s="6"/>
      <c r="E68" s="6"/>
      <c r="F68" s="20">
        <v>2</v>
      </c>
      <c r="G68" s="6"/>
      <c r="H68" s="6"/>
    </row>
    <row r="69" spans="1:8" x14ac:dyDescent="0.25">
      <c r="A69" s="15" t="s">
        <v>765</v>
      </c>
      <c r="B69" s="15" t="s">
        <v>779</v>
      </c>
      <c r="C69" s="4" t="s">
        <v>768</v>
      </c>
      <c r="D69" s="6"/>
      <c r="E69" s="6"/>
      <c r="F69" s="20">
        <v>405</v>
      </c>
      <c r="G69" s="6"/>
      <c r="H69" s="6"/>
    </row>
    <row r="70" spans="1:8" x14ac:dyDescent="0.25">
      <c r="A70" s="15" t="s">
        <v>765</v>
      </c>
      <c r="B70" s="15" t="s">
        <v>779</v>
      </c>
      <c r="C70" s="4" t="s">
        <v>766</v>
      </c>
      <c r="D70" s="6"/>
      <c r="E70" s="6"/>
      <c r="F70" s="20">
        <v>151</v>
      </c>
      <c r="G70" s="6"/>
      <c r="H70" s="6"/>
    </row>
    <row r="71" spans="1:8" x14ac:dyDescent="0.25">
      <c r="A71" s="15" t="s">
        <v>765</v>
      </c>
      <c r="B71" s="15" t="s">
        <v>780</v>
      </c>
      <c r="C71" s="4" t="s">
        <v>768</v>
      </c>
      <c r="D71" s="6"/>
      <c r="E71" s="6"/>
      <c r="F71" s="20">
        <v>4</v>
      </c>
      <c r="G71" s="6"/>
      <c r="H71" s="6"/>
    </row>
    <row r="72" spans="1:8" x14ac:dyDescent="0.25">
      <c r="A72" s="15" t="s">
        <v>765</v>
      </c>
      <c r="B72" s="15" t="s">
        <v>780</v>
      </c>
      <c r="C72" s="4" t="s">
        <v>766</v>
      </c>
      <c r="D72" s="6"/>
      <c r="E72" s="6"/>
      <c r="F72" s="20">
        <v>3</v>
      </c>
      <c r="G72" s="6"/>
      <c r="H72" s="6"/>
    </row>
    <row r="73" spans="1:8" x14ac:dyDescent="0.25">
      <c r="A73" s="15" t="s">
        <v>781</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782</v>
      </c>
      <c r="D75" s="6"/>
      <c r="E75" s="6"/>
      <c r="F75" s="20">
        <v>1</v>
      </c>
      <c r="G75" s="6"/>
      <c r="H75" s="6"/>
    </row>
    <row r="76" spans="1:8" x14ac:dyDescent="0.25">
      <c r="A76" s="15" t="s">
        <v>11</v>
      </c>
      <c r="B76" s="15" t="s">
        <v>390</v>
      </c>
      <c r="C76" t="s">
        <v>783</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784</v>
      </c>
      <c r="D79" s="6"/>
      <c r="E79" s="6"/>
      <c r="F79" s="20">
        <v>4</v>
      </c>
      <c r="G79" s="6"/>
      <c r="H79" s="6"/>
    </row>
    <row r="80" spans="1:8" x14ac:dyDescent="0.25">
      <c r="A80" t="s">
        <v>762</v>
      </c>
      <c r="B80" s="16"/>
      <c r="D80" s="6"/>
      <c r="E80" s="6"/>
      <c r="F80" s="20">
        <v>5</v>
      </c>
      <c r="G80" s="6"/>
      <c r="H80" s="6"/>
    </row>
    <row r="81" spans="1:8" x14ac:dyDescent="0.25">
      <c r="A81" s="15" t="s">
        <v>756</v>
      </c>
      <c r="B81" s="16"/>
      <c r="D81" s="6"/>
      <c r="E81" s="6"/>
      <c r="F81" s="20">
        <v>1</v>
      </c>
      <c r="G81" s="6"/>
      <c r="H81" s="6"/>
    </row>
    <row r="82" spans="1:8" x14ac:dyDescent="0.25">
      <c r="A82" s="15" t="s">
        <v>504</v>
      </c>
      <c r="B82" s="16"/>
      <c r="D82" s="6"/>
      <c r="E82" s="6"/>
      <c r="F82" s="20">
        <v>45</v>
      </c>
      <c r="G82" s="6"/>
      <c r="H82" s="6"/>
    </row>
    <row r="83" spans="1:8" x14ac:dyDescent="0.25">
      <c r="A83" s="15" t="s">
        <v>680</v>
      </c>
      <c r="B83" s="15" t="s">
        <v>763</v>
      </c>
      <c r="D83" s="6"/>
      <c r="E83" s="6"/>
      <c r="F83" s="20">
        <v>5</v>
      </c>
      <c r="G83" s="6"/>
      <c r="H83" s="6"/>
    </row>
    <row r="84" spans="1:8" x14ac:dyDescent="0.25">
      <c r="A84" s="15" t="s">
        <v>680</v>
      </c>
      <c r="B84" s="15" t="s">
        <v>764</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48" activePane="bottomLeft" state="frozen"/>
      <selection pane="bottomLeft" activeCell="C31" sqref="C3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26" t="s">
        <v>230</v>
      </c>
      <c r="W3" s="26"/>
      <c r="X3" s="26"/>
      <c r="Y3" s="26"/>
      <c r="Z3" s="26"/>
      <c r="AA3" s="26"/>
    </row>
    <row r="4" spans="1:28" x14ac:dyDescent="0.25">
      <c r="A4" s="6" t="s">
        <v>258</v>
      </c>
      <c r="B4" s="7" t="s">
        <v>785</v>
      </c>
      <c r="C4" s="6"/>
      <c r="D4" s="6"/>
      <c r="E4" s="6"/>
      <c r="F4" s="6">
        <v>1</v>
      </c>
      <c r="G4" s="6" t="s">
        <v>235</v>
      </c>
      <c r="H4" s="6" t="s">
        <v>7</v>
      </c>
      <c r="J4" t="s">
        <v>156</v>
      </c>
      <c r="K4" t="s">
        <v>443</v>
      </c>
      <c r="O4">
        <v>1</v>
      </c>
      <c r="P4" t="s">
        <v>29</v>
      </c>
      <c r="T4" t="s">
        <v>29</v>
      </c>
      <c r="V4" t="s">
        <v>235</v>
      </c>
      <c r="W4" t="s">
        <v>8</v>
      </c>
      <c r="X4" t="s">
        <v>5</v>
      </c>
      <c r="Y4" t="s">
        <v>6</v>
      </c>
      <c r="Z4" t="s">
        <v>9</v>
      </c>
      <c r="AA4" t="s">
        <v>789</v>
      </c>
      <c r="AB4" t="s">
        <v>36</v>
      </c>
    </row>
    <row r="5" spans="1:28" x14ac:dyDescent="0.25">
      <c r="A5" s="6" t="s">
        <v>686</v>
      </c>
      <c r="B5" s="7" t="s">
        <v>786</v>
      </c>
      <c r="C5" s="6"/>
      <c r="D5" s="6"/>
      <c r="E5" s="6"/>
      <c r="F5" s="6">
        <v>1</v>
      </c>
      <c r="G5" s="6" t="s">
        <v>235</v>
      </c>
      <c r="H5" s="6" t="s">
        <v>7</v>
      </c>
      <c r="J5" t="s">
        <v>156</v>
      </c>
      <c r="K5" t="s">
        <v>444</v>
      </c>
      <c r="O5">
        <v>1</v>
      </c>
      <c r="P5" t="s">
        <v>29</v>
      </c>
      <c r="V5" t="s">
        <v>7</v>
      </c>
      <c r="W5" t="s">
        <v>799</v>
      </c>
      <c r="X5" t="s">
        <v>799</v>
      </c>
      <c r="Y5" t="s">
        <v>799</v>
      </c>
      <c r="Z5" t="s">
        <v>799</v>
      </c>
      <c r="AA5" t="s">
        <v>799</v>
      </c>
      <c r="AB5" t="s">
        <v>812</v>
      </c>
    </row>
    <row r="6" spans="1:28" x14ac:dyDescent="0.25">
      <c r="A6" s="6" t="s">
        <v>787</v>
      </c>
      <c r="B6" s="7"/>
      <c r="C6" s="6"/>
      <c r="D6" s="6"/>
      <c r="E6" s="6"/>
      <c r="F6" s="6">
        <v>1</v>
      </c>
      <c r="G6" s="6" t="s">
        <v>235</v>
      </c>
      <c r="H6" s="6" t="s">
        <v>7</v>
      </c>
      <c r="J6" t="s">
        <v>378</v>
      </c>
      <c r="K6" t="s">
        <v>158</v>
      </c>
      <c r="O6">
        <v>5</v>
      </c>
      <c r="P6" t="s">
        <v>29</v>
      </c>
      <c r="V6" t="s">
        <v>799</v>
      </c>
    </row>
    <row r="7" spans="1:28" x14ac:dyDescent="0.25">
      <c r="A7" s="6" t="s">
        <v>191</v>
      </c>
      <c r="B7" s="7" t="s">
        <v>788</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3" t="s">
        <v>789</v>
      </c>
      <c r="H9" t="s">
        <v>799</v>
      </c>
      <c r="J9" t="s">
        <v>144</v>
      </c>
      <c r="K9" t="s">
        <v>250</v>
      </c>
      <c r="O9">
        <v>1</v>
      </c>
      <c r="P9" t="s">
        <v>29</v>
      </c>
    </row>
    <row r="10" spans="1:28" x14ac:dyDescent="0.25">
      <c r="A10" s="6" t="s">
        <v>395</v>
      </c>
      <c r="B10" s="7"/>
      <c r="C10" s="6" t="s">
        <v>635</v>
      </c>
      <c r="D10" s="6"/>
      <c r="E10" s="6"/>
      <c r="F10" s="6">
        <v>2</v>
      </c>
      <c r="G10" s="23" t="s">
        <v>789</v>
      </c>
      <c r="H10" t="s">
        <v>799</v>
      </c>
      <c r="J10" t="s">
        <v>156</v>
      </c>
      <c r="K10" t="s">
        <v>793</v>
      </c>
      <c r="O10">
        <v>1</v>
      </c>
      <c r="P10" t="s">
        <v>29</v>
      </c>
    </row>
    <row r="11" spans="1:28" x14ac:dyDescent="0.25">
      <c r="A11" s="6" t="s">
        <v>395</v>
      </c>
      <c r="B11" s="7"/>
      <c r="C11" s="6" t="s">
        <v>790</v>
      </c>
      <c r="D11" s="6"/>
      <c r="E11" s="6"/>
      <c r="F11" s="6">
        <v>2</v>
      </c>
      <c r="G11" s="23" t="s">
        <v>789</v>
      </c>
      <c r="H11" t="s">
        <v>799</v>
      </c>
      <c r="J11" t="s">
        <v>156</v>
      </c>
      <c r="K11" t="s">
        <v>794</v>
      </c>
      <c r="O11">
        <v>1</v>
      </c>
      <c r="P11" t="s">
        <v>29</v>
      </c>
    </row>
    <row r="12" spans="1:28" x14ac:dyDescent="0.25">
      <c r="A12" s="6" t="s">
        <v>791</v>
      </c>
      <c r="B12" s="7"/>
      <c r="C12" s="6"/>
      <c r="D12" s="6"/>
      <c r="E12" s="6"/>
      <c r="F12" s="6">
        <v>1</v>
      </c>
      <c r="G12" s="23" t="s">
        <v>789</v>
      </c>
      <c r="H12" t="s">
        <v>799</v>
      </c>
      <c r="J12" t="s">
        <v>156</v>
      </c>
      <c r="K12" t="s">
        <v>654</v>
      </c>
      <c r="O12">
        <v>1</v>
      </c>
      <c r="P12" t="s">
        <v>29</v>
      </c>
    </row>
    <row r="13" spans="1:28" x14ac:dyDescent="0.25">
      <c r="A13" s="6" t="s">
        <v>792</v>
      </c>
      <c r="B13" s="7"/>
      <c r="C13" s="6"/>
      <c r="D13" s="6"/>
      <c r="E13" s="6"/>
      <c r="F13" s="6">
        <v>4</v>
      </c>
      <c r="G13" s="23" t="s">
        <v>789</v>
      </c>
      <c r="H13" t="s">
        <v>799</v>
      </c>
      <c r="J13" t="s">
        <v>156</v>
      </c>
      <c r="K13" t="s">
        <v>20</v>
      </c>
      <c r="O13">
        <v>2</v>
      </c>
      <c r="P13" t="s">
        <v>29</v>
      </c>
    </row>
    <row r="14" spans="1:28" x14ac:dyDescent="0.25">
      <c r="A14" s="6" t="s">
        <v>146</v>
      </c>
      <c r="B14" s="7"/>
      <c r="C14" s="6"/>
      <c r="D14" s="6"/>
      <c r="E14" s="6"/>
      <c r="F14" s="6">
        <v>1</v>
      </c>
      <c r="G14" s="23" t="s">
        <v>789</v>
      </c>
      <c r="H14" t="s">
        <v>799</v>
      </c>
      <c r="J14" t="s">
        <v>156</v>
      </c>
      <c r="K14" t="s">
        <v>273</v>
      </c>
      <c r="O14">
        <v>1</v>
      </c>
      <c r="P14" t="s">
        <v>29</v>
      </c>
    </row>
    <row r="15" spans="1:28" x14ac:dyDescent="0.25">
      <c r="A15" s="6" t="s">
        <v>88</v>
      </c>
      <c r="B15" s="7" t="s">
        <v>521</v>
      </c>
      <c r="C15" s="6"/>
      <c r="D15" s="6"/>
      <c r="E15" s="6"/>
      <c r="F15" s="6">
        <v>2</v>
      </c>
      <c r="G15" s="23" t="s">
        <v>789</v>
      </c>
      <c r="H15" t="s">
        <v>799</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799</v>
      </c>
      <c r="J16" t="s">
        <v>156</v>
      </c>
      <c r="K16" t="s">
        <v>795</v>
      </c>
      <c r="P16" t="s">
        <v>29</v>
      </c>
    </row>
    <row r="17" spans="1:16" x14ac:dyDescent="0.25">
      <c r="A17" s="6" t="s">
        <v>190</v>
      </c>
      <c r="B17" s="7"/>
      <c r="C17" s="6"/>
      <c r="D17" s="6"/>
      <c r="E17" s="6"/>
      <c r="F17" s="6">
        <v>3</v>
      </c>
      <c r="G17" s="6" t="s">
        <v>235</v>
      </c>
      <c r="H17" t="s">
        <v>799</v>
      </c>
      <c r="J17" t="s">
        <v>156</v>
      </c>
      <c r="K17" t="s">
        <v>652</v>
      </c>
      <c r="P17" t="s">
        <v>29</v>
      </c>
    </row>
    <row r="18" spans="1:16" x14ac:dyDescent="0.25">
      <c r="A18" s="6" t="s">
        <v>188</v>
      </c>
      <c r="B18" s="7"/>
      <c r="C18" s="6"/>
      <c r="D18" s="6"/>
      <c r="E18" s="6"/>
      <c r="F18" s="6">
        <v>1</v>
      </c>
      <c r="G18" s="6" t="s">
        <v>235</v>
      </c>
      <c r="H18" t="s">
        <v>799</v>
      </c>
    </row>
    <row r="19" spans="1:16" ht="30" x14ac:dyDescent="0.25">
      <c r="A19" s="6" t="s">
        <v>796</v>
      </c>
      <c r="B19" s="7" t="s">
        <v>797</v>
      </c>
      <c r="C19" s="6"/>
      <c r="D19" s="6" t="s">
        <v>48</v>
      </c>
      <c r="E19" s="6"/>
      <c r="F19" s="6">
        <v>1</v>
      </c>
      <c r="G19" s="6" t="s">
        <v>235</v>
      </c>
      <c r="H19" t="s">
        <v>799</v>
      </c>
    </row>
    <row r="20" spans="1:16" x14ac:dyDescent="0.25">
      <c r="A20" s="6" t="s">
        <v>53</v>
      </c>
      <c r="B20" s="7"/>
      <c r="C20" s="6"/>
      <c r="D20" s="6"/>
      <c r="E20" s="6"/>
      <c r="F20" s="6">
        <v>4</v>
      </c>
      <c r="G20" s="6" t="s">
        <v>9</v>
      </c>
      <c r="H20" t="s">
        <v>799</v>
      </c>
    </row>
    <row r="21" spans="1:16" x14ac:dyDescent="0.25">
      <c r="A21" s="6" t="s">
        <v>160</v>
      </c>
      <c r="B21" s="7"/>
      <c r="C21" s="6" t="s">
        <v>643</v>
      </c>
      <c r="D21" s="6"/>
      <c r="E21" s="6"/>
      <c r="F21" s="6">
        <v>1</v>
      </c>
      <c r="G21" s="6" t="s">
        <v>9</v>
      </c>
      <c r="H21" t="s">
        <v>799</v>
      </c>
    </row>
    <row r="22" spans="1:16" ht="45" x14ac:dyDescent="0.25">
      <c r="A22" s="6" t="s">
        <v>32</v>
      </c>
      <c r="B22" s="7" t="s">
        <v>798</v>
      </c>
      <c r="C22" t="s">
        <v>800</v>
      </c>
      <c r="D22" s="6"/>
      <c r="E22" s="6"/>
      <c r="F22" s="6">
        <v>1</v>
      </c>
      <c r="G22" s="6" t="s">
        <v>9</v>
      </c>
      <c r="H22" t="s">
        <v>799</v>
      </c>
    </row>
    <row r="23" spans="1:16" x14ac:dyDescent="0.25">
      <c r="A23" s="6" t="s">
        <v>73</v>
      </c>
      <c r="B23" s="7" t="s">
        <v>298</v>
      </c>
      <c r="C23" t="s">
        <v>800</v>
      </c>
      <c r="D23" s="6"/>
      <c r="E23" s="6"/>
      <c r="F23" s="6">
        <v>1</v>
      </c>
      <c r="G23" s="6" t="s">
        <v>9</v>
      </c>
      <c r="H23" t="s">
        <v>799</v>
      </c>
    </row>
    <row r="24" spans="1:16" x14ac:dyDescent="0.25">
      <c r="A24" s="6" t="s">
        <v>156</v>
      </c>
      <c r="B24" s="7" t="s">
        <v>720</v>
      </c>
      <c r="C24" s="6"/>
      <c r="D24" s="6"/>
      <c r="E24" s="6"/>
      <c r="F24" s="6">
        <v>1</v>
      </c>
      <c r="G24" s="6" t="s">
        <v>9</v>
      </c>
      <c r="H24" t="s">
        <v>799</v>
      </c>
    </row>
    <row r="25" spans="1:16" x14ac:dyDescent="0.25">
      <c r="A25" s="6" t="s">
        <v>156</v>
      </c>
      <c r="B25" s="7" t="s">
        <v>801</v>
      </c>
      <c r="C25" s="6"/>
      <c r="D25" s="6"/>
      <c r="E25" s="6"/>
      <c r="F25" s="6">
        <v>1</v>
      </c>
      <c r="G25" s="6" t="s">
        <v>9</v>
      </c>
      <c r="H25" t="s">
        <v>799</v>
      </c>
    </row>
    <row r="26" spans="1:16" x14ac:dyDescent="0.25">
      <c r="A26" s="6" t="s">
        <v>156</v>
      </c>
      <c r="B26" s="7" t="s">
        <v>699</v>
      </c>
      <c r="C26" s="6"/>
      <c r="D26" s="6"/>
      <c r="E26" s="6"/>
      <c r="F26" s="6">
        <v>1</v>
      </c>
      <c r="G26" s="6" t="s">
        <v>9</v>
      </c>
      <c r="H26" t="s">
        <v>799</v>
      </c>
    </row>
    <row r="27" spans="1:16" x14ac:dyDescent="0.25">
      <c r="A27" s="6" t="s">
        <v>109</v>
      </c>
      <c r="B27" s="7"/>
      <c r="C27" s="6" t="s">
        <v>802</v>
      </c>
      <c r="D27" s="6"/>
      <c r="E27" s="6"/>
      <c r="F27" s="6">
        <v>3</v>
      </c>
      <c r="G27" s="6" t="s">
        <v>9</v>
      </c>
      <c r="H27" t="s">
        <v>799</v>
      </c>
    </row>
    <row r="28" spans="1:16" x14ac:dyDescent="0.25">
      <c r="A28" s="6" t="s">
        <v>156</v>
      </c>
      <c r="B28" s="7" t="s">
        <v>803</v>
      </c>
      <c r="C28" s="6"/>
      <c r="D28" s="6"/>
      <c r="E28" s="6"/>
      <c r="F28" s="6">
        <v>1</v>
      </c>
      <c r="G28" s="6" t="s">
        <v>9</v>
      </c>
      <c r="H28" t="s">
        <v>799</v>
      </c>
    </row>
    <row r="29" spans="1:16" x14ac:dyDescent="0.25">
      <c r="A29" s="6" t="s">
        <v>43</v>
      </c>
      <c r="B29" s="7" t="s">
        <v>804</v>
      </c>
      <c r="C29" s="6" t="s">
        <v>66</v>
      </c>
      <c r="D29" s="6"/>
      <c r="E29" s="6"/>
      <c r="F29" s="6">
        <v>1</v>
      </c>
      <c r="G29" s="6" t="s">
        <v>6</v>
      </c>
      <c r="H29" t="s">
        <v>799</v>
      </c>
    </row>
    <row r="30" spans="1:16" x14ac:dyDescent="0.25">
      <c r="A30" s="6" t="s">
        <v>43</v>
      </c>
      <c r="B30" s="7" t="s">
        <v>68</v>
      </c>
      <c r="C30" s="6" t="s">
        <v>66</v>
      </c>
      <c r="D30" s="6"/>
      <c r="E30" s="6"/>
      <c r="F30" s="6">
        <v>1</v>
      </c>
      <c r="G30" s="6" t="s">
        <v>6</v>
      </c>
      <c r="H30" t="s">
        <v>799</v>
      </c>
    </row>
    <row r="31" spans="1:16" x14ac:dyDescent="0.25">
      <c r="A31" s="6" t="s">
        <v>44</v>
      </c>
      <c r="B31" s="7"/>
      <c r="C31" s="6" t="s">
        <v>45</v>
      </c>
      <c r="D31" s="6"/>
      <c r="E31" s="6"/>
      <c r="F31" s="6">
        <v>1</v>
      </c>
      <c r="G31" s="6" t="s">
        <v>6</v>
      </c>
      <c r="H31" t="s">
        <v>799</v>
      </c>
    </row>
    <row r="32" spans="1:16" x14ac:dyDescent="0.25">
      <c r="A32" s="6" t="s">
        <v>44</v>
      </c>
      <c r="B32" s="7"/>
      <c r="C32" s="6" t="s">
        <v>69</v>
      </c>
      <c r="D32" s="6"/>
      <c r="E32" s="6"/>
      <c r="F32" s="6">
        <v>1</v>
      </c>
      <c r="G32" s="6" t="s">
        <v>6</v>
      </c>
      <c r="H32" t="s">
        <v>799</v>
      </c>
    </row>
    <row r="33" spans="1:8" x14ac:dyDescent="0.25">
      <c r="A33" s="6" t="s">
        <v>44</v>
      </c>
      <c r="B33" s="7"/>
      <c r="C33" s="6" t="s">
        <v>67</v>
      </c>
      <c r="D33" s="6"/>
      <c r="E33" s="6"/>
      <c r="F33" s="6">
        <v>1</v>
      </c>
      <c r="G33" s="6" t="s">
        <v>6</v>
      </c>
      <c r="H33" t="s">
        <v>799</v>
      </c>
    </row>
    <row r="34" spans="1:8" x14ac:dyDescent="0.25">
      <c r="A34" s="6" t="s">
        <v>175</v>
      </c>
      <c r="B34" s="7"/>
      <c r="C34" s="6" t="s">
        <v>236</v>
      </c>
      <c r="D34" s="6"/>
      <c r="E34" s="6"/>
      <c r="F34" s="6">
        <v>1</v>
      </c>
      <c r="G34" s="6" t="s">
        <v>6</v>
      </c>
      <c r="H34" t="s">
        <v>799</v>
      </c>
    </row>
    <row r="35" spans="1:8" x14ac:dyDescent="0.25">
      <c r="A35" s="6" t="s">
        <v>156</v>
      </c>
      <c r="B35" s="7" t="s">
        <v>26</v>
      </c>
      <c r="C35" s="6"/>
      <c r="D35" s="6"/>
      <c r="E35" s="6"/>
      <c r="F35" s="6">
        <v>4</v>
      </c>
      <c r="G35" s="6" t="s">
        <v>6</v>
      </c>
      <c r="H35" t="s">
        <v>799</v>
      </c>
    </row>
    <row r="36" spans="1:8" x14ac:dyDescent="0.25">
      <c r="A36" s="6" t="s">
        <v>154</v>
      </c>
      <c r="B36" s="7" t="s">
        <v>155</v>
      </c>
      <c r="C36" s="6"/>
      <c r="D36" s="6"/>
      <c r="E36" s="6"/>
      <c r="F36" s="6">
        <v>1</v>
      </c>
      <c r="G36" s="6" t="s">
        <v>6</v>
      </c>
      <c r="H36" t="s">
        <v>799</v>
      </c>
    </row>
    <row r="37" spans="1:8" x14ac:dyDescent="0.25">
      <c r="A37" s="6" t="s">
        <v>54</v>
      </c>
      <c r="B37" s="7" t="s">
        <v>805</v>
      </c>
      <c r="C37" s="6"/>
      <c r="D37" s="6"/>
      <c r="E37" s="6"/>
      <c r="F37" s="6">
        <v>1</v>
      </c>
      <c r="G37" s="6" t="s">
        <v>6</v>
      </c>
      <c r="H37" t="s">
        <v>799</v>
      </c>
    </row>
    <row r="38" spans="1:8" x14ac:dyDescent="0.25">
      <c r="A38" s="6" t="s">
        <v>807</v>
      </c>
      <c r="B38" s="7" t="s">
        <v>164</v>
      </c>
      <c r="C38" s="6" t="s">
        <v>806</v>
      </c>
      <c r="D38" s="6"/>
      <c r="E38" s="6"/>
      <c r="F38" s="6">
        <v>1</v>
      </c>
      <c r="G38" s="6" t="s">
        <v>6</v>
      </c>
      <c r="H38" t="s">
        <v>799</v>
      </c>
    </row>
    <row r="39" spans="1:8" x14ac:dyDescent="0.25">
      <c r="A39" s="6" t="s">
        <v>87</v>
      </c>
      <c r="B39" s="7"/>
      <c r="C39" s="6"/>
      <c r="D39" s="6"/>
      <c r="E39" s="6"/>
      <c r="F39" s="6">
        <v>1</v>
      </c>
      <c r="G39" s="6" t="s">
        <v>6</v>
      </c>
      <c r="H39" t="s">
        <v>799</v>
      </c>
    </row>
    <row r="40" spans="1:8" x14ac:dyDescent="0.25">
      <c r="A40" s="6" t="s">
        <v>253</v>
      </c>
      <c r="B40" s="7"/>
      <c r="C40" s="6"/>
      <c r="D40" s="6"/>
      <c r="E40" s="6"/>
      <c r="F40" s="6">
        <v>2</v>
      </c>
      <c r="G40" s="6" t="s">
        <v>6</v>
      </c>
      <c r="H40" t="s">
        <v>799</v>
      </c>
    </row>
    <row r="41" spans="1:8" x14ac:dyDescent="0.25">
      <c r="A41" s="6" t="s">
        <v>139</v>
      </c>
      <c r="B41" s="7"/>
      <c r="C41" s="6"/>
      <c r="D41" s="6"/>
      <c r="E41" s="6"/>
      <c r="F41" s="6">
        <v>2</v>
      </c>
      <c r="G41" s="6" t="s">
        <v>5</v>
      </c>
      <c r="H41" t="s">
        <v>799</v>
      </c>
    </row>
    <row r="42" spans="1:8" x14ac:dyDescent="0.25">
      <c r="A42" s="6" t="s">
        <v>109</v>
      </c>
      <c r="B42" s="7"/>
      <c r="C42" s="6" t="s">
        <v>802</v>
      </c>
      <c r="D42" s="6"/>
      <c r="E42" s="6"/>
      <c r="F42" s="6">
        <v>3</v>
      </c>
      <c r="G42" s="6" t="s">
        <v>5</v>
      </c>
      <c r="H42" t="s">
        <v>799</v>
      </c>
    </row>
    <row r="43" spans="1:8" x14ac:dyDescent="0.25">
      <c r="A43" s="6" t="s">
        <v>44</v>
      </c>
      <c r="B43" s="7"/>
      <c r="C43" s="6" t="s">
        <v>808</v>
      </c>
      <c r="D43" s="6"/>
      <c r="E43" s="6"/>
      <c r="F43" s="6">
        <v>1</v>
      </c>
      <c r="G43" s="6" t="s">
        <v>5</v>
      </c>
      <c r="H43" t="s">
        <v>799</v>
      </c>
    </row>
    <row r="44" spans="1:8" x14ac:dyDescent="0.25">
      <c r="A44" s="6" t="s">
        <v>174</v>
      </c>
      <c r="B44" s="7"/>
      <c r="C44" s="6" t="s">
        <v>809</v>
      </c>
      <c r="D44" s="6"/>
      <c r="E44" s="6"/>
      <c r="F44" s="6">
        <v>1</v>
      </c>
      <c r="G44" s="6" t="s">
        <v>5</v>
      </c>
      <c r="H44" t="s">
        <v>799</v>
      </c>
    </row>
    <row r="45" spans="1:8" x14ac:dyDescent="0.25">
      <c r="A45" s="6" t="s">
        <v>54</v>
      </c>
      <c r="B45" s="7"/>
      <c r="C45" t="s">
        <v>52</v>
      </c>
      <c r="D45" s="6"/>
      <c r="E45" s="6"/>
      <c r="F45" s="6">
        <v>1</v>
      </c>
      <c r="G45" s="6" t="s">
        <v>5</v>
      </c>
      <c r="H45" t="s">
        <v>799</v>
      </c>
    </row>
    <row r="46" spans="1:8" x14ac:dyDescent="0.25">
      <c r="A46" s="6" t="s">
        <v>95</v>
      </c>
      <c r="B46" s="7"/>
      <c r="C46" s="6"/>
      <c r="D46" s="6" t="s">
        <v>354</v>
      </c>
      <c r="E46" s="6"/>
      <c r="F46" s="6">
        <v>1</v>
      </c>
      <c r="G46" s="6" t="s">
        <v>8</v>
      </c>
      <c r="H46" t="s">
        <v>799</v>
      </c>
    </row>
    <row r="47" spans="1:8" x14ac:dyDescent="0.25">
      <c r="A47" s="6" t="s">
        <v>97</v>
      </c>
      <c r="B47" s="7" t="s">
        <v>810</v>
      </c>
      <c r="C47" s="6"/>
      <c r="D47" s="6" t="s">
        <v>354</v>
      </c>
      <c r="E47" s="6"/>
      <c r="F47" s="6">
        <v>1</v>
      </c>
      <c r="G47" s="6" t="s">
        <v>8</v>
      </c>
      <c r="H47" t="s">
        <v>799</v>
      </c>
    </row>
    <row r="48" spans="1:8" x14ac:dyDescent="0.25">
      <c r="A48" s="6" t="s">
        <v>241</v>
      </c>
      <c r="B48" s="7"/>
      <c r="C48" s="6"/>
      <c r="D48" s="6"/>
      <c r="E48" s="6"/>
      <c r="F48" s="6">
        <v>1</v>
      </c>
      <c r="G48" s="6" t="s">
        <v>8</v>
      </c>
      <c r="H48" t="s">
        <v>799</v>
      </c>
    </row>
    <row r="49" spans="1:8" x14ac:dyDescent="0.25">
      <c r="A49" s="6" t="s">
        <v>11</v>
      </c>
      <c r="B49" s="7" t="s">
        <v>811</v>
      </c>
      <c r="C49" s="6" t="s">
        <v>79</v>
      </c>
      <c r="D49" s="6"/>
      <c r="E49" s="6"/>
      <c r="F49" s="6">
        <v>2</v>
      </c>
      <c r="G49" s="6" t="s">
        <v>8</v>
      </c>
      <c r="H49" t="s">
        <v>799</v>
      </c>
    </row>
    <row r="50" spans="1:8" x14ac:dyDescent="0.25">
      <c r="A50" s="6" t="s">
        <v>11</v>
      </c>
      <c r="B50" s="7"/>
      <c r="C50" s="6" t="s">
        <v>123</v>
      </c>
      <c r="D50" s="6"/>
      <c r="E50" s="6"/>
      <c r="F50" s="6">
        <v>2</v>
      </c>
      <c r="G50" s="6" t="s">
        <v>8</v>
      </c>
      <c r="H50" t="s">
        <v>799</v>
      </c>
    </row>
    <row r="51" spans="1:8" x14ac:dyDescent="0.25">
      <c r="A51" s="6" t="s">
        <v>11</v>
      </c>
      <c r="B51" s="7"/>
      <c r="C51" s="6" t="s">
        <v>30</v>
      </c>
      <c r="D51" s="6"/>
      <c r="E51" s="6"/>
      <c r="F51" s="6">
        <v>3</v>
      </c>
      <c r="G51" s="6" t="s">
        <v>8</v>
      </c>
      <c r="H51" t="s">
        <v>799</v>
      </c>
    </row>
    <row r="52" spans="1:8" x14ac:dyDescent="0.25">
      <c r="A52" s="6" t="s">
        <v>35</v>
      </c>
      <c r="B52" s="7" t="s">
        <v>813</v>
      </c>
      <c r="C52" s="6" t="s">
        <v>38</v>
      </c>
      <c r="D52" s="6"/>
      <c r="E52" s="6"/>
      <c r="F52" s="6"/>
      <c r="G52" s="6" t="s">
        <v>36</v>
      </c>
      <c r="H52" t="s">
        <v>812</v>
      </c>
    </row>
    <row r="53" spans="1:8" x14ac:dyDescent="0.25">
      <c r="A53" s="6" t="s">
        <v>40</v>
      </c>
      <c r="B53" s="7" t="s">
        <v>814</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opLeftCell="A91" workbookViewId="0">
      <selection sqref="A1:XFD1048576"/>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799</v>
      </c>
      <c r="E2" s="6" t="s">
        <v>799</v>
      </c>
      <c r="F2" s="6">
        <v>1</v>
      </c>
      <c r="G2" s="6" t="s">
        <v>235</v>
      </c>
      <c r="H2" s="6"/>
    </row>
    <row r="3" spans="1:30" x14ac:dyDescent="0.25">
      <c r="A3" s="6" t="s">
        <v>210</v>
      </c>
      <c r="B3" s="7">
        <v>2016</v>
      </c>
      <c r="C3" s="6"/>
      <c r="D3" s="6"/>
      <c r="E3" s="6"/>
      <c r="F3" s="6">
        <v>1</v>
      </c>
      <c r="G3" s="6" t="s">
        <v>235</v>
      </c>
      <c r="H3" s="6"/>
      <c r="J3" t="s">
        <v>0</v>
      </c>
      <c r="K3" t="s">
        <v>1</v>
      </c>
      <c r="L3" t="s">
        <v>2</v>
      </c>
      <c r="M3" s="4" t="s">
        <v>3</v>
      </c>
      <c r="N3" s="4" t="s">
        <v>4</v>
      </c>
      <c r="O3" s="4" t="s">
        <v>240</v>
      </c>
      <c r="P3" t="s">
        <v>14</v>
      </c>
      <c r="T3" t="s">
        <v>28</v>
      </c>
      <c r="V3" s="26" t="s">
        <v>230</v>
      </c>
      <c r="W3" s="26"/>
      <c r="X3" s="26"/>
      <c r="Y3" s="26"/>
      <c r="Z3" s="26"/>
      <c r="AA3" s="26"/>
    </row>
    <row r="4" spans="1:30" x14ac:dyDescent="0.25">
      <c r="A4" s="6" t="s">
        <v>212</v>
      </c>
      <c r="B4" s="7"/>
      <c r="C4" s="6" t="s">
        <v>799</v>
      </c>
      <c r="D4" s="6" t="s">
        <v>799</v>
      </c>
      <c r="E4" s="6" t="s">
        <v>799</v>
      </c>
      <c r="F4" s="6">
        <v>1</v>
      </c>
      <c r="G4" s="6" t="s">
        <v>235</v>
      </c>
      <c r="H4" s="6"/>
      <c r="J4" t="s">
        <v>395</v>
      </c>
      <c r="K4" t="s">
        <v>828</v>
      </c>
      <c r="L4" t="s">
        <v>636</v>
      </c>
      <c r="O4">
        <v>2</v>
      </c>
      <c r="P4" t="s">
        <v>93</v>
      </c>
      <c r="T4" t="s">
        <v>815</v>
      </c>
      <c r="V4" t="s">
        <v>235</v>
      </c>
      <c r="W4" t="s">
        <v>8</v>
      </c>
      <c r="X4" t="s">
        <v>5</v>
      </c>
      <c r="Y4" t="s">
        <v>6</v>
      </c>
      <c r="Z4" t="s">
        <v>9</v>
      </c>
      <c r="AA4" t="s">
        <v>10</v>
      </c>
      <c r="AB4" t="s">
        <v>257</v>
      </c>
      <c r="AC4" t="s">
        <v>303</v>
      </c>
      <c r="AD4" t="s">
        <v>36</v>
      </c>
    </row>
    <row r="5" spans="1:30" ht="30" x14ac:dyDescent="0.25">
      <c r="A5" s="6" t="s">
        <v>258</v>
      </c>
      <c r="B5" s="7" t="s">
        <v>785</v>
      </c>
      <c r="C5" s="6"/>
      <c r="D5" s="6" t="s">
        <v>799</v>
      </c>
      <c r="E5" s="6" t="s">
        <v>799</v>
      </c>
      <c r="F5" s="6">
        <v>1</v>
      </c>
      <c r="G5" s="6" t="s">
        <v>235</v>
      </c>
      <c r="H5" s="6"/>
      <c r="J5" t="s">
        <v>395</v>
      </c>
      <c r="K5" t="s">
        <v>524</v>
      </c>
      <c r="L5" t="s">
        <v>525</v>
      </c>
      <c r="O5">
        <v>3</v>
      </c>
      <c r="P5" t="s">
        <v>93</v>
      </c>
      <c r="T5" t="s">
        <v>93</v>
      </c>
      <c r="V5" t="s">
        <v>7</v>
      </c>
      <c r="W5" t="s">
        <v>799</v>
      </c>
      <c r="X5" t="s">
        <v>799</v>
      </c>
      <c r="Y5" t="s">
        <v>799</v>
      </c>
      <c r="Z5" t="s">
        <v>799</v>
      </c>
      <c r="AA5" t="s">
        <v>799</v>
      </c>
      <c r="AB5" t="s">
        <v>812</v>
      </c>
    </row>
    <row r="6" spans="1:30" x14ac:dyDescent="0.25">
      <c r="A6" s="6" t="s">
        <v>217</v>
      </c>
      <c r="B6" s="7"/>
      <c r="C6" s="6"/>
      <c r="D6" s="6" t="s">
        <v>820</v>
      </c>
      <c r="E6" s="6" t="s">
        <v>799</v>
      </c>
      <c r="F6" s="6">
        <v>2</v>
      </c>
      <c r="G6" s="6" t="s">
        <v>235</v>
      </c>
      <c r="H6" s="6"/>
      <c r="J6" t="s">
        <v>395</v>
      </c>
      <c r="K6" t="s">
        <v>829</v>
      </c>
      <c r="L6" t="s">
        <v>634</v>
      </c>
      <c r="O6">
        <v>5</v>
      </c>
      <c r="P6" t="s">
        <v>93</v>
      </c>
      <c r="T6" t="s">
        <v>816</v>
      </c>
      <c r="V6" t="s">
        <v>799</v>
      </c>
    </row>
    <row r="7" spans="1:30" ht="30" x14ac:dyDescent="0.25">
      <c r="A7" s="6" t="s">
        <v>258</v>
      </c>
      <c r="B7" s="7" t="s">
        <v>821</v>
      </c>
      <c r="C7" s="6"/>
      <c r="D7" s="6"/>
      <c r="E7" s="6"/>
      <c r="F7" s="6"/>
      <c r="G7" s="6" t="s">
        <v>235</v>
      </c>
      <c r="H7" s="6"/>
      <c r="J7" t="s">
        <v>395</v>
      </c>
      <c r="K7" t="s">
        <v>830</v>
      </c>
      <c r="L7" t="s">
        <v>635</v>
      </c>
      <c r="O7">
        <v>4</v>
      </c>
      <c r="P7" t="s">
        <v>93</v>
      </c>
      <c r="T7" t="s">
        <v>29</v>
      </c>
    </row>
    <row r="8" spans="1:30" x14ac:dyDescent="0.25">
      <c r="A8" s="6" t="s">
        <v>191</v>
      </c>
      <c r="B8" s="7" t="s">
        <v>822</v>
      </c>
      <c r="C8" s="6"/>
      <c r="D8" s="6"/>
      <c r="E8" s="6"/>
      <c r="F8" s="6">
        <v>1</v>
      </c>
      <c r="G8" s="6" t="s">
        <v>235</v>
      </c>
      <c r="H8" s="6"/>
      <c r="J8" t="s">
        <v>395</v>
      </c>
      <c r="K8" t="s">
        <v>831</v>
      </c>
      <c r="L8" t="s">
        <v>790</v>
      </c>
      <c r="O8">
        <v>1</v>
      </c>
      <c r="P8" t="s">
        <v>93</v>
      </c>
      <c r="T8" t="s">
        <v>847</v>
      </c>
    </row>
    <row r="9" spans="1:30" x14ac:dyDescent="0.25">
      <c r="A9" s="6" t="s">
        <v>11</v>
      </c>
      <c r="B9" s="7"/>
      <c r="C9" s="6" t="s">
        <v>79</v>
      </c>
      <c r="D9" s="6"/>
      <c r="E9" s="6"/>
      <c r="F9" s="6">
        <v>1</v>
      </c>
      <c r="G9" s="6" t="s">
        <v>235</v>
      </c>
      <c r="H9" s="6"/>
      <c r="J9" t="s">
        <v>827</v>
      </c>
      <c r="K9" t="s">
        <v>827</v>
      </c>
      <c r="O9">
        <v>2</v>
      </c>
      <c r="P9" t="s">
        <v>815</v>
      </c>
      <c r="T9" t="s">
        <v>858</v>
      </c>
    </row>
    <row r="10" spans="1:30" x14ac:dyDescent="0.25">
      <c r="A10" s="6" t="s">
        <v>32</v>
      </c>
      <c r="B10" s="7" t="s">
        <v>823</v>
      </c>
      <c r="C10" s="6" t="s">
        <v>72</v>
      </c>
      <c r="D10" s="6"/>
      <c r="E10" s="6"/>
      <c r="F10" s="6">
        <v>1</v>
      </c>
      <c r="G10" s="6" t="s">
        <v>235</v>
      </c>
      <c r="H10" s="6"/>
      <c r="J10" t="s">
        <v>510</v>
      </c>
      <c r="K10" t="s">
        <v>832</v>
      </c>
      <c r="O10">
        <v>1</v>
      </c>
      <c r="P10" t="s">
        <v>816</v>
      </c>
      <c r="T10" t="s">
        <v>888</v>
      </c>
    </row>
    <row r="11" spans="1:30" x14ac:dyDescent="0.25">
      <c r="A11" s="6" t="s">
        <v>242</v>
      </c>
      <c r="B11" s="7"/>
      <c r="C11" s="6"/>
      <c r="D11" s="6"/>
      <c r="E11" s="6"/>
      <c r="F11" s="6">
        <v>2</v>
      </c>
      <c r="G11" s="6" t="s">
        <v>235</v>
      </c>
      <c r="H11" s="6"/>
      <c r="J11" t="s">
        <v>791</v>
      </c>
      <c r="K11" t="s">
        <v>791</v>
      </c>
      <c r="O11">
        <v>1</v>
      </c>
      <c r="P11" t="s">
        <v>816</v>
      </c>
      <c r="T11" t="s">
        <v>906</v>
      </c>
    </row>
    <row r="12" spans="1:30" x14ac:dyDescent="0.25">
      <c r="A12" s="6" t="s">
        <v>154</v>
      </c>
      <c r="B12" s="7" t="s">
        <v>155</v>
      </c>
      <c r="C12" s="6"/>
      <c r="D12" s="6"/>
      <c r="E12" s="6"/>
      <c r="F12" s="6">
        <v>1</v>
      </c>
      <c r="G12" s="6" t="s">
        <v>235</v>
      </c>
      <c r="H12" s="6"/>
      <c r="J12" t="s">
        <v>492</v>
      </c>
      <c r="K12" t="s">
        <v>492</v>
      </c>
      <c r="O12">
        <v>1</v>
      </c>
      <c r="P12" t="s">
        <v>816</v>
      </c>
      <c r="T12" t="s">
        <v>909</v>
      </c>
    </row>
    <row r="13" spans="1:30" x14ac:dyDescent="0.25">
      <c r="A13" s="6" t="s">
        <v>505</v>
      </c>
      <c r="B13" s="7"/>
      <c r="C13" s="6"/>
      <c r="D13" s="6"/>
      <c r="E13" s="6"/>
      <c r="F13" s="6">
        <v>8</v>
      </c>
      <c r="G13" s="6" t="s">
        <v>235</v>
      </c>
      <c r="H13" s="6"/>
      <c r="J13" t="s">
        <v>833</v>
      </c>
      <c r="K13" t="s">
        <v>833</v>
      </c>
      <c r="O13">
        <v>1</v>
      </c>
      <c r="P13" t="s">
        <v>816</v>
      </c>
    </row>
    <row r="14" spans="1:30" x14ac:dyDescent="0.25">
      <c r="A14" s="6" t="s">
        <v>89</v>
      </c>
      <c r="B14" s="7"/>
      <c r="C14" s="6"/>
      <c r="D14" s="6"/>
      <c r="E14" s="6"/>
      <c r="F14" s="6">
        <v>2</v>
      </c>
      <c r="G14" s="6" t="s">
        <v>235</v>
      </c>
      <c r="H14" s="6"/>
      <c r="J14" t="s">
        <v>156</v>
      </c>
      <c r="K14" t="s">
        <v>834</v>
      </c>
      <c r="O14">
        <v>1</v>
      </c>
      <c r="P14" t="s">
        <v>29</v>
      </c>
    </row>
    <row r="15" spans="1:30" x14ac:dyDescent="0.25">
      <c r="A15" s="6" t="s">
        <v>195</v>
      </c>
      <c r="B15" s="7"/>
      <c r="C15" s="6"/>
      <c r="D15" s="6"/>
      <c r="E15" s="6"/>
      <c r="F15" s="6">
        <v>2</v>
      </c>
      <c r="G15" s="6" t="s">
        <v>235</v>
      </c>
      <c r="H15" s="6"/>
      <c r="J15" t="s">
        <v>156</v>
      </c>
      <c r="K15" t="s">
        <v>654</v>
      </c>
      <c r="O15">
        <v>1</v>
      </c>
      <c r="P15" t="s">
        <v>29</v>
      </c>
    </row>
    <row r="16" spans="1:30" ht="30" x14ac:dyDescent="0.25">
      <c r="A16" s="6" t="s">
        <v>680</v>
      </c>
      <c r="B16" s="7" t="s">
        <v>824</v>
      </c>
      <c r="C16" s="6"/>
      <c r="D16" s="6"/>
      <c r="E16" s="6"/>
      <c r="F16" s="6">
        <v>2</v>
      </c>
      <c r="G16" s="6" t="s">
        <v>235</v>
      </c>
      <c r="H16" s="6"/>
      <c r="J16" t="s">
        <v>156</v>
      </c>
      <c r="K16" t="s">
        <v>835</v>
      </c>
      <c r="O16">
        <v>1</v>
      </c>
      <c r="P16" t="s">
        <v>29</v>
      </c>
    </row>
    <row r="17" spans="1:16" x14ac:dyDescent="0.25">
      <c r="A17" s="6" t="s">
        <v>258</v>
      </c>
      <c r="B17" s="7" t="s">
        <v>825</v>
      </c>
      <c r="C17" s="6"/>
      <c r="D17" s="6"/>
      <c r="E17" s="6"/>
      <c r="F17" s="6">
        <v>1</v>
      </c>
      <c r="G17" s="6" t="s">
        <v>235</v>
      </c>
      <c r="H17" s="6"/>
      <c r="J17" t="s">
        <v>156</v>
      </c>
      <c r="K17" t="s">
        <v>443</v>
      </c>
      <c r="O17">
        <v>3</v>
      </c>
      <c r="P17" t="s">
        <v>29</v>
      </c>
    </row>
    <row r="18" spans="1:16" x14ac:dyDescent="0.25">
      <c r="A18" s="6" t="s">
        <v>826</v>
      </c>
      <c r="B18" s="7"/>
      <c r="C18" s="6"/>
      <c r="D18" s="6"/>
      <c r="E18" s="6"/>
      <c r="F18" s="6">
        <v>2</v>
      </c>
      <c r="G18" s="6" t="s">
        <v>235</v>
      </c>
      <c r="H18" s="6"/>
      <c r="J18" t="s">
        <v>156</v>
      </c>
      <c r="K18" t="s">
        <v>444</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156</v>
      </c>
      <c r="K19" t="s">
        <v>462</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156</v>
      </c>
      <c r="K20" t="s">
        <v>836</v>
      </c>
      <c r="O20">
        <v>1</v>
      </c>
      <c r="P20" t="s">
        <v>29</v>
      </c>
    </row>
    <row r="21" spans="1:16" ht="12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235</v>
      </c>
      <c r="H21" s="6"/>
      <c r="J21" t="s">
        <v>140</v>
      </c>
      <c r="K21" t="s">
        <v>196</v>
      </c>
      <c r="O21">
        <v>1</v>
      </c>
      <c r="P21" t="s">
        <v>29</v>
      </c>
    </row>
    <row r="22" spans="1:16" x14ac:dyDescent="0.25">
      <c r="A22" s="6" t="s">
        <v>190</v>
      </c>
      <c r="B22" s="7"/>
      <c r="C22" s="6"/>
      <c r="D22" s="6"/>
      <c r="E22" s="6"/>
      <c r="F22" s="6">
        <v>10</v>
      </c>
      <c r="G22" s="6" t="s">
        <v>235</v>
      </c>
      <c r="H22" s="6"/>
      <c r="J22" t="s">
        <v>156</v>
      </c>
      <c r="K22" t="s">
        <v>837</v>
      </c>
      <c r="O22">
        <v>1</v>
      </c>
      <c r="P22" t="s">
        <v>29</v>
      </c>
    </row>
    <row r="23" spans="1:16" x14ac:dyDescent="0.25">
      <c r="A23" s="6" t="s">
        <v>188</v>
      </c>
      <c r="B23" s="7"/>
      <c r="C23" s="6"/>
      <c r="D23" s="6"/>
      <c r="E23" s="6"/>
      <c r="F23" s="6">
        <v>5</v>
      </c>
      <c r="G23" s="6" t="s">
        <v>235</v>
      </c>
      <c r="H23" s="6"/>
      <c r="J23" t="s">
        <v>151</v>
      </c>
      <c r="K23" t="s">
        <v>838</v>
      </c>
      <c r="O23">
        <v>1</v>
      </c>
      <c r="P23" t="s">
        <v>29</v>
      </c>
    </row>
    <row r="24" spans="1:16" x14ac:dyDescent="0.25">
      <c r="A24" s="6" t="s">
        <v>139</v>
      </c>
      <c r="B24" s="7"/>
      <c r="C24" s="6"/>
      <c r="D24" s="6"/>
      <c r="E24" s="6"/>
      <c r="F24" s="6">
        <v>3</v>
      </c>
      <c r="G24" s="6" t="s">
        <v>6</v>
      </c>
      <c r="H24" s="6"/>
      <c r="J24" t="s">
        <v>610</v>
      </c>
      <c r="K24" t="s">
        <v>839</v>
      </c>
      <c r="O24">
        <v>5</v>
      </c>
      <c r="P24" t="s">
        <v>29</v>
      </c>
    </row>
    <row r="25" spans="1:16" x14ac:dyDescent="0.25">
      <c r="A25" s="6" t="s">
        <v>88</v>
      </c>
      <c r="B25" s="7" t="s">
        <v>843</v>
      </c>
      <c r="C25" s="6"/>
      <c r="D25" s="6"/>
      <c r="E25" s="6"/>
      <c r="F25" s="6">
        <v>3</v>
      </c>
      <c r="G25" s="6" t="s">
        <v>6</v>
      </c>
      <c r="H25" s="6"/>
      <c r="J25" t="s">
        <v>610</v>
      </c>
      <c r="K25" t="s">
        <v>840</v>
      </c>
      <c r="O25">
        <v>13</v>
      </c>
      <c r="P25" t="s">
        <v>29</v>
      </c>
    </row>
    <row r="26" spans="1:16" x14ac:dyDescent="0.25">
      <c r="A26" s="6" t="s">
        <v>156</v>
      </c>
      <c r="B26" s="7" t="s">
        <v>415</v>
      </c>
      <c r="C26" s="6"/>
      <c r="D26" s="6"/>
      <c r="E26" s="6"/>
      <c r="F26" s="6">
        <v>1</v>
      </c>
      <c r="G26" s="6" t="s">
        <v>6</v>
      </c>
      <c r="H26" s="6"/>
      <c r="J26" t="s">
        <v>151</v>
      </c>
      <c r="K26" t="s">
        <v>650</v>
      </c>
      <c r="O26">
        <v>1</v>
      </c>
      <c r="P26" t="s">
        <v>29</v>
      </c>
    </row>
    <row r="27" spans="1:16" x14ac:dyDescent="0.25">
      <c r="A27" s="6" t="s">
        <v>844</v>
      </c>
      <c r="B27" s="7"/>
      <c r="C27" s="6"/>
      <c r="D27" s="6"/>
      <c r="E27" s="6"/>
      <c r="F27" s="6">
        <v>1</v>
      </c>
      <c r="G27" s="6" t="s">
        <v>6</v>
      </c>
      <c r="H27" s="6"/>
      <c r="J27" t="s">
        <v>140</v>
      </c>
      <c r="K27" t="s">
        <v>141</v>
      </c>
      <c r="O27">
        <v>1</v>
      </c>
      <c r="P27" t="s">
        <v>29</v>
      </c>
    </row>
    <row r="28" spans="1:16" ht="30" x14ac:dyDescent="0.25">
      <c r="A28" s="6" t="s">
        <v>743</v>
      </c>
      <c r="B28" s="7" t="s">
        <v>845</v>
      </c>
      <c r="C28" s="6"/>
      <c r="D28" s="6"/>
      <c r="E28" s="6"/>
      <c r="F28" s="6">
        <v>1</v>
      </c>
      <c r="G28" s="6" t="s">
        <v>6</v>
      </c>
      <c r="H28" s="6"/>
      <c r="J28" t="s">
        <v>678</v>
      </c>
      <c r="K28" t="s">
        <v>326</v>
      </c>
      <c r="O28">
        <v>1</v>
      </c>
      <c r="P28" t="s">
        <v>847</v>
      </c>
    </row>
    <row r="29" spans="1:16" ht="45" x14ac:dyDescent="0.25">
      <c r="A29" s="6" t="s">
        <v>743</v>
      </c>
      <c r="B29" s="7" t="s">
        <v>846</v>
      </c>
      <c r="C29" s="6"/>
      <c r="D29" s="6"/>
      <c r="E29" s="6"/>
      <c r="F29" s="6">
        <v>1</v>
      </c>
      <c r="G29" s="6" t="s">
        <v>6</v>
      </c>
      <c r="H29" s="6"/>
      <c r="J29" t="s">
        <v>678</v>
      </c>
      <c r="K29" t="s">
        <v>848</v>
      </c>
      <c r="O29">
        <v>2</v>
      </c>
      <c r="P29" t="s">
        <v>847</v>
      </c>
    </row>
    <row r="30" spans="1:16" x14ac:dyDescent="0.25">
      <c r="A30" s="6" t="s">
        <v>132</v>
      </c>
      <c r="B30" s="7"/>
      <c r="C30" s="6"/>
      <c r="D30" s="6" t="s">
        <v>800</v>
      </c>
      <c r="E30" s="6" t="s">
        <v>800</v>
      </c>
      <c r="F30" s="6">
        <v>1</v>
      </c>
      <c r="G30" s="6" t="s">
        <v>6</v>
      </c>
      <c r="H30" s="6"/>
      <c r="J30" t="s">
        <v>190</v>
      </c>
      <c r="K30" t="s">
        <v>842</v>
      </c>
      <c r="O30">
        <v>1</v>
      </c>
      <c r="P30" t="s">
        <v>847</v>
      </c>
    </row>
    <row r="31" spans="1:16" x14ac:dyDescent="0.25">
      <c r="A31" s="6" t="s">
        <v>40</v>
      </c>
      <c r="B31" s="7" t="s">
        <v>799</v>
      </c>
      <c r="C31" t="s">
        <v>800</v>
      </c>
      <c r="D31" s="6"/>
      <c r="E31" s="6"/>
      <c r="F31" s="6">
        <v>1</v>
      </c>
      <c r="G31" s="6" t="s">
        <v>6</v>
      </c>
      <c r="H31" s="6"/>
      <c r="J31" t="s">
        <v>678</v>
      </c>
      <c r="K31" t="s">
        <v>381</v>
      </c>
      <c r="L31" t="s">
        <v>800</v>
      </c>
      <c r="M31" t="s">
        <v>800</v>
      </c>
      <c r="N31" t="s">
        <v>800</v>
      </c>
      <c r="O31">
        <v>1</v>
      </c>
      <c r="P31" t="s">
        <v>847</v>
      </c>
    </row>
    <row r="32" spans="1:16" x14ac:dyDescent="0.25">
      <c r="A32" s="6" t="s">
        <v>109</v>
      </c>
      <c r="B32" s="7"/>
      <c r="C32" t="s">
        <v>800</v>
      </c>
      <c r="D32" s="6"/>
      <c r="E32" s="6"/>
      <c r="F32" s="6">
        <v>1</v>
      </c>
      <c r="G32" s="6" t="s">
        <v>6</v>
      </c>
      <c r="H32" s="6"/>
      <c r="J32" t="s">
        <v>90</v>
      </c>
      <c r="K32" t="s">
        <v>855</v>
      </c>
      <c r="O32">
        <v>4</v>
      </c>
      <c r="P32" t="s">
        <v>858</v>
      </c>
    </row>
    <row r="33" spans="1:16" x14ac:dyDescent="0.25">
      <c r="A33" s="6" t="s">
        <v>135</v>
      </c>
      <c r="B33" s="7"/>
      <c r="C33" s="6"/>
      <c r="D33" t="s">
        <v>800</v>
      </c>
      <c r="E33" t="s">
        <v>800</v>
      </c>
      <c r="F33" s="6">
        <v>1</v>
      </c>
      <c r="G33" s="6" t="s">
        <v>6</v>
      </c>
      <c r="H33" s="6"/>
      <c r="J33" t="s">
        <v>90</v>
      </c>
      <c r="K33" t="s">
        <v>856</v>
      </c>
      <c r="O33">
        <v>2</v>
      </c>
      <c r="P33" t="s">
        <v>858</v>
      </c>
    </row>
    <row r="34" spans="1:16" x14ac:dyDescent="0.25">
      <c r="A34" s="6" t="s">
        <v>696</v>
      </c>
      <c r="B34" s="7"/>
      <c r="C34" s="6"/>
      <c r="D34" t="s">
        <v>800</v>
      </c>
      <c r="E34" t="s">
        <v>800</v>
      </c>
      <c r="F34" s="6">
        <v>1</v>
      </c>
      <c r="G34" s="6" t="s">
        <v>6</v>
      </c>
      <c r="H34" s="6"/>
      <c r="J34" t="s">
        <v>400</v>
      </c>
      <c r="K34" t="s">
        <v>857</v>
      </c>
      <c r="O34">
        <v>1</v>
      </c>
      <c r="P34" t="s">
        <v>858</v>
      </c>
    </row>
    <row r="35" spans="1:16" x14ac:dyDescent="0.25">
      <c r="A35" s="6" t="s">
        <v>243</v>
      </c>
      <c r="B35" s="7"/>
      <c r="C35" s="6"/>
      <c r="D35" t="s">
        <v>800</v>
      </c>
      <c r="E35" t="s">
        <v>800</v>
      </c>
      <c r="F35" s="6">
        <v>1</v>
      </c>
      <c r="G35" s="6" t="s">
        <v>257</v>
      </c>
      <c r="H35" s="6"/>
      <c r="J35" t="s">
        <v>156</v>
      </c>
      <c r="K35" t="s">
        <v>889</v>
      </c>
      <c r="O35">
        <v>3</v>
      </c>
      <c r="P35" t="s">
        <v>888</v>
      </c>
    </row>
    <row r="36" spans="1:16" ht="135" x14ac:dyDescent="0.25">
      <c r="A36" s="6" t="s">
        <v>403</v>
      </c>
      <c r="B36" s="7" t="str">
        <f>bolso("Cajon minicojines",Table621334751[])</f>
        <v xml:space="preserve">Cajon minicojines Contiene:  Comando de minicojines x1,  mangueras para minicojines x2,  cilindro x1,  minicojin x1, </v>
      </c>
      <c r="C36" s="6"/>
      <c r="D36" s="6"/>
      <c r="E36" s="6"/>
      <c r="F36" s="6">
        <v>1</v>
      </c>
      <c r="G36" s="6" t="s">
        <v>257</v>
      </c>
      <c r="H36" s="6"/>
      <c r="J36" t="s">
        <v>156</v>
      </c>
      <c r="K36" t="s">
        <v>209</v>
      </c>
      <c r="O36">
        <v>1</v>
      </c>
      <c r="P36" t="s">
        <v>888</v>
      </c>
    </row>
    <row r="37" spans="1:16" x14ac:dyDescent="0.25">
      <c r="A37" s="6" t="s">
        <v>59</v>
      </c>
      <c r="B37" s="7" t="s">
        <v>124</v>
      </c>
      <c r="C37" t="s">
        <v>800</v>
      </c>
      <c r="D37" s="6"/>
      <c r="E37" s="6"/>
      <c r="F37" s="6">
        <v>1</v>
      </c>
      <c r="G37" s="6" t="s">
        <v>303</v>
      </c>
      <c r="H37" s="6"/>
      <c r="J37" t="s">
        <v>156</v>
      </c>
      <c r="K37" t="s">
        <v>890</v>
      </c>
      <c r="O37">
        <v>1</v>
      </c>
      <c r="P37" t="s">
        <v>888</v>
      </c>
    </row>
    <row r="38" spans="1:16" x14ac:dyDescent="0.25">
      <c r="A38" s="6" t="s">
        <v>175</v>
      </c>
      <c r="B38" s="7"/>
      <c r="C38" s="6" t="s">
        <v>237</v>
      </c>
      <c r="D38" s="6"/>
      <c r="E38" s="6"/>
      <c r="F38" s="6">
        <v>1</v>
      </c>
      <c r="G38" s="6" t="s">
        <v>303</v>
      </c>
      <c r="H38" s="6"/>
      <c r="J38" t="s">
        <v>156</v>
      </c>
      <c r="K38" t="s">
        <v>891</v>
      </c>
      <c r="O38">
        <v>1</v>
      </c>
      <c r="P38" t="s">
        <v>888</v>
      </c>
    </row>
    <row r="39" spans="1:16" x14ac:dyDescent="0.25">
      <c r="A39" s="6" t="s">
        <v>174</v>
      </c>
      <c r="B39" s="7"/>
      <c r="C39" s="6" t="s">
        <v>849</v>
      </c>
      <c r="D39" s="6"/>
      <c r="E39" s="6"/>
      <c r="F39" s="6">
        <v>1</v>
      </c>
      <c r="G39" s="6" t="s">
        <v>303</v>
      </c>
      <c r="H39" s="6"/>
      <c r="J39" t="s">
        <v>887</v>
      </c>
      <c r="K39" t="s">
        <v>887</v>
      </c>
      <c r="O39">
        <v>1</v>
      </c>
      <c r="P39" t="s">
        <v>888</v>
      </c>
    </row>
    <row r="40" spans="1:16" x14ac:dyDescent="0.25">
      <c r="A40" s="6" t="s">
        <v>54</v>
      </c>
      <c r="B40" s="7" t="s">
        <v>850</v>
      </c>
      <c r="C40" s="6" t="s">
        <v>800</v>
      </c>
      <c r="D40" s="6"/>
      <c r="E40" s="6"/>
      <c r="F40" s="6">
        <v>1</v>
      </c>
      <c r="G40" s="6" t="s">
        <v>303</v>
      </c>
      <c r="H40" s="6"/>
      <c r="J40" t="s">
        <v>156</v>
      </c>
      <c r="K40" t="s">
        <v>892</v>
      </c>
      <c r="O40">
        <v>1</v>
      </c>
      <c r="P40" t="s">
        <v>888</v>
      </c>
    </row>
    <row r="41" spans="1:16" x14ac:dyDescent="0.25">
      <c r="A41" s="6" t="s">
        <v>11</v>
      </c>
      <c r="B41" s="7"/>
      <c r="C41" s="6" t="s">
        <v>123</v>
      </c>
      <c r="D41" s="6"/>
      <c r="E41" s="6"/>
      <c r="F41" s="6">
        <v>1</v>
      </c>
      <c r="G41" s="6" t="s">
        <v>303</v>
      </c>
      <c r="H41" s="6"/>
      <c r="J41" t="s">
        <v>156</v>
      </c>
      <c r="K41" t="s">
        <v>893</v>
      </c>
      <c r="O41">
        <v>1</v>
      </c>
      <c r="P41" t="s">
        <v>888</v>
      </c>
    </row>
    <row r="42" spans="1:16" x14ac:dyDescent="0.25">
      <c r="A42" s="6" t="s">
        <v>11</v>
      </c>
      <c r="B42" s="7"/>
      <c r="C42" s="6" t="s">
        <v>79</v>
      </c>
      <c r="D42" s="6"/>
      <c r="E42" s="6"/>
      <c r="F42" s="6">
        <v>1</v>
      </c>
      <c r="G42" s="6" t="s">
        <v>303</v>
      </c>
      <c r="H42" s="6"/>
      <c r="J42" t="s">
        <v>894</v>
      </c>
      <c r="K42" t="s">
        <v>895</v>
      </c>
      <c r="O42">
        <v>1</v>
      </c>
      <c r="P42" t="s">
        <v>888</v>
      </c>
    </row>
    <row r="43" spans="1:16" ht="30" x14ac:dyDescent="0.25">
      <c r="A43" s="6" t="s">
        <v>32</v>
      </c>
      <c r="B43" s="7" t="s">
        <v>851</v>
      </c>
      <c r="C43" s="6" t="s">
        <v>72</v>
      </c>
      <c r="D43" s="6"/>
      <c r="E43" s="6"/>
      <c r="F43" s="6">
        <v>1</v>
      </c>
      <c r="G43" s="6" t="s">
        <v>303</v>
      </c>
      <c r="H43" s="6"/>
      <c r="J43" t="s">
        <v>791</v>
      </c>
      <c r="O43">
        <v>1</v>
      </c>
      <c r="P43" t="s">
        <v>906</v>
      </c>
    </row>
    <row r="44" spans="1:16" x14ac:dyDescent="0.25">
      <c r="A44" s="6" t="s">
        <v>109</v>
      </c>
      <c r="B44" s="7"/>
      <c r="C44" s="6" t="s">
        <v>802</v>
      </c>
      <c r="D44" s="6"/>
      <c r="E44" s="6"/>
      <c r="F44" s="6">
        <v>1</v>
      </c>
      <c r="G44" s="6" t="s">
        <v>303</v>
      </c>
      <c r="H44" s="6"/>
      <c r="J44" t="s">
        <v>762</v>
      </c>
      <c r="K44" t="s">
        <v>762</v>
      </c>
      <c r="L44" t="s">
        <v>800</v>
      </c>
      <c r="O44">
        <v>1</v>
      </c>
      <c r="P44" t="s">
        <v>906</v>
      </c>
    </row>
    <row r="45" spans="1:16" x14ac:dyDescent="0.25">
      <c r="A45" s="6" t="s">
        <v>156</v>
      </c>
      <c r="B45" s="7" t="s">
        <v>170</v>
      </c>
      <c r="C45" s="6"/>
      <c r="D45" s="6"/>
      <c r="E45" s="6"/>
      <c r="F45" s="6">
        <v>1</v>
      </c>
      <c r="G45" s="6" t="s">
        <v>10</v>
      </c>
      <c r="H45" s="6"/>
      <c r="J45" t="s">
        <v>105</v>
      </c>
      <c r="K45" t="s">
        <v>910</v>
      </c>
      <c r="L45" t="s">
        <v>911</v>
      </c>
      <c r="M45" t="s">
        <v>911</v>
      </c>
      <c r="N45" t="s">
        <v>911</v>
      </c>
      <c r="O45">
        <v>1</v>
      </c>
      <c r="P45" t="s">
        <v>909</v>
      </c>
    </row>
    <row r="46" spans="1:16" x14ac:dyDescent="0.25">
      <c r="A46" s="6" t="s">
        <v>156</v>
      </c>
      <c r="B46" s="7" t="s">
        <v>159</v>
      </c>
      <c r="C46" s="6"/>
      <c r="D46" s="6"/>
      <c r="E46" s="6"/>
      <c r="F46" s="6">
        <v>1</v>
      </c>
      <c r="G46" s="6" t="s">
        <v>10</v>
      </c>
      <c r="H46" s="6"/>
    </row>
    <row r="47" spans="1:16" x14ac:dyDescent="0.25">
      <c r="A47" s="6" t="s">
        <v>156</v>
      </c>
      <c r="B47" s="7" t="s">
        <v>852</v>
      </c>
      <c r="C47" s="6"/>
      <c r="D47" s="6"/>
      <c r="E47" s="6"/>
      <c r="F47" s="6">
        <v>1</v>
      </c>
      <c r="G47" s="6" t="s">
        <v>10</v>
      </c>
      <c r="H47" s="6"/>
    </row>
    <row r="48" spans="1:16" x14ac:dyDescent="0.25">
      <c r="A48" s="6" t="s">
        <v>156</v>
      </c>
      <c r="B48" s="7" t="s">
        <v>853</v>
      </c>
      <c r="C48" s="6"/>
      <c r="D48" s="6"/>
      <c r="E48" s="6"/>
      <c r="F48" s="6">
        <v>1</v>
      </c>
      <c r="G48" s="6" t="s">
        <v>10</v>
      </c>
      <c r="H48" s="6"/>
    </row>
    <row r="49" spans="1:8" x14ac:dyDescent="0.25">
      <c r="A49" s="6" t="s">
        <v>156</v>
      </c>
      <c r="B49" s="7" t="s">
        <v>803</v>
      </c>
      <c r="C49" s="6"/>
      <c r="D49" s="6"/>
      <c r="E49" s="6"/>
      <c r="F49" s="6">
        <v>1</v>
      </c>
      <c r="G49" s="6" t="s">
        <v>10</v>
      </c>
      <c r="H49" s="6"/>
    </row>
    <row r="50" spans="1:8" x14ac:dyDescent="0.25">
      <c r="A50" s="6" t="s">
        <v>191</v>
      </c>
      <c r="B50" s="7"/>
      <c r="C50" s="6"/>
      <c r="D50" s="6"/>
      <c r="E50" s="6"/>
      <c r="F50" s="6">
        <v>1</v>
      </c>
      <c r="G50" s="6" t="s">
        <v>10</v>
      </c>
      <c r="H50" s="6"/>
    </row>
    <row r="51" spans="1:8" x14ac:dyDescent="0.25">
      <c r="A51" s="6" t="s">
        <v>191</v>
      </c>
      <c r="B51" s="7" t="s">
        <v>854</v>
      </c>
      <c r="C51" s="6"/>
      <c r="D51" s="6"/>
      <c r="E51" s="6"/>
      <c r="F51" s="6">
        <v>1</v>
      </c>
      <c r="G51" s="6" t="s">
        <v>10</v>
      </c>
      <c r="H51" s="6"/>
    </row>
    <row r="52" spans="1:8" ht="105" x14ac:dyDescent="0.25">
      <c r="A52" s="6" t="s">
        <v>403</v>
      </c>
      <c r="B52" s="7" t="str">
        <f>bolso("Cajon de material para obitos",Table621334751[])</f>
        <v xml:space="preserve">Cajon de material para obitos Contiene:  clase "C" x4,  clase "A" x2,  chaleco seguridad vial. NO INFORMA CANTIDAD. x1, </v>
      </c>
      <c r="C52" s="6"/>
      <c r="D52" s="6"/>
      <c r="E52" s="6"/>
      <c r="F52" s="6">
        <v>1</v>
      </c>
      <c r="G52" s="6" t="s">
        <v>10</v>
      </c>
      <c r="H52" s="6"/>
    </row>
    <row r="53" spans="1:8" x14ac:dyDescent="0.25">
      <c r="A53" s="6" t="s">
        <v>156</v>
      </c>
      <c r="B53" s="7" t="s">
        <v>26</v>
      </c>
      <c r="C53" s="6"/>
      <c r="D53" s="6"/>
      <c r="E53" s="6"/>
      <c r="F53" s="6">
        <v>4</v>
      </c>
      <c r="G53" s="6" t="s">
        <v>9</v>
      </c>
      <c r="H53" s="6"/>
    </row>
    <row r="54" spans="1:8" x14ac:dyDescent="0.25">
      <c r="A54" s="6" t="s">
        <v>859</v>
      </c>
      <c r="B54" s="7"/>
      <c r="C54" s="6" t="s">
        <v>799</v>
      </c>
      <c r="D54" s="6"/>
      <c r="E54" s="6"/>
      <c r="F54" s="6">
        <v>1</v>
      </c>
      <c r="G54" s="6" t="s">
        <v>9</v>
      </c>
      <c r="H54" s="6"/>
    </row>
    <row r="55" spans="1:8" x14ac:dyDescent="0.25">
      <c r="A55" s="6" t="s">
        <v>11</v>
      </c>
      <c r="B55" s="7"/>
      <c r="C55" s="6" t="s">
        <v>79</v>
      </c>
      <c r="D55" s="6"/>
      <c r="E55" s="6"/>
      <c r="F55" s="6">
        <v>1</v>
      </c>
      <c r="G55" s="6" t="s">
        <v>9</v>
      </c>
      <c r="H55" s="6"/>
    </row>
    <row r="56" spans="1:8" x14ac:dyDescent="0.25">
      <c r="A56" s="6" t="s">
        <v>32</v>
      </c>
      <c r="B56" s="7" t="s">
        <v>823</v>
      </c>
      <c r="C56" s="6" t="s">
        <v>72</v>
      </c>
      <c r="D56" s="6"/>
      <c r="E56" s="6"/>
      <c r="F56" s="6">
        <v>2</v>
      </c>
      <c r="G56" s="6" t="s">
        <v>9</v>
      </c>
      <c r="H56" s="6"/>
    </row>
    <row r="57" spans="1:8" x14ac:dyDescent="0.25">
      <c r="A57" s="6" t="s">
        <v>11</v>
      </c>
      <c r="B57" s="7"/>
      <c r="C57" s="6" t="s">
        <v>860</v>
      </c>
      <c r="D57" s="6"/>
      <c r="E57" s="6"/>
      <c r="F57" s="6">
        <v>2</v>
      </c>
      <c r="G57" s="6" t="s">
        <v>9</v>
      </c>
      <c r="H57" s="6"/>
    </row>
    <row r="58" spans="1:8" x14ac:dyDescent="0.25">
      <c r="A58" s="6" t="s">
        <v>43</v>
      </c>
      <c r="B58" s="7" t="s">
        <v>861</v>
      </c>
      <c r="C58" s="6" t="s">
        <v>66</v>
      </c>
      <c r="D58" s="6"/>
      <c r="E58" s="6"/>
      <c r="F58" s="6">
        <v>2</v>
      </c>
      <c r="G58" s="6" t="s">
        <v>9</v>
      </c>
      <c r="H58" s="6"/>
    </row>
    <row r="59" spans="1:8" x14ac:dyDescent="0.25">
      <c r="A59" s="6" t="s">
        <v>43</v>
      </c>
      <c r="B59" s="7" t="s">
        <v>804</v>
      </c>
      <c r="C59" s="6" t="s">
        <v>66</v>
      </c>
      <c r="D59" s="6"/>
      <c r="E59" s="6"/>
      <c r="F59" s="6">
        <v>2</v>
      </c>
      <c r="G59" s="6" t="s">
        <v>9</v>
      </c>
      <c r="H59" s="6"/>
    </row>
    <row r="60" spans="1:8" x14ac:dyDescent="0.25">
      <c r="A60" s="6" t="s">
        <v>44</v>
      </c>
      <c r="B60" s="7"/>
      <c r="C60" t="s">
        <v>862</v>
      </c>
      <c r="D60" s="6"/>
      <c r="E60" s="6"/>
      <c r="F60" s="6">
        <v>1</v>
      </c>
      <c r="G60" s="6" t="s">
        <v>9</v>
      </c>
      <c r="H60" s="6"/>
    </row>
    <row r="61" spans="1:8" x14ac:dyDescent="0.25">
      <c r="A61" s="6" t="s">
        <v>43</v>
      </c>
      <c r="B61" s="7"/>
      <c r="C61" t="s">
        <v>863</v>
      </c>
      <c r="D61" s="6"/>
      <c r="E61" s="6"/>
      <c r="F61" s="6">
        <v>1</v>
      </c>
      <c r="G61" s="6" t="s">
        <v>9</v>
      </c>
      <c r="H61" s="6"/>
    </row>
    <row r="62" spans="1:8" x14ac:dyDescent="0.25">
      <c r="A62" s="6" t="s">
        <v>44</v>
      </c>
      <c r="B62" s="7"/>
      <c r="C62" t="s">
        <v>864</v>
      </c>
      <c r="D62" s="6"/>
      <c r="E62" s="6"/>
      <c r="F62" s="6">
        <v>1</v>
      </c>
      <c r="G62" s="6" t="s">
        <v>9</v>
      </c>
      <c r="H62" s="6"/>
    </row>
    <row r="63" spans="1:8" x14ac:dyDescent="0.25">
      <c r="A63" s="6" t="s">
        <v>44</v>
      </c>
      <c r="B63" s="7"/>
      <c r="C63" s="6" t="s">
        <v>45</v>
      </c>
      <c r="D63" s="6"/>
      <c r="E63" s="6"/>
      <c r="F63" s="6">
        <v>2</v>
      </c>
      <c r="G63" s="6" t="s">
        <v>9</v>
      </c>
      <c r="H63" s="6"/>
    </row>
    <row r="64" spans="1:8" x14ac:dyDescent="0.25">
      <c r="A64" s="6" t="s">
        <v>44</v>
      </c>
      <c r="B64" s="7"/>
      <c r="C64" t="s">
        <v>865</v>
      </c>
      <c r="D64" s="6"/>
      <c r="E64" s="6"/>
      <c r="F64" s="6">
        <v>1</v>
      </c>
      <c r="G64" s="6" t="s">
        <v>9</v>
      </c>
      <c r="H64" s="6"/>
    </row>
    <row r="65" spans="1:8" x14ac:dyDescent="0.25">
      <c r="A65" s="6" t="s">
        <v>44</v>
      </c>
      <c r="B65" s="7"/>
      <c r="C65" s="6" t="s">
        <v>866</v>
      </c>
      <c r="D65" s="6"/>
      <c r="E65" s="6"/>
      <c r="F65" s="6">
        <v>1</v>
      </c>
      <c r="G65" s="6" t="s">
        <v>9</v>
      </c>
      <c r="H65" s="6"/>
    </row>
    <row r="66" spans="1:8" x14ac:dyDescent="0.25">
      <c r="A66" s="6" t="s">
        <v>44</v>
      </c>
      <c r="B66" s="7"/>
      <c r="C66" t="s">
        <v>301</v>
      </c>
      <c r="D66" s="6"/>
      <c r="E66" s="6"/>
      <c r="F66" s="6">
        <v>1</v>
      </c>
      <c r="G66" s="6" t="s">
        <v>9</v>
      </c>
      <c r="H66" s="6"/>
    </row>
    <row r="67" spans="1:8" x14ac:dyDescent="0.25">
      <c r="A67" s="6" t="s">
        <v>11</v>
      </c>
      <c r="B67" s="7"/>
      <c r="C67" t="s">
        <v>860</v>
      </c>
      <c r="D67" s="6"/>
      <c r="E67" s="6"/>
      <c r="F67" s="6">
        <v>2</v>
      </c>
      <c r="G67" s="6" t="s">
        <v>303</v>
      </c>
      <c r="H67" s="6"/>
    </row>
    <row r="68" spans="1:8" ht="30" x14ac:dyDescent="0.25">
      <c r="A68" s="6" t="s">
        <v>32</v>
      </c>
      <c r="B68" s="7" t="s">
        <v>851</v>
      </c>
      <c r="C68" s="6" t="s">
        <v>52</v>
      </c>
      <c r="D68" s="6"/>
      <c r="E68" s="6"/>
      <c r="F68" s="6">
        <v>1</v>
      </c>
      <c r="G68" s="6" t="s">
        <v>303</v>
      </c>
      <c r="H68" s="6"/>
    </row>
    <row r="69" spans="1:8" x14ac:dyDescent="0.25">
      <c r="A69" s="6" t="s">
        <v>11</v>
      </c>
      <c r="B69" s="7"/>
      <c r="C69" s="6" t="s">
        <v>79</v>
      </c>
      <c r="D69" s="6"/>
      <c r="E69" s="6"/>
      <c r="F69" s="6">
        <v>2</v>
      </c>
      <c r="G69" s="6" t="s">
        <v>303</v>
      </c>
      <c r="H69" s="6"/>
    </row>
    <row r="70" spans="1:8" x14ac:dyDescent="0.25">
      <c r="A70" s="6" t="s">
        <v>11</v>
      </c>
      <c r="B70" s="7"/>
      <c r="C70" t="s">
        <v>860</v>
      </c>
      <c r="D70" s="6"/>
      <c r="E70" s="6"/>
      <c r="F70" s="6">
        <v>3</v>
      </c>
      <c r="G70" s="6" t="s">
        <v>303</v>
      </c>
      <c r="H70" s="6"/>
    </row>
    <row r="71" spans="1:8" x14ac:dyDescent="0.25">
      <c r="A71" s="6" t="s">
        <v>11</v>
      </c>
      <c r="B71" s="7"/>
      <c r="C71" s="6" t="s">
        <v>31</v>
      </c>
      <c r="D71" s="6"/>
      <c r="E71" s="6"/>
      <c r="F71" s="6">
        <v>3</v>
      </c>
      <c r="G71" s="6" t="s">
        <v>303</v>
      </c>
      <c r="H71" s="6"/>
    </row>
    <row r="72" spans="1:8" x14ac:dyDescent="0.25">
      <c r="A72" s="6" t="s">
        <v>109</v>
      </c>
      <c r="B72" s="7"/>
      <c r="C72" s="6" t="s">
        <v>882</v>
      </c>
      <c r="D72" s="6"/>
      <c r="E72" s="6"/>
      <c r="F72" s="6">
        <v>1</v>
      </c>
      <c r="G72" s="6" t="s">
        <v>303</v>
      </c>
      <c r="H72" s="6"/>
    </row>
    <row r="73" spans="1:8" x14ac:dyDescent="0.25">
      <c r="A73" s="6" t="s">
        <v>160</v>
      </c>
      <c r="B73" s="7"/>
      <c r="C73" s="6" t="s">
        <v>643</v>
      </c>
      <c r="D73" s="6"/>
      <c r="E73" s="6"/>
      <c r="F73" s="6">
        <v>1</v>
      </c>
      <c r="G73" s="6" t="s">
        <v>303</v>
      </c>
      <c r="H73" s="6"/>
    </row>
    <row r="74" spans="1:8" ht="30" x14ac:dyDescent="0.25">
      <c r="A74" s="6" t="s">
        <v>896</v>
      </c>
      <c r="B74" s="7" t="s">
        <v>897</v>
      </c>
      <c r="C74" s="6"/>
      <c r="D74" s="6" t="s">
        <v>800</v>
      </c>
      <c r="E74" s="6" t="s">
        <v>800</v>
      </c>
      <c r="F74" s="6">
        <v>1</v>
      </c>
      <c r="G74" s="6" t="s">
        <v>5</v>
      </c>
      <c r="H74" s="6"/>
    </row>
    <row r="75" spans="1:8" x14ac:dyDescent="0.25">
      <c r="A75" s="6" t="s">
        <v>896</v>
      </c>
      <c r="B75" s="7" t="s">
        <v>898</v>
      </c>
      <c r="C75" s="6"/>
      <c r="D75" s="6" t="s">
        <v>800</v>
      </c>
      <c r="E75" s="6" t="s">
        <v>800</v>
      </c>
      <c r="F75" s="6">
        <v>1</v>
      </c>
      <c r="G75" s="6" t="s">
        <v>5</v>
      </c>
      <c r="H75" s="6"/>
    </row>
    <row r="76" spans="1:8" x14ac:dyDescent="0.25">
      <c r="A76" s="6" t="s">
        <v>899</v>
      </c>
      <c r="B76" s="7"/>
      <c r="C76" s="6"/>
      <c r="D76" s="6" t="s">
        <v>800</v>
      </c>
      <c r="E76" s="6" t="s">
        <v>800</v>
      </c>
      <c r="F76" s="6">
        <v>1</v>
      </c>
      <c r="G76" s="6" t="s">
        <v>5</v>
      </c>
      <c r="H76" s="6"/>
    </row>
    <row r="77" spans="1:8" ht="30" x14ac:dyDescent="0.25">
      <c r="A77" s="6" t="s">
        <v>156</v>
      </c>
      <c r="B77" s="7" t="s">
        <v>900</v>
      </c>
      <c r="C77" s="6"/>
      <c r="D77" s="6"/>
      <c r="E77" s="6"/>
      <c r="F77" s="6">
        <v>3</v>
      </c>
      <c r="G77" s="6" t="s">
        <v>5</v>
      </c>
      <c r="H77" s="6"/>
    </row>
    <row r="78" spans="1:8" ht="30" x14ac:dyDescent="0.25">
      <c r="A78" s="6" t="s">
        <v>156</v>
      </c>
      <c r="B78" s="7" t="s">
        <v>901</v>
      </c>
      <c r="C78" s="6"/>
      <c r="D78" s="6"/>
      <c r="E78" s="6"/>
      <c r="F78" s="6">
        <v>3</v>
      </c>
      <c r="G78" s="6" t="s">
        <v>5</v>
      </c>
      <c r="H78" s="6"/>
    </row>
    <row r="79" spans="1:8" ht="30" x14ac:dyDescent="0.25">
      <c r="A79" s="6" t="s">
        <v>156</v>
      </c>
      <c r="B79" s="7" t="s">
        <v>902</v>
      </c>
      <c r="C79" s="6"/>
      <c r="D79" s="6"/>
      <c r="E79" s="6"/>
      <c r="F79" s="6">
        <v>1</v>
      </c>
      <c r="G79" s="6" t="s">
        <v>5</v>
      </c>
      <c r="H79" s="6"/>
    </row>
    <row r="80" spans="1:8" x14ac:dyDescent="0.25">
      <c r="A80" s="6" t="s">
        <v>156</v>
      </c>
      <c r="B80" s="7" t="s">
        <v>273</v>
      </c>
      <c r="C80" s="6"/>
      <c r="D80" s="6"/>
      <c r="E80" s="6"/>
      <c r="F80" s="6">
        <v>1</v>
      </c>
      <c r="G80" s="6" t="s">
        <v>5</v>
      </c>
      <c r="H80" s="6"/>
    </row>
    <row r="81" spans="1:8" x14ac:dyDescent="0.25">
      <c r="A81" s="6" t="s">
        <v>156</v>
      </c>
      <c r="B81" s="7" t="s">
        <v>20</v>
      </c>
      <c r="C81" s="6"/>
      <c r="D81" s="6"/>
      <c r="E81" s="6"/>
      <c r="F81" s="6">
        <v>1</v>
      </c>
      <c r="G81" s="6" t="s">
        <v>5</v>
      </c>
      <c r="H81" s="6"/>
    </row>
    <row r="82" spans="1:8" x14ac:dyDescent="0.25">
      <c r="A82" s="6" t="s">
        <v>156</v>
      </c>
      <c r="B82" s="7" t="s">
        <v>699</v>
      </c>
      <c r="C82" s="6"/>
      <c r="D82" s="6"/>
      <c r="E82" s="6"/>
      <c r="F82" s="6">
        <v>3</v>
      </c>
      <c r="G82" s="6" t="s">
        <v>5</v>
      </c>
      <c r="H82" s="6"/>
    </row>
    <row r="83" spans="1:8" ht="30" x14ac:dyDescent="0.25">
      <c r="A83" s="6" t="s">
        <v>156</v>
      </c>
      <c r="B83" s="7" t="s">
        <v>897</v>
      </c>
      <c r="C83" s="6"/>
      <c r="D83" s="6"/>
      <c r="E83" s="6"/>
      <c r="F83" s="6">
        <v>1</v>
      </c>
      <c r="G83" s="6" t="s">
        <v>5</v>
      </c>
      <c r="H83" s="6"/>
    </row>
    <row r="84" spans="1:8" x14ac:dyDescent="0.25">
      <c r="A84" s="6" t="s">
        <v>156</v>
      </c>
      <c r="B84" s="7" t="s">
        <v>903</v>
      </c>
      <c r="C84" s="6"/>
      <c r="D84" s="6"/>
      <c r="E84" s="6"/>
      <c r="F84" s="6">
        <v>1</v>
      </c>
      <c r="G84" s="6" t="s">
        <v>5</v>
      </c>
      <c r="H84" s="6"/>
    </row>
    <row r="85" spans="1:8" x14ac:dyDescent="0.25">
      <c r="A85" s="6" t="s">
        <v>154</v>
      </c>
      <c r="B85" s="7" t="s">
        <v>904</v>
      </c>
      <c r="C85" s="6"/>
      <c r="D85" s="6"/>
      <c r="E85" s="6"/>
      <c r="F85" s="6">
        <v>1</v>
      </c>
      <c r="G85" s="6" t="s">
        <v>5</v>
      </c>
      <c r="H85" s="6"/>
    </row>
    <row r="86" spans="1:8" x14ac:dyDescent="0.25">
      <c r="A86" s="6" t="s">
        <v>156</v>
      </c>
      <c r="B86" s="7" t="s">
        <v>458</v>
      </c>
      <c r="C86" s="6"/>
      <c r="D86" s="6"/>
      <c r="E86" s="6"/>
      <c r="F86" s="6">
        <v>2</v>
      </c>
      <c r="G86" s="6" t="s">
        <v>5</v>
      </c>
      <c r="H86" s="6"/>
    </row>
    <row r="87" spans="1:8" x14ac:dyDescent="0.25">
      <c r="A87" s="6" t="s">
        <v>156</v>
      </c>
      <c r="B87" s="7" t="s">
        <v>702</v>
      </c>
      <c r="C87" s="6"/>
      <c r="D87" s="6"/>
      <c r="E87" s="6"/>
      <c r="F87" s="6">
        <v>1</v>
      </c>
      <c r="G87" s="6" t="s">
        <v>5</v>
      </c>
      <c r="H87" s="6"/>
    </row>
    <row r="88" spans="1:8" x14ac:dyDescent="0.25">
      <c r="A88" s="6" t="s">
        <v>156</v>
      </c>
      <c r="B88" s="7" t="s">
        <v>905</v>
      </c>
      <c r="C88" s="6"/>
      <c r="D88" s="6"/>
      <c r="E88" s="6"/>
      <c r="F88" s="6">
        <v>1</v>
      </c>
      <c r="G88" s="6" t="s">
        <v>5</v>
      </c>
      <c r="H88" s="6"/>
    </row>
    <row r="89" spans="1:8" x14ac:dyDescent="0.25">
      <c r="A89" s="6" t="s">
        <v>53</v>
      </c>
      <c r="B89" s="7"/>
      <c r="C89" s="6"/>
      <c r="D89" s="6"/>
      <c r="E89" s="6"/>
      <c r="F89" s="6">
        <v>7</v>
      </c>
      <c r="G89" s="6" t="s">
        <v>8</v>
      </c>
      <c r="H89" s="6"/>
    </row>
    <row r="90" spans="1:8" ht="75" x14ac:dyDescent="0.25">
      <c r="A90" s="6" t="s">
        <v>92</v>
      </c>
      <c r="B90" s="7" t="str">
        <f>bolso("Bolso de oxigenoterapia",J4:P44)</f>
        <v xml:space="preserve">Bolso de oxigenoterapia Contiene:   x1,  Tubo de oxigeno x1, </v>
      </c>
      <c r="C90" s="6"/>
      <c r="D90" s="6"/>
      <c r="E90" s="6"/>
      <c r="F90" s="6">
        <v>1</v>
      </c>
      <c r="G90" s="6" t="s">
        <v>8</v>
      </c>
      <c r="H90" s="6"/>
    </row>
    <row r="91" spans="1:8" x14ac:dyDescent="0.25">
      <c r="A91" s="6" t="s">
        <v>143</v>
      </c>
      <c r="B91" s="7"/>
      <c r="C91" s="6"/>
      <c r="D91" s="6"/>
      <c r="E91" s="6"/>
      <c r="F91" s="6">
        <v>1</v>
      </c>
      <c r="G91" s="6" t="s">
        <v>8</v>
      </c>
      <c r="H91" s="6"/>
    </row>
    <row r="92" spans="1:8" ht="30" x14ac:dyDescent="0.25">
      <c r="A92" s="6" t="s">
        <v>88</v>
      </c>
      <c r="B92" s="7" t="s">
        <v>908</v>
      </c>
      <c r="C92" s="6"/>
      <c r="D92" s="6"/>
      <c r="E92" s="6"/>
      <c r="F92" s="6">
        <v>2</v>
      </c>
      <c r="G92" s="6" t="s">
        <v>8</v>
      </c>
      <c r="H92" s="6"/>
    </row>
    <row r="93" spans="1:8" x14ac:dyDescent="0.25">
      <c r="A93" s="6" t="s">
        <v>87</v>
      </c>
      <c r="B93" s="7"/>
      <c r="C93" s="6"/>
      <c r="D93" s="6"/>
      <c r="E93" s="6"/>
      <c r="F93" s="6">
        <v>2</v>
      </c>
      <c r="G93" s="6" t="s">
        <v>8</v>
      </c>
      <c r="H93" s="6"/>
    </row>
    <row r="94" spans="1:8" x14ac:dyDescent="0.25">
      <c r="A94" s="6" t="s">
        <v>706</v>
      </c>
      <c r="B94" s="7"/>
      <c r="C94" s="6"/>
      <c r="D94" s="6"/>
      <c r="E94" s="6"/>
      <c r="F94" s="6">
        <v>2</v>
      </c>
      <c r="G94" s="6" t="s">
        <v>8</v>
      </c>
      <c r="H94" s="6"/>
    </row>
    <row r="95" spans="1:8" x14ac:dyDescent="0.25">
      <c r="A95" s="6" t="s">
        <v>362</v>
      </c>
      <c r="B95" s="7"/>
      <c r="C95" s="6"/>
      <c r="D95" s="6" t="s">
        <v>800</v>
      </c>
      <c r="E95" s="6" t="s">
        <v>800</v>
      </c>
      <c r="F95" s="6">
        <v>1</v>
      </c>
      <c r="G95" s="6" t="s">
        <v>8</v>
      </c>
      <c r="H95" s="6"/>
    </row>
    <row r="96" spans="1:8" x14ac:dyDescent="0.25">
      <c r="A96" s="6" t="s">
        <v>97</v>
      </c>
      <c r="B96" s="7"/>
      <c r="C96" s="6"/>
      <c r="D96" s="6" t="s">
        <v>800</v>
      </c>
      <c r="E96" s="6" t="s">
        <v>800</v>
      </c>
      <c r="F96" s="6">
        <v>1</v>
      </c>
      <c r="G96" s="6" t="s">
        <v>8</v>
      </c>
      <c r="H96" s="6"/>
    </row>
    <row r="97" spans="1:8" x14ac:dyDescent="0.25">
      <c r="A97" s="6" t="s">
        <v>83</v>
      </c>
      <c r="B97" s="7"/>
      <c r="C97" s="6"/>
      <c r="D97" s="6" t="s">
        <v>800</v>
      </c>
      <c r="E97" s="6" t="s">
        <v>800</v>
      </c>
      <c r="F97" s="6">
        <v>1</v>
      </c>
      <c r="G97" s="6" t="s">
        <v>8</v>
      </c>
      <c r="H97" s="6"/>
    </row>
    <row r="98" spans="1:8" x14ac:dyDescent="0.25">
      <c r="A98" s="6" t="s">
        <v>80</v>
      </c>
      <c r="B98" s="7"/>
      <c r="C98" s="6"/>
      <c r="D98" s="6" t="s">
        <v>800</v>
      </c>
      <c r="E98" s="6" t="s">
        <v>800</v>
      </c>
      <c r="F98" s="6">
        <v>1</v>
      </c>
      <c r="G98" s="6" t="s">
        <v>8</v>
      </c>
      <c r="H98" s="6"/>
    </row>
    <row r="99" spans="1:8" x14ac:dyDescent="0.25">
      <c r="A99" s="6" t="s">
        <v>92</v>
      </c>
      <c r="B99" s="7" t="s">
        <v>150</v>
      </c>
      <c r="C99" s="6"/>
      <c r="D99" s="6"/>
      <c r="E99" s="6"/>
      <c r="F99" s="6">
        <v>1</v>
      </c>
      <c r="G99" s="6" t="s">
        <v>8</v>
      </c>
      <c r="H99" s="6"/>
    </row>
    <row r="100" spans="1:8" ht="45" x14ac:dyDescent="0.25">
      <c r="A100" s="6" t="s">
        <v>100</v>
      </c>
      <c r="B100" s="7" t="s">
        <v>912</v>
      </c>
      <c r="C100" s="6"/>
      <c r="D100" s="6"/>
      <c r="E100" s="6"/>
      <c r="F100" s="6">
        <v>1</v>
      </c>
      <c r="G100" s="6" t="s">
        <v>8</v>
      </c>
      <c r="H100" s="6"/>
    </row>
    <row r="101" spans="1:8" ht="30" x14ac:dyDescent="0.25">
      <c r="A101" s="6" t="s">
        <v>543</v>
      </c>
      <c r="B101" s="7" t="s">
        <v>913</v>
      </c>
      <c r="C101" s="6"/>
      <c r="D101" s="6"/>
      <c r="E101" s="6"/>
      <c r="F101" s="6">
        <v>1</v>
      </c>
      <c r="G101" s="6" t="s">
        <v>8</v>
      </c>
      <c r="H101" s="6"/>
    </row>
    <row r="102" spans="1:8" x14ac:dyDescent="0.25">
      <c r="A102" s="6" t="s">
        <v>35</v>
      </c>
      <c r="B102" s="7" t="s">
        <v>813</v>
      </c>
      <c r="C102" s="6" t="s">
        <v>38</v>
      </c>
      <c r="D102" s="6"/>
      <c r="E102" s="6"/>
      <c r="F102" s="6">
        <v>1</v>
      </c>
      <c r="G102" s="6" t="s">
        <v>36</v>
      </c>
      <c r="H102" s="6"/>
    </row>
    <row r="103" spans="1:8" x14ac:dyDescent="0.25">
      <c r="A103" s="6" t="s">
        <v>35</v>
      </c>
      <c r="B103" s="7" t="s">
        <v>914</v>
      </c>
      <c r="C103" s="6" t="s">
        <v>103</v>
      </c>
      <c r="D103" s="6"/>
      <c r="E103" s="6"/>
      <c r="F103" s="6">
        <v>1</v>
      </c>
      <c r="G103" s="6" t="s">
        <v>36</v>
      </c>
      <c r="H103" s="6"/>
    </row>
    <row r="104" spans="1:8" x14ac:dyDescent="0.25">
      <c r="A104" s="6" t="s">
        <v>35</v>
      </c>
      <c r="B104" s="7" t="s">
        <v>777</v>
      </c>
      <c r="C104" s="6" t="s">
        <v>103</v>
      </c>
      <c r="D104" s="6"/>
      <c r="E104" s="6"/>
      <c r="F104" s="6">
        <v>1</v>
      </c>
      <c r="G104" s="6" t="s">
        <v>36</v>
      </c>
      <c r="H104" s="6"/>
    </row>
    <row r="105" spans="1:8" x14ac:dyDescent="0.25">
      <c r="A105" s="6" t="s">
        <v>40</v>
      </c>
      <c r="B105" s="7"/>
      <c r="C105" s="6" t="s">
        <v>915</v>
      </c>
      <c r="D105" s="6"/>
      <c r="E105" s="6"/>
      <c r="F105" s="6">
        <v>4</v>
      </c>
      <c r="G105" s="6" t="s">
        <v>36</v>
      </c>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30" xr:uid="{57C205E9-9716-4DED-BD5A-ADCDDC342406}">
      <formula1>INDEX(Medidas,0,MATCH(OFFSET(INDIRECT(ADDRESS(ROW(), COLUMN())),0,-2),categoriasDeMedidas,0))</formula1>
    </dataValidation>
    <dataValidation type="list" allowBlank="1" showInputMessage="1" showErrorMessage="1" sqref="J4:J1048576 A1:A1048576"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H136 G1" xr:uid="{5D2B3792-06AF-4B43-B32A-5633162252D3}">
      <formula1>CajonerasMovil54</formula1>
    </dataValidation>
    <dataValidation type="list" allowBlank="1" showInputMessage="1" showErrorMessage="1" sqref="H137:H1048576 L1:L3 H53:H135 H1 C78:C82 L52:L1048576"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 type="list" allowBlank="1" showInputMessage="1" showErrorMessage="1" sqref="P4:P42 G74:G88" xr:uid="{9B617175-B4E2-4CED-9F31-4CCA89447A7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345-1779-422E-9BB5-6DC3A1DB4372}">
  <dimension ref="A1:AD136"/>
  <sheetViews>
    <sheetView tabSelected="1" topLeftCell="C1" workbookViewId="0">
      <selection activeCell="G5" sqref="G5"/>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188</v>
      </c>
      <c r="B2" s="7"/>
      <c r="C2" s="6"/>
      <c r="D2" s="6"/>
      <c r="E2" s="6"/>
      <c r="F2" s="6">
        <v>5</v>
      </c>
      <c r="G2" s="6" t="s">
        <v>235</v>
      </c>
      <c r="H2" s="6" t="s">
        <v>7</v>
      </c>
    </row>
    <row r="3" spans="1:30" x14ac:dyDescent="0.25">
      <c r="A3" s="6" t="s">
        <v>796</v>
      </c>
      <c r="B3" s="7" t="s">
        <v>919</v>
      </c>
      <c r="C3" s="6"/>
      <c r="D3" s="6"/>
      <c r="E3" s="6"/>
      <c r="F3" s="6">
        <v>3</v>
      </c>
      <c r="G3" s="6" t="s">
        <v>235</v>
      </c>
      <c r="H3" s="6" t="s">
        <v>7</v>
      </c>
      <c r="J3" t="s">
        <v>0</v>
      </c>
      <c r="K3" t="s">
        <v>1</v>
      </c>
      <c r="L3" t="s">
        <v>2</v>
      </c>
      <c r="M3" s="4" t="s">
        <v>3</v>
      </c>
      <c r="N3" s="4" t="s">
        <v>4</v>
      </c>
      <c r="O3" s="4" t="s">
        <v>240</v>
      </c>
      <c r="P3" t="s">
        <v>14</v>
      </c>
      <c r="T3" t="s">
        <v>28</v>
      </c>
      <c r="V3" s="26" t="s">
        <v>230</v>
      </c>
      <c r="W3" s="26"/>
      <c r="X3" s="26"/>
      <c r="Y3" s="26"/>
      <c r="Z3" s="26"/>
      <c r="AA3" s="26"/>
    </row>
    <row r="4" spans="1:30" x14ac:dyDescent="0.25">
      <c r="A4" s="6" t="s">
        <v>154</v>
      </c>
      <c r="B4" s="7" t="s">
        <v>155</v>
      </c>
      <c r="C4" s="6"/>
      <c r="D4" s="6"/>
      <c r="E4" s="6"/>
      <c r="F4" s="6">
        <v>1</v>
      </c>
      <c r="G4" s="6" t="s">
        <v>235</v>
      </c>
      <c r="H4" s="6" t="s">
        <v>7</v>
      </c>
      <c r="T4" t="s">
        <v>29</v>
      </c>
      <c r="V4" t="s">
        <v>235</v>
      </c>
      <c r="W4" t="s">
        <v>8</v>
      </c>
      <c r="X4" t="s">
        <v>5</v>
      </c>
      <c r="Y4" t="s">
        <v>6</v>
      </c>
      <c r="Z4" t="s">
        <v>9</v>
      </c>
      <c r="AA4" t="s">
        <v>10</v>
      </c>
      <c r="AB4" t="s">
        <v>257</v>
      </c>
      <c r="AC4" t="s">
        <v>303</v>
      </c>
      <c r="AD4" t="s">
        <v>36</v>
      </c>
    </row>
    <row r="5" spans="1:30" x14ac:dyDescent="0.25">
      <c r="A5" s="6" t="s">
        <v>154</v>
      </c>
      <c r="B5" s="7" t="s">
        <v>920</v>
      </c>
      <c r="C5" s="6"/>
      <c r="D5" s="6"/>
      <c r="E5" s="6"/>
      <c r="F5" s="6">
        <v>1</v>
      </c>
      <c r="G5" s="6" t="s">
        <v>235</v>
      </c>
      <c r="H5" s="6" t="s">
        <v>7</v>
      </c>
      <c r="T5" t="s">
        <v>917</v>
      </c>
      <c r="V5" t="s">
        <v>7</v>
      </c>
      <c r="W5" t="s">
        <v>799</v>
      </c>
      <c r="X5" t="s">
        <v>799</v>
      </c>
      <c r="Y5" t="s">
        <v>799</v>
      </c>
      <c r="Z5" t="s">
        <v>799</v>
      </c>
      <c r="AA5" t="s">
        <v>799</v>
      </c>
      <c r="AB5" t="s">
        <v>812</v>
      </c>
    </row>
    <row r="6" spans="1:30" x14ac:dyDescent="0.25">
      <c r="A6" s="6"/>
      <c r="B6" s="7"/>
      <c r="C6" s="6"/>
      <c r="D6" s="6"/>
      <c r="E6" s="6"/>
      <c r="F6" s="6"/>
      <c r="G6" s="6"/>
      <c r="H6" s="6"/>
      <c r="T6" t="s">
        <v>15</v>
      </c>
      <c r="V6" t="s">
        <v>916</v>
      </c>
    </row>
    <row r="7" spans="1:30" x14ac:dyDescent="0.25">
      <c r="A7" s="6"/>
      <c r="B7" s="7"/>
      <c r="C7" s="6"/>
      <c r="D7" s="6"/>
      <c r="E7" s="6"/>
      <c r="F7" s="6"/>
      <c r="G7" s="6"/>
      <c r="H7" s="6"/>
      <c r="T7" t="s">
        <v>918</v>
      </c>
    </row>
    <row r="8" spans="1:30" x14ac:dyDescent="0.25">
      <c r="A8" s="6"/>
      <c r="B8" s="7"/>
      <c r="C8" s="6"/>
      <c r="D8" s="6"/>
      <c r="E8" s="6"/>
      <c r="F8" s="6"/>
      <c r="G8" s="6"/>
      <c r="H8" s="6"/>
    </row>
    <row r="9" spans="1:30" x14ac:dyDescent="0.25">
      <c r="A9" s="6"/>
      <c r="B9" s="7"/>
      <c r="C9" s="6"/>
      <c r="D9" s="6"/>
      <c r="E9" s="6"/>
      <c r="F9" s="6"/>
      <c r="G9" s="6"/>
      <c r="H9" s="6"/>
    </row>
    <row r="10" spans="1:30" x14ac:dyDescent="0.25">
      <c r="A10" s="6"/>
      <c r="B10" s="7"/>
      <c r="C10" s="6"/>
      <c r="D10" s="6"/>
      <c r="E10" s="6"/>
      <c r="F10" s="6"/>
      <c r="G10" s="6"/>
      <c r="H10" s="6"/>
    </row>
    <row r="11" spans="1:30" x14ac:dyDescent="0.25">
      <c r="A11" s="6"/>
      <c r="B11" s="7"/>
      <c r="C11" s="6"/>
      <c r="D11" s="6"/>
      <c r="E11" s="6"/>
      <c r="F11" s="6"/>
      <c r="G11" s="6"/>
      <c r="H11" s="6"/>
    </row>
    <row r="12" spans="1:30" x14ac:dyDescent="0.25">
      <c r="A12" s="6"/>
      <c r="B12" s="7"/>
      <c r="C12" s="6"/>
      <c r="D12" s="6"/>
      <c r="E12" s="6"/>
      <c r="F12" s="6"/>
      <c r="G12" s="6"/>
      <c r="H12" s="6"/>
    </row>
    <row r="13" spans="1:30" x14ac:dyDescent="0.25">
      <c r="A13" s="6"/>
      <c r="B13" s="7"/>
      <c r="C13" s="6"/>
      <c r="D13" s="6"/>
      <c r="E13" s="6"/>
      <c r="F13" s="6"/>
      <c r="G13" s="6"/>
      <c r="H13" s="6"/>
    </row>
    <row r="14" spans="1:30" x14ac:dyDescent="0.25">
      <c r="A14" s="6"/>
      <c r="B14" s="7"/>
      <c r="C14" s="6"/>
      <c r="D14" s="6"/>
      <c r="E14" s="6"/>
      <c r="F14" s="6"/>
      <c r="G14" s="6"/>
      <c r="H14" s="6"/>
    </row>
    <row r="15" spans="1:30" x14ac:dyDescent="0.25">
      <c r="A15" s="6"/>
      <c r="B15" s="7"/>
      <c r="C15" s="6"/>
      <c r="D15" s="6"/>
      <c r="E15" s="6"/>
      <c r="F15" s="6"/>
      <c r="G15" s="6"/>
      <c r="H15" s="6"/>
    </row>
    <row r="16" spans="1:30"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c r="D31" s="6"/>
      <c r="E31" s="6"/>
      <c r="F31" s="6"/>
      <c r="G31" s="6"/>
      <c r="H31" s="6"/>
    </row>
    <row r="32" spans="1:8" x14ac:dyDescent="0.25">
      <c r="A32" s="6"/>
      <c r="B32" s="7"/>
      <c r="C32"/>
      <c r="D32" s="6"/>
      <c r="E32" s="6"/>
      <c r="F32" s="6"/>
      <c r="G32" s="6"/>
      <c r="H32" s="6"/>
    </row>
    <row r="33" spans="1:8" x14ac:dyDescent="0.25">
      <c r="A33" s="6"/>
      <c r="B33" s="7"/>
      <c r="C33" s="6"/>
      <c r="D33"/>
      <c r="E33"/>
      <c r="F33" s="6"/>
      <c r="G33" s="6"/>
      <c r="H33" s="6"/>
    </row>
    <row r="34" spans="1:8" x14ac:dyDescent="0.25">
      <c r="A34" s="6"/>
      <c r="B34" s="7"/>
      <c r="C34" s="6"/>
      <c r="D34"/>
      <c r="E34"/>
      <c r="F34" s="6"/>
      <c r="G34" s="6"/>
      <c r="H34" s="6"/>
    </row>
    <row r="35" spans="1:8" x14ac:dyDescent="0.25">
      <c r="A35" s="6"/>
      <c r="B35" s="7"/>
      <c r="C35" s="6"/>
      <c r="D35"/>
      <c r="E35"/>
      <c r="F35" s="6"/>
      <c r="G35" s="6"/>
      <c r="H35" s="6"/>
    </row>
    <row r="36" spans="1:8" x14ac:dyDescent="0.25">
      <c r="A36" s="6"/>
      <c r="B36" s="7"/>
      <c r="C36" s="6"/>
      <c r="D36" s="6"/>
      <c r="E36" s="6"/>
      <c r="F36" s="6"/>
      <c r="G36" s="6"/>
      <c r="H36" s="6"/>
    </row>
    <row r="37" spans="1:8" x14ac:dyDescent="0.25">
      <c r="A37" s="6"/>
      <c r="B37" s="7"/>
      <c r="C37"/>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6"/>
      <c r="B60" s="7"/>
      <c r="C60"/>
      <c r="D60" s="6"/>
      <c r="E60" s="6"/>
      <c r="F60" s="6"/>
      <c r="G60" s="6"/>
      <c r="H60" s="6"/>
    </row>
    <row r="61" spans="1:8" x14ac:dyDescent="0.25">
      <c r="A61" s="6"/>
      <c r="B61" s="7"/>
      <c r="C61"/>
      <c r="D61" s="6"/>
      <c r="E61" s="6"/>
      <c r="F61" s="6"/>
      <c r="G61" s="6"/>
      <c r="H61" s="6"/>
    </row>
    <row r="62" spans="1:8" x14ac:dyDescent="0.25">
      <c r="A62" s="6"/>
      <c r="B62" s="7"/>
      <c r="C62"/>
      <c r="D62" s="6"/>
      <c r="E62" s="6"/>
      <c r="F62" s="6"/>
      <c r="G62" s="6"/>
      <c r="H62" s="6"/>
    </row>
    <row r="63" spans="1:8" x14ac:dyDescent="0.25">
      <c r="A63" s="6"/>
      <c r="B63" s="7"/>
      <c r="C63" s="6"/>
      <c r="D63" s="6"/>
      <c r="E63" s="6"/>
      <c r="F63" s="6"/>
      <c r="G63" s="6"/>
      <c r="H63" s="6"/>
    </row>
    <row r="64" spans="1:8" x14ac:dyDescent="0.25">
      <c r="A64" s="6"/>
      <c r="B64" s="7"/>
      <c r="C64"/>
      <c r="D64" s="6"/>
      <c r="E64" s="6"/>
      <c r="F64" s="6"/>
      <c r="G64" s="6"/>
      <c r="H64" s="6"/>
    </row>
    <row r="65" spans="1:8" x14ac:dyDescent="0.25">
      <c r="A65" s="6"/>
      <c r="B65" s="7"/>
      <c r="C65" s="6"/>
      <c r="D65" s="6"/>
      <c r="E65" s="6"/>
      <c r="F65" s="6"/>
      <c r="G65" s="6"/>
      <c r="H65" s="6"/>
    </row>
    <row r="66" spans="1:8" x14ac:dyDescent="0.25">
      <c r="A66" s="6"/>
      <c r="B66" s="7"/>
      <c r="C66"/>
      <c r="D66" s="6"/>
      <c r="E66" s="6"/>
      <c r="F66" s="6"/>
      <c r="G66" s="6"/>
      <c r="H66" s="6"/>
    </row>
    <row r="67" spans="1:8" x14ac:dyDescent="0.25">
      <c r="A67" s="6"/>
      <c r="B67" s="7"/>
      <c r="C67"/>
      <c r="D67" s="6"/>
      <c r="E67" s="6"/>
      <c r="F67" s="6"/>
      <c r="G67" s="6"/>
      <c r="H67" s="6"/>
    </row>
    <row r="68" spans="1:8" x14ac:dyDescent="0.25">
      <c r="A68" s="6"/>
      <c r="B68" s="7"/>
      <c r="C68" s="6"/>
      <c r="D68" s="6"/>
      <c r="E68" s="6"/>
      <c r="F68" s="6"/>
      <c r="G68" s="6"/>
      <c r="H68" s="6"/>
    </row>
    <row r="69" spans="1:8" x14ac:dyDescent="0.25">
      <c r="A69" s="6"/>
      <c r="B69" s="7"/>
      <c r="C69" s="6"/>
      <c r="D69" s="6"/>
      <c r="E69" s="6"/>
      <c r="F69" s="6"/>
      <c r="G69" s="6"/>
      <c r="H69" s="6"/>
    </row>
    <row r="70" spans="1:8" x14ac:dyDescent="0.25">
      <c r="A70" s="6"/>
      <c r="B70" s="7"/>
      <c r="C70"/>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6"/>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6"/>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P4:P42 G74:G88" xr:uid="{35322ABF-8B70-41DC-9EBA-8C3D5D4CDD2B}">
      <formula1>$T$4:$T$22</formula1>
    </dataValidation>
    <dataValidation type="list" allowBlank="1" showInputMessage="1" showErrorMessage="1" sqref="H2:H51" xr:uid="{80839E64-9390-47A2-AE93-703D943C831D}">
      <formula1>INDEX($V$5:$Y$12,0,MATCH(OFFSET(INDIRECT(ADDRESS(ROW(), COLUMN())),0,-1),$V$4:$Y$4,0))</formula1>
    </dataValidation>
    <dataValidation type="list" allowBlank="1" showInputMessage="1" showErrorMessage="1" sqref="T14" xr:uid="{1C23F27D-B913-4875-8117-E5F0D4A88A8E}">
      <formula1>INDEX(Medidas,0,MATCH(OFFSET(INDIRECT(ADDRESS(ROW(), COLUMN())),0,-1),categoriasDeMedidas,0))</formula1>
    </dataValidation>
    <dataValidation type="list" allowBlank="1" showInputMessage="1" showErrorMessage="1" sqref="H137:H1048576 L1:L3 H53:H135 H1 C78:C82 L52:L1048576" xr:uid="{03E35E19-B3FF-4817-8999-D66F29379803}">
      <formula1>INDEX(Compartimentosmovil54,0,MATCH(OFFSET(INDIRECT(ADDRESS(ROW(), COLUMN())),0,-1),CajonerasMovil54,0))</formula1>
    </dataValidation>
    <dataValidation type="list" allowBlank="1" showInputMessage="1" showErrorMessage="1" sqref="H136 G1" xr:uid="{402D5164-161D-40A5-A408-C2BE9FD2B1D1}">
      <formula1>CajonerasMovil54</formula1>
    </dataValidation>
    <dataValidation type="list" allowBlank="1" showInputMessage="1" showErrorMessage="1" sqref="C1 C12 C14 C7" xr:uid="{E1BDD749-AFE4-43D7-A2C7-8B677BE3F960}">
      <formula1>Medidas</formula1>
    </dataValidation>
    <dataValidation type="list" allowBlank="1" showInputMessage="1" showErrorMessage="1" sqref="J4:J1048576 A1:A1048576" xr:uid="{7B2CD18B-6707-44E3-A4DF-B30E360477F8}">
      <formula1>categorias</formula1>
    </dataValidation>
    <dataValidation type="list" allowBlank="1" showInputMessage="1" showErrorMessage="1" sqref="L4:L30" xr:uid="{C914DAC1-4383-4BE2-8C52-49EDEDB52999}">
      <formula1>INDEX(Medidas,0,MATCH(OFFSET(INDIRECT(ADDRESS(ROW(), COLUMN())),0,-2),categoriasDeMedidas,0))</formula1>
    </dataValidation>
    <dataValidation type="list" allowBlank="1" showInputMessage="1" showErrorMessage="1" sqref="G2:G1048576" xr:uid="{599C6A0D-03BF-40D6-B8D5-B111BA2F952E}">
      <formula1>$V$4:$AD$4</formula1>
    </dataValidation>
    <dataValidation type="list" allowBlank="1" showInputMessage="1" showErrorMessage="1" sqref="H52" xr:uid="{52EF889B-FF28-4C38-9650-AB0B4F0DFA8A}">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1">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C89:C90 C95 C2 C4</xm:sqref>
        </x14:dataValidation>
        <x14:dataValidation type="list" allowBlank="1" showInputMessage="1" showErrorMessage="1" xr:uid="{AC5B8A22-D94B-47A2-83A8-B2573ACD5C04}">
          <x14:formula1>
            <xm:f>Configuracion!$F$2:$F$17</xm:f>
          </x14:formula1>
          <xm:sqref>C69 C71</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8799B740-8120-48C1-B789-D0735E01C1F6}">
          <x14:formula1>
            <xm:f>Configuracion!$K$2:$K$9</xm:f>
          </x14:formula1>
          <xm:sqref>C63</xm:sqref>
        </x14:dataValidation>
        <x14:dataValidation type="list" allowBlank="1" showInputMessage="1" showErrorMessage="1" xr:uid="{CFD330E6-92D2-4649-8953-286293A2FCD4}">
          <x14:formula1>
            <xm:f>Configuracion!$Q$2:$Q$9</xm:f>
          </x14:formula1>
          <xm:sqref>C44 C72</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C26 C73</xm:sqref>
        </x14:dataValidation>
        <x14:dataValidation type="list" allowBlank="1" showInputMessage="1" showErrorMessage="1" xr:uid="{73478A83-02AC-4126-B37F-8A655D3F57A3}">
          <x14:formula1>
            <xm:f>Configuracion!$H$2:$H$4</xm:f>
          </x14:formula1>
          <xm:sqref>C102:C104 C52</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xm:sqref>
        </x14:dataValidation>
        <x14:dataValidation type="list" allowBlank="1" showInputMessage="1" showErrorMessage="1" xr:uid="{82088906-4014-4F86-8B12-36D1351A6E4A}">
          <x14:formula1>
            <xm:f>Configuracion!$S$2:$S$10</xm:f>
          </x14:formula1>
          <xm:sqref>C96 C100:C101</xm:sqref>
        </x14:dataValidation>
        <x14:dataValidation type="list" allowBlank="1" showInputMessage="1" showErrorMessage="1" xr:uid="{54CB772A-0550-4BE0-863C-2CB9ED4B50B1}">
          <x14:formula1>
            <xm:f>Configuracion!$J$2:$J$5</xm:f>
          </x14:formula1>
          <xm:sqref>C24 C18:C19 C29:C30 C58:C59</xm:sqref>
        </x14:dataValidation>
        <x14:dataValidation type="list" allowBlank="1" showInputMessage="1" showErrorMessage="1" xr:uid="{14B91194-4930-4D4B-8CCA-4238F40E09AA}">
          <x14:formula1>
            <xm:f>Configuracion!$H$2:$H$6</xm:f>
          </x14:formula1>
          <xm:sqref>C20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 C21</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C10 C43 C56 C68</xm:sqref>
        </x14:dataValidation>
        <x14:dataValidation type="list" allowBlank="1" showInputMessage="1" showErrorMessage="1" xr:uid="{602F33FD-931C-4302-BB83-364D9E37B9D5}">
          <x14:formula1>
            <xm:f>Configuracion!$F$2:$F$15</xm:f>
          </x14:formula1>
          <xm:sqref>C49:C51 C9 C41:C42 C55 C57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F6ACF-554E-404F-A3E3-155073CCC471}">
  <dimension ref="A1:H66"/>
  <sheetViews>
    <sheetView workbookViewId="0">
      <selection activeCell="A2" sqref="A2"/>
    </sheetView>
  </sheetViews>
  <sheetFormatPr defaultRowHeight="15" x14ac:dyDescent="0.25"/>
  <cols>
    <col min="1" max="1" width="23" bestFit="1" customWidth="1"/>
    <col min="2" max="2" width="25.85546875" customWidth="1"/>
  </cols>
  <sheetData>
    <row r="1" spans="1:8" ht="30" x14ac:dyDescent="0.25">
      <c r="A1" s="37" t="s">
        <v>0</v>
      </c>
      <c r="B1" s="38" t="s">
        <v>1</v>
      </c>
      <c r="C1" s="39" t="s">
        <v>2</v>
      </c>
      <c r="D1" s="39" t="s">
        <v>3</v>
      </c>
      <c r="E1" s="39" t="s">
        <v>4</v>
      </c>
      <c r="F1" s="39" t="s">
        <v>240</v>
      </c>
      <c r="G1" s="39" t="s">
        <v>13</v>
      </c>
      <c r="H1" s="40" t="s">
        <v>232</v>
      </c>
    </row>
    <row r="2" spans="1:8" ht="45" x14ac:dyDescent="0.25">
      <c r="A2" s="41" t="s">
        <v>868</v>
      </c>
      <c r="B2" s="32" t="s">
        <v>870</v>
      </c>
      <c r="C2" s="33" t="s">
        <v>869</v>
      </c>
      <c r="D2" s="33"/>
      <c r="E2" s="33"/>
      <c r="F2" s="33">
        <v>2</v>
      </c>
      <c r="G2" s="33" t="s">
        <v>871</v>
      </c>
      <c r="H2" s="34"/>
    </row>
    <row r="3" spans="1:8" ht="45" x14ac:dyDescent="0.25">
      <c r="A3" s="27" t="s">
        <v>880</v>
      </c>
      <c r="B3" s="42" t="s">
        <v>872</v>
      </c>
      <c r="C3" s="29"/>
      <c r="D3" s="29"/>
      <c r="E3" s="29"/>
      <c r="F3" s="29">
        <v>1</v>
      </c>
      <c r="G3" s="33" t="s">
        <v>871</v>
      </c>
      <c r="H3" s="30"/>
    </row>
    <row r="4" spans="1:8" ht="90" x14ac:dyDescent="0.25">
      <c r="A4" s="31" t="s">
        <v>873</v>
      </c>
      <c r="B4" s="32" t="s">
        <v>874</v>
      </c>
      <c r="C4" s="33"/>
      <c r="D4" s="33"/>
      <c r="E4" s="33"/>
      <c r="F4" s="33">
        <v>2</v>
      </c>
      <c r="G4" s="33" t="s">
        <v>871</v>
      </c>
      <c r="H4" s="34"/>
    </row>
    <row r="5" spans="1:8" ht="30" x14ac:dyDescent="0.25">
      <c r="A5" s="27" t="s">
        <v>307</v>
      </c>
      <c r="B5" s="28" t="s">
        <v>876</v>
      </c>
      <c r="C5" s="29"/>
      <c r="D5" s="29" t="s">
        <v>875</v>
      </c>
      <c r="E5" s="29"/>
      <c r="F5" s="29">
        <v>1</v>
      </c>
      <c r="G5" s="33" t="s">
        <v>871</v>
      </c>
      <c r="H5" s="30"/>
    </row>
    <row r="6" spans="1:8" ht="30" x14ac:dyDescent="0.25">
      <c r="A6" s="31"/>
      <c r="B6" s="43" t="s">
        <v>877</v>
      </c>
      <c r="C6" s="33" t="s">
        <v>878</v>
      </c>
      <c r="D6" s="33"/>
      <c r="E6" s="33"/>
      <c r="F6" s="33">
        <v>1</v>
      </c>
      <c r="G6" s="33" t="s">
        <v>871</v>
      </c>
      <c r="H6" s="34"/>
    </row>
    <row r="7" spans="1:8" ht="45" x14ac:dyDescent="0.25">
      <c r="A7" s="27"/>
      <c r="B7" s="42" t="s">
        <v>879</v>
      </c>
      <c r="C7" s="29" t="s">
        <v>878</v>
      </c>
      <c r="D7" s="29"/>
      <c r="E7" s="29"/>
      <c r="F7" s="29">
        <v>1</v>
      </c>
      <c r="G7" s="33" t="s">
        <v>871</v>
      </c>
      <c r="H7" s="30"/>
    </row>
    <row r="8" spans="1:8" ht="75" x14ac:dyDescent="0.25">
      <c r="A8" s="27"/>
      <c r="B8" s="43" t="s">
        <v>881</v>
      </c>
      <c r="C8" s="33"/>
      <c r="D8" s="33"/>
      <c r="E8" s="33"/>
      <c r="F8" s="33">
        <v>1</v>
      </c>
      <c r="G8" s="33" t="s">
        <v>871</v>
      </c>
      <c r="H8" s="34"/>
    </row>
    <row r="9" spans="1:8" x14ac:dyDescent="0.25">
      <c r="A9" s="27"/>
      <c r="B9" s="28"/>
      <c r="C9" s="29"/>
      <c r="D9" s="29"/>
      <c r="E9" s="29"/>
      <c r="F9" s="29"/>
      <c r="G9" s="29"/>
      <c r="H9" s="30"/>
    </row>
    <row r="10" spans="1:8" x14ac:dyDescent="0.25">
      <c r="A10" s="31"/>
      <c r="B10" s="32"/>
      <c r="C10" s="33"/>
      <c r="D10" s="33"/>
      <c r="E10" s="33"/>
      <c r="F10" s="33"/>
      <c r="G10" s="33"/>
      <c r="H10" s="34"/>
    </row>
    <row r="11" spans="1:8" x14ac:dyDescent="0.25">
      <c r="A11" s="27"/>
      <c r="B11" s="28"/>
      <c r="C11" s="29"/>
      <c r="D11" s="29"/>
      <c r="E11" s="29"/>
      <c r="F11" s="29"/>
      <c r="G11" s="29"/>
      <c r="H11" s="30"/>
    </row>
    <row r="12" spans="1:8" x14ac:dyDescent="0.25">
      <c r="A12" s="31"/>
      <c r="B12" s="32"/>
      <c r="C12" s="33"/>
      <c r="D12" s="33"/>
      <c r="E12" s="33"/>
      <c r="F12" s="33"/>
      <c r="G12" s="33"/>
      <c r="H12" s="34"/>
    </row>
    <row r="13" spans="1:8" x14ac:dyDescent="0.25">
      <c r="A13" s="27"/>
      <c r="B13" s="28"/>
      <c r="C13" s="29"/>
      <c r="D13" s="29"/>
      <c r="E13" s="29"/>
      <c r="F13" s="29"/>
      <c r="G13" s="29"/>
      <c r="H13" s="30"/>
    </row>
    <row r="14" spans="1:8" x14ac:dyDescent="0.25">
      <c r="A14" s="31"/>
      <c r="B14" s="32"/>
      <c r="C14" s="33"/>
      <c r="D14" s="33"/>
      <c r="E14" s="33"/>
      <c r="F14" s="33"/>
      <c r="G14" s="33"/>
      <c r="H14" s="34"/>
    </row>
    <row r="15" spans="1:8" x14ac:dyDescent="0.25">
      <c r="A15" s="27"/>
      <c r="B15" s="28"/>
      <c r="C15" s="29"/>
      <c r="D15" s="29"/>
      <c r="E15" s="29"/>
      <c r="F15" s="29"/>
      <c r="G15" s="29"/>
      <c r="H15" s="30"/>
    </row>
    <row r="16" spans="1:8" x14ac:dyDescent="0.25">
      <c r="A16" s="31"/>
      <c r="B16" s="32"/>
      <c r="C16" s="33"/>
      <c r="D16" s="33"/>
      <c r="E16" s="33"/>
      <c r="F16" s="33"/>
      <c r="G16" s="33"/>
      <c r="H16" s="34"/>
    </row>
    <row r="17" spans="1:8" x14ac:dyDescent="0.25">
      <c r="A17" s="27"/>
      <c r="B17" s="28"/>
      <c r="C17" s="29"/>
      <c r="D17" s="29"/>
      <c r="E17" s="29"/>
      <c r="F17" s="29"/>
      <c r="G17" s="29"/>
      <c r="H17" s="30"/>
    </row>
    <row r="18" spans="1:8" x14ac:dyDescent="0.25">
      <c r="A18" s="31"/>
      <c r="B18" s="32"/>
      <c r="C18" s="33"/>
      <c r="D18" s="33"/>
      <c r="E18" s="33"/>
      <c r="F18" s="33"/>
      <c r="G18" s="33"/>
      <c r="H18" s="34"/>
    </row>
    <row r="19" spans="1:8" x14ac:dyDescent="0.25">
      <c r="A19" s="27"/>
      <c r="B19" s="28"/>
      <c r="C19" s="29"/>
      <c r="D19" s="29"/>
      <c r="E19" s="29"/>
      <c r="F19" s="29"/>
      <c r="G19" s="29"/>
      <c r="H19" s="30"/>
    </row>
    <row r="20" spans="1:8" x14ac:dyDescent="0.25">
      <c r="A20" s="31"/>
      <c r="B20" s="32"/>
      <c r="C20" s="33"/>
      <c r="D20" s="33"/>
      <c r="E20" s="33"/>
      <c r="F20" s="33"/>
      <c r="G20" s="33"/>
      <c r="H20" s="34"/>
    </row>
    <row r="21" spans="1:8" x14ac:dyDescent="0.25">
      <c r="A21" s="27"/>
      <c r="B21" s="28"/>
      <c r="C21" s="29"/>
      <c r="D21" s="29"/>
      <c r="E21" s="29"/>
      <c r="F21" s="29"/>
      <c r="G21" s="29"/>
      <c r="H21" s="30"/>
    </row>
    <row r="22" spans="1:8" x14ac:dyDescent="0.25">
      <c r="A22" s="31"/>
      <c r="B22" s="32"/>
      <c r="C22" s="33"/>
      <c r="D22" s="33"/>
      <c r="E22" s="33"/>
      <c r="F22" s="33"/>
      <c r="G22" s="33"/>
      <c r="H22" s="34"/>
    </row>
    <row r="23" spans="1:8" x14ac:dyDescent="0.25">
      <c r="A23" s="27"/>
      <c r="B23" s="28"/>
      <c r="C23" s="29"/>
      <c r="D23" s="29"/>
      <c r="E23" s="29"/>
      <c r="F23" s="29"/>
      <c r="G23" s="29"/>
      <c r="H23" s="30"/>
    </row>
    <row r="24" spans="1:8" x14ac:dyDescent="0.25">
      <c r="A24" s="31"/>
      <c r="B24" s="32"/>
      <c r="C24" s="33"/>
      <c r="D24" s="33"/>
      <c r="E24" s="33"/>
      <c r="F24" s="33"/>
      <c r="G24" s="33"/>
      <c r="H24" s="34"/>
    </row>
    <row r="25" spans="1:8" x14ac:dyDescent="0.25">
      <c r="A25" s="27"/>
      <c r="B25" s="28"/>
      <c r="C25" s="29"/>
      <c r="D25" s="29"/>
      <c r="E25" s="29"/>
      <c r="F25" s="29"/>
      <c r="G25" s="29"/>
      <c r="H25" s="30"/>
    </row>
    <row r="26" spans="1:8" x14ac:dyDescent="0.25">
      <c r="A26" s="31"/>
      <c r="B26" s="32"/>
      <c r="C26" s="33"/>
      <c r="D26" s="33"/>
      <c r="E26" s="33"/>
      <c r="F26" s="33"/>
      <c r="G26" s="33"/>
      <c r="H26" s="34"/>
    </row>
    <row r="27" spans="1:8" x14ac:dyDescent="0.25">
      <c r="A27" s="27"/>
      <c r="B27" s="28"/>
      <c r="C27" s="29"/>
      <c r="D27" s="29"/>
      <c r="E27" s="29"/>
      <c r="F27" s="29"/>
      <c r="G27" s="29"/>
      <c r="H27" s="30"/>
    </row>
    <row r="28" spans="1:8" x14ac:dyDescent="0.25">
      <c r="A28" s="31"/>
      <c r="B28" s="32"/>
      <c r="C28" s="33"/>
      <c r="D28" s="33"/>
      <c r="E28" s="33"/>
      <c r="F28" s="33"/>
      <c r="G28" s="33"/>
      <c r="H28" s="34"/>
    </row>
    <row r="29" spans="1:8" x14ac:dyDescent="0.25">
      <c r="A29" s="27"/>
      <c r="B29" s="28"/>
      <c r="C29" s="29"/>
      <c r="D29" s="29"/>
      <c r="E29" s="29"/>
      <c r="F29" s="29"/>
      <c r="G29" s="29"/>
      <c r="H29" s="30"/>
    </row>
    <row r="30" spans="1:8" x14ac:dyDescent="0.25">
      <c r="A30" s="31"/>
      <c r="B30" s="32"/>
      <c r="C30" s="33"/>
      <c r="D30" s="33"/>
      <c r="E30" s="33"/>
      <c r="F30" s="33"/>
      <c r="G30" s="33"/>
      <c r="H30" s="34"/>
    </row>
    <row r="31" spans="1:8" x14ac:dyDescent="0.25">
      <c r="A31" s="27"/>
      <c r="B31" s="28"/>
      <c r="C31" s="36"/>
      <c r="D31" s="29"/>
      <c r="E31" s="29"/>
      <c r="F31" s="29"/>
      <c r="G31" s="29"/>
      <c r="H31" s="30"/>
    </row>
    <row r="32" spans="1:8" x14ac:dyDescent="0.25">
      <c r="A32" s="31"/>
      <c r="B32" s="32"/>
      <c r="C32" s="35"/>
      <c r="D32" s="33"/>
      <c r="E32" s="33"/>
      <c r="F32" s="33"/>
      <c r="G32" s="33"/>
      <c r="H32" s="34"/>
    </row>
    <row r="33" spans="1:8" x14ac:dyDescent="0.25">
      <c r="A33" s="27"/>
      <c r="B33" s="28"/>
      <c r="C33" s="29"/>
      <c r="D33" s="36"/>
      <c r="E33" s="36"/>
      <c r="F33" s="29"/>
      <c r="G33" s="29"/>
      <c r="H33" s="30"/>
    </row>
    <row r="34" spans="1:8" x14ac:dyDescent="0.25">
      <c r="A34" s="31"/>
      <c r="B34" s="32"/>
      <c r="C34" s="33"/>
      <c r="D34" s="35"/>
      <c r="E34" s="35"/>
      <c r="F34" s="33"/>
      <c r="G34" s="33"/>
      <c r="H34" s="34"/>
    </row>
    <row r="35" spans="1:8" x14ac:dyDescent="0.25">
      <c r="A35" s="27"/>
      <c r="B35" s="28"/>
      <c r="C35" s="29"/>
      <c r="D35" s="36"/>
      <c r="E35" s="36"/>
      <c r="F35" s="29"/>
      <c r="G35" s="29"/>
      <c r="H35" s="30"/>
    </row>
    <row r="36" spans="1:8" x14ac:dyDescent="0.25">
      <c r="A36" s="31"/>
      <c r="B36" s="32"/>
      <c r="C36" s="33"/>
      <c r="D36" s="33"/>
      <c r="E36" s="33"/>
      <c r="F36" s="33"/>
      <c r="G36" s="33"/>
      <c r="H36" s="34"/>
    </row>
    <row r="37" spans="1:8" x14ac:dyDescent="0.25">
      <c r="A37" s="27"/>
      <c r="B37" s="28"/>
      <c r="C37" s="36"/>
      <c r="D37" s="29"/>
      <c r="E37" s="29"/>
      <c r="F37" s="29"/>
      <c r="G37" s="29"/>
      <c r="H37" s="30"/>
    </row>
    <row r="38" spans="1:8" x14ac:dyDescent="0.25">
      <c r="A38" s="31"/>
      <c r="B38" s="32"/>
      <c r="C38" s="33"/>
      <c r="D38" s="33"/>
      <c r="E38" s="33"/>
      <c r="F38" s="33"/>
      <c r="G38" s="33"/>
      <c r="H38" s="34"/>
    </row>
    <row r="39" spans="1:8" x14ac:dyDescent="0.25">
      <c r="A39" s="27"/>
      <c r="B39" s="28"/>
      <c r="C39" s="29"/>
      <c r="D39" s="29"/>
      <c r="E39" s="29"/>
      <c r="F39" s="29"/>
      <c r="G39" s="29"/>
      <c r="H39" s="30"/>
    </row>
    <row r="40" spans="1:8" x14ac:dyDescent="0.25">
      <c r="A40" s="31"/>
      <c r="B40" s="32"/>
      <c r="C40" s="33"/>
      <c r="D40" s="33"/>
      <c r="E40" s="33"/>
      <c r="F40" s="33"/>
      <c r="G40" s="33"/>
      <c r="H40" s="34"/>
    </row>
    <row r="41" spans="1:8" x14ac:dyDescent="0.25">
      <c r="A41" s="27"/>
      <c r="B41" s="28"/>
      <c r="C41" s="29"/>
      <c r="D41" s="29"/>
      <c r="E41" s="29"/>
      <c r="F41" s="29"/>
      <c r="G41" s="29"/>
      <c r="H41" s="30"/>
    </row>
    <row r="42" spans="1:8" x14ac:dyDescent="0.25">
      <c r="A42" s="31"/>
      <c r="B42" s="32"/>
      <c r="C42" s="33"/>
      <c r="D42" s="33"/>
      <c r="E42" s="33"/>
      <c r="F42" s="33"/>
      <c r="G42" s="33"/>
      <c r="H42" s="34"/>
    </row>
    <row r="43" spans="1:8" x14ac:dyDescent="0.25">
      <c r="A43" s="27"/>
      <c r="B43" s="28"/>
      <c r="C43" s="29"/>
      <c r="D43" s="29"/>
      <c r="E43" s="29"/>
      <c r="F43" s="29"/>
      <c r="G43" s="29"/>
      <c r="H43" s="30"/>
    </row>
    <row r="44" spans="1:8" x14ac:dyDescent="0.25">
      <c r="A44" s="31"/>
      <c r="B44" s="32"/>
      <c r="C44" s="33"/>
      <c r="D44" s="33"/>
      <c r="E44" s="33"/>
      <c r="F44" s="33"/>
      <c r="G44" s="33"/>
      <c r="H44" s="34"/>
    </row>
    <row r="45" spans="1:8" x14ac:dyDescent="0.25">
      <c r="A45" s="27"/>
      <c r="B45" s="28"/>
      <c r="C45" s="29"/>
      <c r="D45" s="29"/>
      <c r="E45" s="29"/>
      <c r="F45" s="29"/>
      <c r="G45" s="29"/>
      <c r="H45" s="30"/>
    </row>
    <row r="46" spans="1:8" x14ac:dyDescent="0.25">
      <c r="A46" s="31"/>
      <c r="B46" s="32"/>
      <c r="C46" s="33"/>
      <c r="D46" s="33"/>
      <c r="E46" s="33"/>
      <c r="F46" s="33"/>
      <c r="G46" s="33"/>
      <c r="H46" s="34"/>
    </row>
    <row r="47" spans="1:8" x14ac:dyDescent="0.25">
      <c r="A47" s="27"/>
      <c r="B47" s="28"/>
      <c r="C47" s="29"/>
      <c r="D47" s="29"/>
      <c r="E47" s="29"/>
      <c r="F47" s="29"/>
      <c r="G47" s="29"/>
      <c r="H47" s="30"/>
    </row>
    <row r="48" spans="1:8" x14ac:dyDescent="0.25">
      <c r="A48" s="31"/>
      <c r="B48" s="32"/>
      <c r="C48" s="33"/>
      <c r="D48" s="33"/>
      <c r="E48" s="33"/>
      <c r="F48" s="33"/>
      <c r="G48" s="33"/>
      <c r="H48" s="34"/>
    </row>
    <row r="49" spans="1:8" x14ac:dyDescent="0.25">
      <c r="A49" s="27"/>
      <c r="B49" s="28"/>
      <c r="C49" s="29"/>
      <c r="D49" s="29"/>
      <c r="E49" s="29"/>
      <c r="F49" s="29"/>
      <c r="G49" s="29"/>
      <c r="H49" s="30"/>
    </row>
    <row r="50" spans="1:8" x14ac:dyDescent="0.25">
      <c r="A50" s="31"/>
      <c r="B50" s="32"/>
      <c r="C50" s="33"/>
      <c r="D50" s="33"/>
      <c r="E50" s="33"/>
      <c r="F50" s="33"/>
      <c r="G50" s="33"/>
      <c r="H50" s="34"/>
    </row>
    <row r="51" spans="1:8" x14ac:dyDescent="0.25">
      <c r="A51" s="27"/>
      <c r="B51" s="28"/>
      <c r="C51" s="29"/>
      <c r="D51" s="29"/>
      <c r="E51" s="29"/>
      <c r="F51" s="29"/>
      <c r="G51" s="29"/>
      <c r="H51" s="30"/>
    </row>
    <row r="52" spans="1:8" x14ac:dyDescent="0.25">
      <c r="A52" s="31"/>
      <c r="B52" s="32"/>
      <c r="C52" s="33"/>
      <c r="D52" s="33"/>
      <c r="E52" s="33"/>
      <c r="F52" s="33"/>
      <c r="G52" s="33"/>
      <c r="H52" s="34"/>
    </row>
    <row r="53" spans="1:8" x14ac:dyDescent="0.25">
      <c r="A53" s="27"/>
      <c r="B53" s="28"/>
      <c r="C53" s="29"/>
      <c r="D53" s="29"/>
      <c r="E53" s="29"/>
      <c r="F53" s="29"/>
      <c r="G53" s="29"/>
      <c r="H53" s="30"/>
    </row>
    <row r="54" spans="1:8" x14ac:dyDescent="0.25">
      <c r="A54" s="31"/>
      <c r="B54" s="32"/>
      <c r="C54" s="33"/>
      <c r="D54" s="33"/>
      <c r="E54" s="33"/>
      <c r="F54" s="33"/>
      <c r="G54" s="33"/>
      <c r="H54" s="34"/>
    </row>
    <row r="55" spans="1:8" x14ac:dyDescent="0.25">
      <c r="A55" s="27"/>
      <c r="B55" s="28"/>
      <c r="C55" s="29"/>
      <c r="D55" s="29"/>
      <c r="E55" s="29"/>
      <c r="F55" s="29"/>
      <c r="G55" s="29"/>
      <c r="H55" s="30"/>
    </row>
    <row r="56" spans="1:8" x14ac:dyDescent="0.25">
      <c r="A56" s="31"/>
      <c r="B56" s="32"/>
      <c r="C56" s="33"/>
      <c r="D56" s="33"/>
      <c r="E56" s="33"/>
      <c r="F56" s="33"/>
      <c r="G56" s="33"/>
      <c r="H56" s="34"/>
    </row>
    <row r="57" spans="1:8" x14ac:dyDescent="0.25">
      <c r="A57" s="27"/>
      <c r="B57" s="28"/>
      <c r="C57" s="29"/>
      <c r="D57" s="29"/>
      <c r="E57" s="29"/>
      <c r="F57" s="29"/>
      <c r="G57" s="29"/>
      <c r="H57" s="30"/>
    </row>
    <row r="58" spans="1:8" x14ac:dyDescent="0.25">
      <c r="A58" s="31"/>
      <c r="B58" s="32"/>
      <c r="C58" s="33"/>
      <c r="D58" s="33"/>
      <c r="E58" s="33"/>
      <c r="F58" s="33"/>
      <c r="G58" s="33"/>
      <c r="H58" s="34"/>
    </row>
    <row r="59" spans="1:8" x14ac:dyDescent="0.25">
      <c r="A59" s="27"/>
      <c r="B59" s="28"/>
      <c r="C59" s="29"/>
      <c r="D59" s="29"/>
      <c r="E59" s="29"/>
      <c r="F59" s="29"/>
      <c r="G59" s="29"/>
      <c r="H59" s="30"/>
    </row>
    <row r="60" spans="1:8" x14ac:dyDescent="0.25">
      <c r="A60" s="31"/>
      <c r="B60" s="32"/>
      <c r="C60" s="35"/>
      <c r="D60" s="33"/>
      <c r="E60" s="33"/>
      <c r="F60" s="33"/>
      <c r="G60" s="33"/>
      <c r="H60" s="34"/>
    </row>
    <row r="61" spans="1:8" x14ac:dyDescent="0.25">
      <c r="A61" s="27"/>
      <c r="B61" s="28"/>
      <c r="C61" s="36"/>
      <c r="D61" s="29"/>
      <c r="E61" s="29"/>
      <c r="F61" s="29"/>
      <c r="G61" s="29"/>
      <c r="H61" s="30"/>
    </row>
    <row r="62" spans="1:8" x14ac:dyDescent="0.25">
      <c r="A62" s="31"/>
      <c r="B62" s="32"/>
      <c r="C62" s="35"/>
      <c r="D62" s="33"/>
      <c r="E62" s="33"/>
      <c r="F62" s="33"/>
      <c r="G62" s="33"/>
      <c r="H62" s="34"/>
    </row>
    <row r="63" spans="1:8" x14ac:dyDescent="0.25">
      <c r="A63" s="27"/>
      <c r="B63" s="28"/>
      <c r="C63" s="29"/>
      <c r="D63" s="29"/>
      <c r="E63" s="29"/>
      <c r="F63" s="29"/>
      <c r="G63" s="29"/>
      <c r="H63" s="30"/>
    </row>
    <row r="64" spans="1:8" x14ac:dyDescent="0.25">
      <c r="A64" s="31"/>
      <c r="B64" s="32"/>
      <c r="C64" s="35"/>
      <c r="D64" s="33"/>
      <c r="E64" s="33"/>
      <c r="F64" s="33"/>
      <c r="G64" s="33"/>
      <c r="H64" s="34"/>
    </row>
    <row r="65" spans="1:8" x14ac:dyDescent="0.25">
      <c r="A65" s="27"/>
      <c r="B65" s="28"/>
      <c r="C65" s="29"/>
      <c r="D65" s="29"/>
      <c r="E65" s="29"/>
      <c r="F65" s="29"/>
      <c r="G65" s="29"/>
      <c r="H65" s="30"/>
    </row>
    <row r="66" spans="1:8" x14ac:dyDescent="0.25">
      <c r="A66" s="31"/>
      <c r="B66" s="32"/>
      <c r="C66" s="35"/>
      <c r="D66" s="33"/>
      <c r="E66" s="33"/>
      <c r="F66" s="33"/>
      <c r="G66" s="33"/>
      <c r="H66" s="34"/>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1E1FA95-4D1D-4BFB-B88A-3DA766974B0F}">
          <x14:formula1>
            <xm:f>Configuracion!$X$2:$X$5</xm:f>
          </x14:formula1>
          <xm:sqref>C8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124"/>
  <sheetViews>
    <sheetView topLeftCell="F1" workbookViewId="0">
      <selection activeCell="I5" sqref="I5"/>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5"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732</v>
      </c>
      <c r="X1" t="s">
        <v>765</v>
      </c>
      <c r="Y1" t="s">
        <v>868</v>
      </c>
    </row>
    <row r="2" spans="1:25"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733</v>
      </c>
      <c r="X2" t="s">
        <v>766</v>
      </c>
      <c r="Y2" t="s">
        <v>869</v>
      </c>
    </row>
    <row r="3" spans="1:25" x14ac:dyDescent="0.25">
      <c r="A3" t="s">
        <v>663</v>
      </c>
      <c r="F3" s="3" t="s">
        <v>50</v>
      </c>
      <c r="G3" t="s">
        <v>72</v>
      </c>
      <c r="H3" t="s">
        <v>38</v>
      </c>
      <c r="I3" t="s">
        <v>800</v>
      </c>
      <c r="J3" t="s">
        <v>65</v>
      </c>
      <c r="K3" t="s">
        <v>69</v>
      </c>
      <c r="L3" t="s">
        <v>52</v>
      </c>
      <c r="P3" t="s">
        <v>108</v>
      </c>
      <c r="Q3" t="s">
        <v>128</v>
      </c>
      <c r="R3" t="s">
        <v>809</v>
      </c>
      <c r="S3" t="s">
        <v>537</v>
      </c>
      <c r="T3" t="s">
        <v>634</v>
      </c>
      <c r="U3" t="s">
        <v>108</v>
      </c>
      <c r="V3" t="s">
        <v>644</v>
      </c>
      <c r="W3" t="s">
        <v>734</v>
      </c>
      <c r="X3" t="s">
        <v>767</v>
      </c>
    </row>
    <row r="4" spans="1:25" x14ac:dyDescent="0.25">
      <c r="A4" t="s">
        <v>320</v>
      </c>
      <c r="F4" t="s">
        <v>79</v>
      </c>
      <c r="G4" t="s">
        <v>288</v>
      </c>
      <c r="H4" t="s">
        <v>103</v>
      </c>
      <c r="I4" t="s">
        <v>41</v>
      </c>
      <c r="J4" t="s">
        <v>728</v>
      </c>
      <c r="K4" t="s">
        <v>67</v>
      </c>
      <c r="P4" t="s">
        <v>106</v>
      </c>
      <c r="Q4" t="s">
        <v>129</v>
      </c>
      <c r="R4" t="s">
        <v>849</v>
      </c>
      <c r="T4" t="s">
        <v>635</v>
      </c>
      <c r="U4" s="6" t="s">
        <v>799</v>
      </c>
      <c r="V4" t="s">
        <v>691</v>
      </c>
      <c r="W4" t="s">
        <v>63</v>
      </c>
      <c r="X4" t="s">
        <v>768</v>
      </c>
    </row>
    <row r="5" spans="1:25" x14ac:dyDescent="0.25">
      <c r="A5" t="s">
        <v>679</v>
      </c>
      <c r="F5" t="s">
        <v>30</v>
      </c>
      <c r="G5" t="s">
        <v>33</v>
      </c>
      <c r="I5" s="6" t="s">
        <v>915</v>
      </c>
      <c r="J5" t="s">
        <v>729</v>
      </c>
      <c r="K5" t="s">
        <v>45</v>
      </c>
      <c r="P5" t="s">
        <v>467</v>
      </c>
      <c r="Q5" t="s">
        <v>130</v>
      </c>
      <c r="T5" t="s">
        <v>636</v>
      </c>
      <c r="W5" t="s">
        <v>735</v>
      </c>
      <c r="X5" t="s">
        <v>769</v>
      </c>
    </row>
    <row r="6" spans="1:25" x14ac:dyDescent="0.25">
      <c r="A6" t="s">
        <v>43</v>
      </c>
      <c r="F6" t="s">
        <v>77</v>
      </c>
      <c r="G6" t="s">
        <v>52</v>
      </c>
      <c r="J6" t="s">
        <v>862</v>
      </c>
      <c r="K6" t="s">
        <v>64</v>
      </c>
      <c r="Q6" t="s">
        <v>125</v>
      </c>
      <c r="T6" t="s">
        <v>575</v>
      </c>
      <c r="W6" t="s">
        <v>736</v>
      </c>
    </row>
    <row r="7" spans="1:25" x14ac:dyDescent="0.25">
      <c r="A7" t="s">
        <v>307</v>
      </c>
      <c r="F7" t="s">
        <v>58</v>
      </c>
      <c r="G7" t="s">
        <v>800</v>
      </c>
      <c r="J7" t="s">
        <v>863</v>
      </c>
      <c r="K7" t="s">
        <v>301</v>
      </c>
      <c r="Q7" t="s">
        <v>126</v>
      </c>
      <c r="T7" t="s">
        <v>693</v>
      </c>
      <c r="W7" t="s">
        <v>33</v>
      </c>
    </row>
    <row r="8" spans="1:25" x14ac:dyDescent="0.25">
      <c r="A8" t="s">
        <v>670</v>
      </c>
      <c r="F8" t="s">
        <v>121</v>
      </c>
      <c r="G8" t="s">
        <v>806</v>
      </c>
      <c r="K8" t="s">
        <v>808</v>
      </c>
      <c r="Q8" t="s">
        <v>802</v>
      </c>
      <c r="T8" t="s">
        <v>790</v>
      </c>
      <c r="W8" t="s">
        <v>52</v>
      </c>
    </row>
    <row r="9" spans="1:25" x14ac:dyDescent="0.25">
      <c r="A9" t="s">
        <v>139</v>
      </c>
      <c r="F9" t="s">
        <v>31</v>
      </c>
      <c r="K9" t="s">
        <v>864</v>
      </c>
      <c r="L9" t="s">
        <v>55</v>
      </c>
      <c r="M9" t="s">
        <v>63</v>
      </c>
      <c r="N9" t="s">
        <v>33</v>
      </c>
      <c r="O9" t="s">
        <v>52</v>
      </c>
      <c r="Q9" t="s">
        <v>800</v>
      </c>
      <c r="W9" t="s">
        <v>72</v>
      </c>
    </row>
    <row r="10" spans="1:25" x14ac:dyDescent="0.25">
      <c r="A10" t="s">
        <v>109</v>
      </c>
      <c r="F10" t="s">
        <v>123</v>
      </c>
      <c r="K10" t="s">
        <v>867</v>
      </c>
    </row>
    <row r="11" spans="1:25" x14ac:dyDescent="0.25">
      <c r="A11" t="s">
        <v>468</v>
      </c>
      <c r="F11" t="s">
        <v>290</v>
      </c>
      <c r="K11" t="s">
        <v>866</v>
      </c>
    </row>
    <row r="12" spans="1:25" x14ac:dyDescent="0.25">
      <c r="A12" t="s">
        <v>468</v>
      </c>
      <c r="F12" t="s">
        <v>738</v>
      </c>
    </row>
    <row r="13" spans="1:25" x14ac:dyDescent="0.25">
      <c r="A13" t="s">
        <v>466</v>
      </c>
      <c r="F13" t="s">
        <v>783</v>
      </c>
    </row>
    <row r="14" spans="1:25" x14ac:dyDescent="0.25">
      <c r="A14" t="s">
        <v>116</v>
      </c>
      <c r="F14" t="s">
        <v>41</v>
      </c>
    </row>
    <row r="15" spans="1:25" x14ac:dyDescent="0.25">
      <c r="A15" s="1" t="s">
        <v>92</v>
      </c>
      <c r="F15" t="s">
        <v>784</v>
      </c>
    </row>
    <row r="16" spans="1:25" x14ac:dyDescent="0.25">
      <c r="A16" t="s">
        <v>215</v>
      </c>
      <c r="F16" t="s">
        <v>860</v>
      </c>
    </row>
    <row r="17" spans="1:6" x14ac:dyDescent="0.25">
      <c r="A17" t="s">
        <v>479</v>
      </c>
      <c r="F17" t="s">
        <v>860</v>
      </c>
    </row>
    <row r="18" spans="1:6" x14ac:dyDescent="0.25">
      <c r="A18" t="s">
        <v>671</v>
      </c>
    </row>
    <row r="19" spans="1:6" x14ac:dyDescent="0.25">
      <c r="A19" t="s">
        <v>745</v>
      </c>
    </row>
    <row r="20" spans="1:6" x14ac:dyDescent="0.25">
      <c r="A20" t="s">
        <v>374</v>
      </c>
    </row>
    <row r="21" spans="1:6" x14ac:dyDescent="0.25">
      <c r="A21" t="s">
        <v>143</v>
      </c>
    </row>
    <row r="22" spans="1:6" x14ac:dyDescent="0.25">
      <c r="A22" t="s">
        <v>400</v>
      </c>
    </row>
    <row r="23" spans="1:6" x14ac:dyDescent="0.25">
      <c r="A23" t="s">
        <v>89</v>
      </c>
    </row>
    <row r="24" spans="1:6" x14ac:dyDescent="0.25">
      <c r="A24" t="s">
        <v>253</v>
      </c>
    </row>
    <row r="25" spans="1:6" x14ac:dyDescent="0.25">
      <c r="A25" t="s">
        <v>46</v>
      </c>
    </row>
    <row r="26" spans="1:6" x14ac:dyDescent="0.25">
      <c r="A26" t="s">
        <v>362</v>
      </c>
    </row>
    <row r="27" spans="1:6" x14ac:dyDescent="0.25">
      <c r="A27" t="s">
        <v>427</v>
      </c>
    </row>
    <row r="28" spans="1:6" x14ac:dyDescent="0.25">
      <c r="A28" t="s">
        <v>395</v>
      </c>
    </row>
    <row r="29" spans="1:6" x14ac:dyDescent="0.25">
      <c r="A29" t="s">
        <v>173</v>
      </c>
    </row>
    <row r="30" spans="1:6" x14ac:dyDescent="0.25">
      <c r="A30" t="s">
        <v>53</v>
      </c>
    </row>
    <row r="31" spans="1:6" x14ac:dyDescent="0.25">
      <c r="A31" t="s">
        <v>502</v>
      </c>
    </row>
    <row r="32" spans="1:6" x14ac:dyDescent="0.25">
      <c r="A32" t="s">
        <v>83</v>
      </c>
    </row>
    <row r="33" spans="1:1" x14ac:dyDescent="0.25">
      <c r="A33" t="s">
        <v>713</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696</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765</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4" t="s">
        <v>740</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749</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756</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5" t="s">
        <v>90</v>
      </c>
    </row>
    <row r="112" spans="1:1" x14ac:dyDescent="0.25">
      <c r="A112" t="s">
        <v>11</v>
      </c>
    </row>
    <row r="113" spans="1:1" x14ac:dyDescent="0.25">
      <c r="A113" t="s">
        <v>54</v>
      </c>
    </row>
    <row r="114" spans="1:1" x14ac:dyDescent="0.25">
      <c r="A114" t="s">
        <v>175</v>
      </c>
    </row>
    <row r="115" spans="1:1" x14ac:dyDescent="0.25">
      <c r="A115" t="s">
        <v>762</v>
      </c>
    </row>
    <row r="116" spans="1:1" x14ac:dyDescent="0.25">
      <c r="A116" t="s">
        <v>732</v>
      </c>
    </row>
    <row r="117" spans="1:1" x14ac:dyDescent="0.25">
      <c r="A117" t="s">
        <v>796</v>
      </c>
    </row>
    <row r="118" spans="1:1" x14ac:dyDescent="0.25">
      <c r="A118" t="s">
        <v>844</v>
      </c>
    </row>
    <row r="119" spans="1:1" x14ac:dyDescent="0.25">
      <c r="A119" t="s">
        <v>868</v>
      </c>
    </row>
    <row r="120" spans="1:1" x14ac:dyDescent="0.25">
      <c r="A120" t="s">
        <v>883</v>
      </c>
    </row>
    <row r="121" spans="1:1" x14ac:dyDescent="0.25">
      <c r="A121" t="s">
        <v>884</v>
      </c>
    </row>
    <row r="122" spans="1:1" x14ac:dyDescent="0.25">
      <c r="A122" t="s">
        <v>885</v>
      </c>
    </row>
    <row r="123" spans="1:1" x14ac:dyDescent="0.25">
      <c r="A123" t="s">
        <v>886</v>
      </c>
    </row>
    <row r="124" spans="1:1" x14ac:dyDescent="0.25">
      <c r="A124" t="s">
        <v>887</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Altura (provisional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2019-03-20T23:21:06Z</dcterms:modified>
</cp:coreProperties>
</file>