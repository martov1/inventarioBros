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filterPrivacy="1" codeName="ThisWorkbook"/>
  <xr:revisionPtr revIDLastSave="0" documentId="13_ncr:1_{45EFA31B-5577-4AF5-BB4A-12B9662CD444}" xr6:coauthVersionLast="36" xr6:coauthVersionMax="36" xr10:uidLastSave="{00000000-0000-0000-0000-000000000000}"/>
  <bookViews>
    <workbookView xWindow="0" yWindow="0" windowWidth="22260" windowHeight="12645" activeTab="1" xr2:uid="{00000000-000D-0000-FFFF-FFFF00000000}"/>
  </bookViews>
  <sheets>
    <sheet name="Movil 51" sheetId="1" r:id="rId1"/>
    <sheet name="Movil 41" sheetId="4" r:id="rId2"/>
    <sheet name="Movil 39" sheetId="5" r:id="rId3"/>
    <sheet name="Movil 52" sheetId="6" r:id="rId4"/>
    <sheet name="Inventario general" sheetId="2" r:id="rId5"/>
    <sheet name="Configuracion" sheetId="3" r:id="rId6"/>
  </sheets>
  <functionGroups builtInGroupCount="19"/>
  <definedNames>
    <definedName name="Bolsos" localSheetId="2">Table2[Bolsos]</definedName>
    <definedName name="Bolsos">Table2[Bolsos]</definedName>
    <definedName name="BolsosM41" localSheetId="2">Table21014[[#All],[Bolsos]]</definedName>
    <definedName name="BolsosM41">Table210[[#All],[Bolsos]]</definedName>
    <definedName name="BolsosM52">Table21014[[#All],[Bolsos]]</definedName>
    <definedName name="ca" localSheetId="2">#REF!</definedName>
    <definedName name="ca">#REF!</definedName>
    <definedName name="Cajoneras" localSheetId="2">Table5[#Headers]</definedName>
    <definedName name="Cajoneras">Table5[#Headers]</definedName>
    <definedName name="CajonerasM39" localSheetId="2">Table51115[#Headers]</definedName>
    <definedName name="CajonerasM39">Table51115[#Headers]</definedName>
    <definedName name="CajonerasM41">Table511[#Headers]</definedName>
    <definedName name="CajonerasM52">Table5111519[#Headers]</definedName>
    <definedName name="categorias" localSheetId="2">Table4[[#All],[Categorias disponibles]]</definedName>
    <definedName name="categorias">Table4[[#All],[Categorias disponibles]]</definedName>
    <definedName name="Compartimientos" localSheetId="2">Table5[]</definedName>
    <definedName name="Compartimientos">Table5[]</definedName>
    <definedName name="CompartimientosM39">Table51115[]</definedName>
    <definedName name="CompartimientosM41" localSheetId="2">Table51115[]</definedName>
    <definedName name="CompartimientosM41">Table511[]</definedName>
    <definedName name="CompartimientosM52">Table5111519[]</definedName>
    <definedName name="Medidas" localSheetId="2">Table3[#All]</definedName>
    <definedName name="Medidas">Table3[#All]</definedName>
    <definedName name="_xlnm.Print_Area" localSheetId="0">Table1[#All]</definedName>
    <definedName name="_xlnm.Print_Titles" localSheetId="0">'Movil 51'!$1:$1</definedName>
    <definedName name="validacion" localSheetId="2">Table3[#All]</definedName>
    <definedName name="validacion">Table3[#All]</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8" i="1" l="1"/>
  <c r="B118" i="1"/>
  <c r="B119" i="1"/>
  <c r="B29" i="1"/>
  <c r="B80" i="1"/>
  <c r="B79" i="1"/>
  <c r="B90" i="4"/>
  <c r="B89" i="4"/>
  <c r="B88" i="4"/>
  <c r="B86" i="4"/>
  <c r="B87" i="4"/>
  <c r="B85" i="4"/>
  <c r="B54" i="4"/>
  <c r="B11" i="4"/>
  <c r="B40" i="4"/>
  <c r="B35" i="4"/>
  <c r="B65" i="4"/>
  <c r="B39" i="4"/>
  <c r="B67" i="4"/>
  <c r="B64" i="4"/>
  <c r="B60" i="4"/>
  <c r="B59" i="4"/>
  <c r="B12" i="4"/>
  <c r="B10" i="4"/>
  <c r="B38" i="4"/>
  <c r="B34" i="4"/>
  <c r="B61" i="4"/>
  <c r="B37" i="4"/>
  <c r="B66" i="4"/>
  <c r="B62" i="4"/>
  <c r="B63" i="4"/>
</calcChain>
</file>

<file path=xl/sharedStrings.xml><?xml version="1.0" encoding="utf-8"?>
<sst xmlns="http://schemas.openxmlformats.org/spreadsheetml/2006/main" count="1484" uniqueCount="504">
  <si>
    <t>Categoria</t>
  </si>
  <si>
    <t>Descripcion</t>
  </si>
  <si>
    <t>Medidas</t>
  </si>
  <si>
    <t>marca</t>
  </si>
  <si>
    <t>N/ de serie</t>
  </si>
  <si>
    <t>Cajonera 2</t>
  </si>
  <si>
    <t>Cajonera 3</t>
  </si>
  <si>
    <t>Interior</t>
  </si>
  <si>
    <t>Cajonera 1</t>
  </si>
  <si>
    <t>Cajonera 4</t>
  </si>
  <si>
    <t>Cajonera 5</t>
  </si>
  <si>
    <t>Tramos</t>
  </si>
  <si>
    <t>Herramientas electricas</t>
  </si>
  <si>
    <t>Cajonera</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</si>
  <si>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</si>
  <si>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</si>
  <si>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</si>
  <si>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</si>
  <si>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</si>
  <si>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</si>
  <si>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</si>
  <si>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</si>
  <si>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</si>
  <si>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</si>
  <si>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</si>
  <si>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</si>
  <si>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</si>
  <si>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</si>
  <si>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</si>
  <si>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</si>
  <si>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</si>
  <si>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</si>
  <si>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</si>
  <si>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</si>
  <si>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</si>
  <si>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</si>
  <si>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</si>
  <si>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</si>
  <si>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</si>
  <si>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</si>
  <si>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</si>
  <si>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</si>
  <si>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</si>
  <si>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</si>
  <si>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</si>
  <si>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</si>
  <si>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</si>
  <si>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</si>
  <si>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</si>
  <si>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</si>
  <si>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</si>
  <si>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</si>
  <si>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</si>
  <si>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</si>
  <si>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Trineo</t>
  </si>
  <si>
    <t>45S-45S</t>
  </si>
  <si>
    <t>kugel-bypp</t>
  </si>
  <si>
    <t>tela</t>
  </si>
  <si>
    <t>63S-38-63S</t>
  </si>
  <si>
    <t>Lanzas especiales</t>
  </si>
  <si>
    <t>lanza de espuma de baja expansion</t>
  </si>
  <si>
    <t>Filtros</t>
  </si>
  <si>
    <t>Filtro para succion</t>
  </si>
  <si>
    <t>63W</t>
  </si>
  <si>
    <t>25S-19D</t>
  </si>
  <si>
    <t>Reductor para extension de devanadera</t>
  </si>
  <si>
    <t>45W-45S</t>
  </si>
  <si>
    <t>63W-63S</t>
  </si>
  <si>
    <t>63S-45S</t>
  </si>
  <si>
    <t>Macho</t>
  </si>
  <si>
    <t>45S-38S</t>
  </si>
  <si>
    <t>45S-25S</t>
  </si>
  <si>
    <t>POK, c/corte rapido, c/reg. De caudal</t>
  </si>
  <si>
    <t>38S</t>
  </si>
  <si>
    <t>lanzas</t>
  </si>
  <si>
    <t>POK, c/corte rapido, s/reg. De caudal</t>
  </si>
  <si>
    <t>Sintetico, amarillo, estiba</t>
  </si>
  <si>
    <t>Sintetico, marron, estiba</t>
  </si>
  <si>
    <t>63S-38-38S</t>
  </si>
  <si>
    <t>SG3012</t>
  </si>
  <si>
    <t>38S-38-38S</t>
  </si>
  <si>
    <t>Equipo de rescate</t>
  </si>
  <si>
    <t>Core</t>
  </si>
  <si>
    <t>briggs</t>
  </si>
  <si>
    <t>corta-pedal</t>
  </si>
  <si>
    <t>Bomba manual para herramientas hidraulicas. No CORE</t>
  </si>
  <si>
    <t>CORE</t>
  </si>
  <si>
    <t>Monitor</t>
  </si>
  <si>
    <t>Taco escalonado</t>
  </si>
  <si>
    <t>Color negro, sintetico</t>
  </si>
  <si>
    <t>Tabla espinal</t>
  </si>
  <si>
    <t>2 con spider, 2 con straps</t>
  </si>
  <si>
    <t>Chaleco salvavidas</t>
  </si>
  <si>
    <t>Traje de aproximacion</t>
  </si>
  <si>
    <t>nivel A</t>
  </si>
  <si>
    <t>Caja o bolso</t>
  </si>
  <si>
    <t>Bolso de collares</t>
  </si>
  <si>
    <t>collar G</t>
  </si>
  <si>
    <t>Collar M</t>
  </si>
  <si>
    <t>collar ch</t>
  </si>
  <si>
    <t>collar P</t>
  </si>
  <si>
    <t>dual</t>
  </si>
  <si>
    <t>Ram hidraulico</t>
  </si>
  <si>
    <t>holmatro</t>
  </si>
  <si>
    <t>Herr Multiproposito hidraul.</t>
  </si>
  <si>
    <t>2 tiempos</t>
  </si>
  <si>
    <t>still</t>
  </si>
  <si>
    <t>Accesorio EQ. Rescate</t>
  </si>
  <si>
    <t>esquinero para RAM</t>
  </si>
  <si>
    <t>cadenas</t>
  </si>
  <si>
    <t>3m</t>
  </si>
  <si>
    <t>1m</t>
  </si>
  <si>
    <t>Grilletes</t>
  </si>
  <si>
    <t>pequeño</t>
  </si>
  <si>
    <t>mediano</t>
  </si>
  <si>
    <t>grande</t>
  </si>
  <si>
    <t>bidon</t>
  </si>
  <si>
    <t>Para mezcla 2T</t>
  </si>
  <si>
    <t>Lona</t>
  </si>
  <si>
    <t>lona para parque de materiales</t>
  </si>
  <si>
    <t>Accesorio de traccion</t>
  </si>
  <si>
    <t>para Nafta, 5L, con pico vertedor</t>
  </si>
  <si>
    <t>Tabla corta con straps</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</si>
  <si>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</si>
  <si>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</si>
  <si>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</si>
  <si>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</si>
  <si>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</si>
  <si>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</si>
  <si>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</si>
  <si>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</si>
  <si>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</si>
  <si>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</si>
  <si>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</si>
  <si>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</si>
  <si>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</si>
  <si>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</si>
  <si>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</si>
  <si>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</si>
  <si>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</si>
  <si>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expulsion willworth macho</t>
  </si>
  <si>
    <t>OHV</t>
  </si>
  <si>
    <t>Forzador de aire</t>
  </si>
  <si>
    <t>modelo GX200</t>
  </si>
  <si>
    <t>Honda</t>
  </si>
  <si>
    <t>M340-0103-0006</t>
  </si>
  <si>
    <t>Bichero</t>
  </si>
  <si>
    <t>Material dielectrico</t>
  </si>
  <si>
    <t>Alfombra dielectrica</t>
  </si>
  <si>
    <t>90cm x 90cm</t>
  </si>
  <si>
    <t>Chaleco de extircacion</t>
  </si>
  <si>
    <t>Material ferroviario</t>
  </si>
  <si>
    <t>Barra de corte electrico para tercer riel</t>
  </si>
  <si>
    <t>Bolso de trauma</t>
  </si>
  <si>
    <t>collar CH</t>
  </si>
  <si>
    <t>Ambù con bolsa de Oxigenacion</t>
  </si>
  <si>
    <t>Ambù sin bolsa de Oxigenacion</t>
  </si>
  <si>
    <t>Dispositivo de succion manual</t>
  </si>
  <si>
    <t>Rollo papel aluminio</t>
  </si>
  <si>
    <t>Mascara RCP</t>
  </si>
  <si>
    <t>Tijera de trauma</t>
  </si>
  <si>
    <t>Caja de tacos</t>
  </si>
  <si>
    <t>Taco 30cm*6cm*4cm</t>
  </si>
  <si>
    <t>Taco cuña 45cm*13cm*47cm</t>
  </si>
  <si>
    <t>Tacos varios</t>
  </si>
  <si>
    <t>Material electrico</t>
  </si>
  <si>
    <t>Alargue en rollo</t>
  </si>
  <si>
    <t>44Mts</t>
  </si>
  <si>
    <t>Herramienta de brecheo</t>
  </si>
  <si>
    <t>Ariete</t>
  </si>
  <si>
    <t>Herramienta manual</t>
  </si>
  <si>
    <t>Cortaperno</t>
  </si>
  <si>
    <t>Grande</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</si>
  <si>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</si>
  <si>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</si>
  <si>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</si>
  <si>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</si>
  <si>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</si>
  <si>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</si>
  <si>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</si>
  <si>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</si>
  <si>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</si>
  <si>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</si>
  <si>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</si>
  <si>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</si>
  <si>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</si>
  <si>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</si>
  <si>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</si>
  <si>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</si>
  <si>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</si>
  <si>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Sierra para parabrisas manual</t>
  </si>
  <si>
    <t>llave stillson</t>
  </si>
  <si>
    <t>Corta fierro</t>
  </si>
  <si>
    <t>Masa 10kg</t>
  </si>
  <si>
    <t>Amoladora 220V</t>
  </si>
  <si>
    <t>Sierra sable 220V</t>
  </si>
  <si>
    <t>bosch</t>
  </si>
  <si>
    <t>makita</t>
  </si>
  <si>
    <t>JR3070CT</t>
  </si>
  <si>
    <t>GSA1100E-3-601F4c-8H0</t>
  </si>
  <si>
    <t>180mm</t>
  </si>
  <si>
    <t>KG1820</t>
  </si>
  <si>
    <t xml:space="preserve"> black &amp; decker</t>
  </si>
  <si>
    <t>115mm</t>
  </si>
  <si>
    <t>Bolso para cadaveres</t>
  </si>
  <si>
    <t>Traje de aproximacion C</t>
  </si>
  <si>
    <t>Guantes para cadaveres</t>
  </si>
  <si>
    <t>Lentes para proteccion ocular</t>
  </si>
  <si>
    <t>EPR</t>
  </si>
  <si>
    <t>Atalajes</t>
  </si>
  <si>
    <t>cilindros</t>
  </si>
  <si>
    <t>Cuerda de izado</t>
  </si>
  <si>
    <t>cuerda de izado</t>
  </si>
  <si>
    <t>Sensor de campo electrico</t>
  </si>
  <si>
    <t>Baston de deteccion de campo electromagnetico</t>
  </si>
  <si>
    <t>HotStick</t>
  </si>
  <si>
    <t>Lapiz de deteccion de campo electromagnetico</t>
  </si>
  <si>
    <t>Manta ignifuga</t>
  </si>
  <si>
    <t>Guantes dielectricos</t>
  </si>
  <si>
    <t>Martillo de goma</t>
  </si>
  <si>
    <t>Pinza de punta dielectrica</t>
  </si>
  <si>
    <t>Cuña de madera para gas</t>
  </si>
  <si>
    <t>Pinza dielectrica</t>
  </si>
  <si>
    <t>Alicate dielectrico</t>
  </si>
  <si>
    <t>Destornillador</t>
  </si>
  <si>
    <t>Llave cruz para ascensor</t>
  </si>
  <si>
    <t>Cutter</t>
  </si>
  <si>
    <t>juego de llaves alem</t>
  </si>
  <si>
    <t>Extractor de fusibles NH</t>
  </si>
  <si>
    <t>saca bujia</t>
  </si>
  <si>
    <t>Llave fija 9/16</t>
  </si>
  <si>
    <t>Corta cinturon</t>
  </si>
  <si>
    <t>Guia ciquime</t>
  </si>
  <si>
    <t>linterna</t>
  </si>
  <si>
    <t>Linterna</t>
  </si>
  <si>
    <t>Fire vulcan</t>
  </si>
  <si>
    <t>Algebra</t>
  </si>
  <si>
    <t>Camara termica</t>
  </si>
  <si>
    <t>Dragger</t>
  </si>
  <si>
    <t>Radio handy</t>
  </si>
  <si>
    <t>Octopus x2, zumro x1, Holmatro x1</t>
  </si>
  <si>
    <t>Baofeng</t>
  </si>
  <si>
    <t>Gancho de carnicero</t>
  </si>
  <si>
    <t>Pantalla protectora</t>
  </si>
  <si>
    <t>herramienta manual</t>
  </si>
  <si>
    <t>Masa de goma grande</t>
  </si>
  <si>
    <t>Tela, en estiba</t>
  </si>
  <si>
    <t>amarillo, caucho, en estiba</t>
  </si>
  <si>
    <t>POK, corte rapido, sin regulador de caudal</t>
  </si>
  <si>
    <t>25S</t>
  </si>
  <si>
    <t>Gato hidraulico</t>
  </si>
  <si>
    <t>Llave fija 22mm</t>
  </si>
  <si>
    <t>llave fija de 27mm y 24mm</t>
  </si>
  <si>
    <t>escobillon con palo</t>
  </si>
  <si>
    <t>Cajoneras y compartimientos</t>
  </si>
  <si>
    <t>cabina</t>
  </si>
  <si>
    <t>Compartimiento</t>
  </si>
  <si>
    <t>Asiento 1</t>
  </si>
  <si>
    <t>Asiento 2</t>
  </si>
  <si>
    <t>Cabina</t>
  </si>
  <si>
    <t>63S a 63S y 63S</t>
  </si>
  <si>
    <t>63S a 63S 63S 63S</t>
  </si>
  <si>
    <t>Conos viales</t>
  </si>
  <si>
    <t>Llave de ruedas</t>
  </si>
  <si>
    <t>cant</t>
  </si>
  <si>
    <t>Cilindro de oxigeno medicinal tipo "D" 3litr</t>
  </si>
  <si>
    <t>Manguera hidraulica</t>
  </si>
  <si>
    <t>Cubre air-bag</t>
  </si>
  <si>
    <t>Moto-disco</t>
  </si>
  <si>
    <t>Moto-sierra</t>
  </si>
  <si>
    <t>core dual</t>
  </si>
  <si>
    <t>Tela, azul, estiba, doble jacket</t>
  </si>
  <si>
    <t>Sintetico marron, 50Mts, estiba</t>
  </si>
  <si>
    <t>Hembra</t>
  </si>
  <si>
    <t>Holligan</t>
  </si>
  <si>
    <t>Chico</t>
  </si>
  <si>
    <t>Lampara de prueba</t>
  </si>
  <si>
    <t>Pinza de madera para manipular cables</t>
  </si>
  <si>
    <t>Lanza de espuma de baja expansion con pescador</t>
  </si>
  <si>
    <t>Chicotas</t>
  </si>
  <si>
    <t>año 2016</t>
  </si>
  <si>
    <t>manguerote semirigido 6M largo amarillo</t>
  </si>
  <si>
    <t>63S-63S</t>
  </si>
  <si>
    <t>Cajonera 6</t>
  </si>
  <si>
    <t>Miscelaneo de movil</t>
  </si>
  <si>
    <t>Bases de apoyo para estabilizar el movil durante el uso de su grua</t>
  </si>
  <si>
    <t>Negro plastico</t>
  </si>
  <si>
    <t>Bolso de martillo demoledor</t>
  </si>
  <si>
    <t>Martillo demoledor 220v grande BOSCH D70745</t>
  </si>
  <si>
    <t>Mecha</t>
  </si>
  <si>
    <t>Bolso de rotomartillo</t>
  </si>
  <si>
    <t>Rotomartillo 220v BOSCH GBH5470DCE</t>
  </si>
  <si>
    <t>Mecha sincel</t>
  </si>
  <si>
    <t xml:space="preserve">Sierra circular 220v </t>
  </si>
  <si>
    <t>Dewalt</t>
  </si>
  <si>
    <t>3601E480H0</t>
  </si>
  <si>
    <t>Bolso de amoladora</t>
  </si>
  <si>
    <t>Amoladora Dewalt electrica a bateria s/n 580426</t>
  </si>
  <si>
    <t>Bateria DeWalt</t>
  </si>
  <si>
    <t>Cargador de bateria DeWalt DW911-6AR</t>
  </si>
  <si>
    <t>Herramienta para cambio de disco de amoladora</t>
  </si>
  <si>
    <t>Bolso de sierra sable</t>
  </si>
  <si>
    <t xml:space="preserve">Sierra sable Dewalt s/n 959421 </t>
  </si>
  <si>
    <t>Madera</t>
  </si>
  <si>
    <t>Bolso de carpintero 1</t>
  </si>
  <si>
    <t>Pinza</t>
  </si>
  <si>
    <t>Bolso de carpintero 2</t>
  </si>
  <si>
    <t>Caja de eslingas 1</t>
  </si>
  <si>
    <t>Eslinga 3tn año 01/2011</t>
  </si>
  <si>
    <t>Eslinga 3tn año 01/2012</t>
  </si>
  <si>
    <t>Eslinga 6tn año 11/2010</t>
  </si>
  <si>
    <t>Eslinga 6tn Sin año</t>
  </si>
  <si>
    <t>Caja de eslingas 2</t>
  </si>
  <si>
    <t>Eslinga fina</t>
  </si>
  <si>
    <t>Eslinga will 1tn año 02/2013</t>
  </si>
  <si>
    <t>Eslinga grande 6TN año 02/2015</t>
  </si>
  <si>
    <t>Grillete chico</t>
  </si>
  <si>
    <t>Grillete mediano</t>
  </si>
  <si>
    <t>Grillete grande</t>
  </si>
  <si>
    <t>Grillete muy grande</t>
  </si>
  <si>
    <t>38NH</t>
  </si>
  <si>
    <t>0285-98</t>
  </si>
  <si>
    <t>38NH-38-38NH</t>
  </si>
  <si>
    <t>63W y 63S</t>
  </si>
  <si>
    <t>Parte Trasera</t>
  </si>
  <si>
    <t xml:space="preserve">Extensible </t>
  </si>
  <si>
    <t>6M</t>
  </si>
  <si>
    <t>4 metros</t>
  </si>
  <si>
    <t>elkhart</t>
  </si>
  <si>
    <t>Caucho, amarillo</t>
  </si>
  <si>
    <t>AWG</t>
  </si>
  <si>
    <t>Tipo AWG</t>
  </si>
  <si>
    <t>año 2012</t>
  </si>
  <si>
    <t>63W-38W</t>
  </si>
  <si>
    <t>63 macho, 38 hembra</t>
  </si>
  <si>
    <t>Cajonera 7</t>
  </si>
  <si>
    <t>Cajonera 8</t>
  </si>
  <si>
    <t>Plataformas de apoyo para piernas extensibles de estabilizacion del movil</t>
  </si>
  <si>
    <t>Lino, blando</t>
  </si>
  <si>
    <t>Arnes</t>
  </si>
  <si>
    <t>Arnes para altura y chaleco de alta visibilidad</t>
  </si>
  <si>
    <t>Honor-safety</t>
  </si>
  <si>
    <t>Arnes de altura</t>
  </si>
  <si>
    <t>petzer</t>
  </si>
  <si>
    <t xml:space="preserve">Arnes de altura </t>
  </si>
  <si>
    <t>caran</t>
  </si>
  <si>
    <t>Material de altura</t>
  </si>
  <si>
    <t>Cabo de anclaje con absorvedor</t>
  </si>
  <si>
    <t>Lino blanco</t>
  </si>
  <si>
    <t>Atalajes y mascara</t>
  </si>
  <si>
    <t>POK, c/ regulador de caudal, c/ corte rapido</t>
  </si>
  <si>
    <t>Plastica</t>
  </si>
  <si>
    <t>Accesorio para monitor</t>
  </si>
  <si>
    <t>Accesorio de espuma para monitor fijo</t>
  </si>
  <si>
    <t>Task force tips inc.</t>
  </si>
  <si>
    <t>Eslingar</t>
  </si>
  <si>
    <t>polvo quimico seco</t>
  </si>
  <si>
    <t>Radios motorola modelo k76mrcej</t>
  </si>
  <si>
    <t>Comando de minicojines</t>
  </si>
  <si>
    <t>Reductor de presion para minicojines</t>
  </si>
  <si>
    <t>Mangueras de aire comprimido para minicojines</t>
  </si>
  <si>
    <t>Valvula de presion con manometro</t>
  </si>
  <si>
    <t>Cable con ficha "IEC 60309 16Amp 380V trifasica" a cables con pinzas</t>
  </si>
  <si>
    <t>Cable de puesta a tierra con pinza de un lado y terminal del otro</t>
  </si>
  <si>
    <t>14mts</t>
  </si>
  <si>
    <t>11mts</t>
  </si>
  <si>
    <t>Cable con fichas "IEC 60309 16Amp 380V trifasica", una punta macho y la otra hembra</t>
  </si>
  <si>
    <t>10mts</t>
  </si>
  <si>
    <t>Cable con ficha "IEC 60309 16Amp 220V Bifasica" a dos fichas argentinas "Type I"</t>
  </si>
  <si>
    <t>8Mts</t>
  </si>
  <si>
    <t>Cable con ficha "IEC 60309 16Amp 380V Trifasica" a terminales</t>
  </si>
  <si>
    <t>9Mts</t>
  </si>
  <si>
    <t>Adaptador con ficha "IEC 60309 16Amp 220V Bifasica" a ficha europea "Type F" compatible con ficha Argentina "Type C"</t>
  </si>
  <si>
    <t>0,5mts</t>
  </si>
  <si>
    <t>Adaptador con ficha "IEC 60309 16Amp 220V Bifasica" a ficha argentina "Type I"</t>
  </si>
  <si>
    <t>Alargue en rollo con 4 fichas "IEC 60309 16Amp 220V Bifasica"</t>
  </si>
  <si>
    <t>Cable para bateria con pinzas</t>
  </si>
  <si>
    <t>4Mts</t>
  </si>
  <si>
    <t>Estabilizador de vehiculo</t>
  </si>
  <si>
    <t xml:space="preserve">Estabilizador lateral </t>
  </si>
  <si>
    <t>Bolso de corta vidrios</t>
  </si>
  <si>
    <t>Corta vidrios holmatro</t>
  </si>
  <si>
    <t>Corta cinturones</t>
  </si>
  <si>
    <t>Divisor de carga para grua</t>
  </si>
  <si>
    <t>Bolso de comando de minicojines 1</t>
  </si>
  <si>
    <t>Bolso de comando de minicojines 2</t>
  </si>
  <si>
    <t>Holmatro</t>
  </si>
  <si>
    <t>Bolso con accesorios de holmatro no identificables</t>
  </si>
  <si>
    <t>wadra</t>
  </si>
  <si>
    <t>Caja de cubre parantes</t>
  </si>
  <si>
    <t>Cubre parantes chico</t>
  </si>
  <si>
    <t>Cubre parantes grande</t>
  </si>
  <si>
    <t>Extensores de RAM</t>
  </si>
  <si>
    <t>No se distingue</t>
  </si>
  <si>
    <t>Cisalla hidraulica</t>
  </si>
  <si>
    <t>Sistema dual</t>
  </si>
  <si>
    <t>Ram doble, Sistema dual</t>
  </si>
  <si>
    <t>Expansora hidraulica</t>
  </si>
  <si>
    <t>Electrico, Sistema dual, capacidad para dos herramientas</t>
  </si>
  <si>
    <t>Caja de seguridad en la escena</t>
  </si>
  <si>
    <t>lampara vial marca signalite</t>
  </si>
  <si>
    <t>Lampara vial marca tildawn</t>
  </si>
  <si>
    <t>Cajon de tacos 1</t>
  </si>
  <si>
    <t>Tacos varios de madera</t>
  </si>
  <si>
    <t>Cajon de tacos 2</t>
  </si>
  <si>
    <t>Cuña plastica</t>
  </si>
  <si>
    <t>Taco plastico fino</t>
  </si>
  <si>
    <t>Taco plastico ancho</t>
  </si>
  <si>
    <t>casco</t>
  </si>
  <si>
    <t>Casco</t>
  </si>
  <si>
    <t>Casco de obra</t>
  </si>
  <si>
    <t>Casco de obra con protector facial</t>
  </si>
  <si>
    <t>Estacas</t>
  </si>
  <si>
    <t>Estaca de 70cm</t>
  </si>
  <si>
    <t>Minicojin</t>
  </si>
  <si>
    <t>minicojin</t>
  </si>
  <si>
    <t>Mini cojin para obturacion de cisternas</t>
  </si>
  <si>
    <t>Traje de aproximacion clase "C"</t>
  </si>
  <si>
    <t>Traje de aproximacion clase "A"</t>
  </si>
  <si>
    <t>Clase C</t>
  </si>
  <si>
    <t>Protector plastico para extircacion</t>
  </si>
  <si>
    <t>Cajon de hazmat 1</t>
  </si>
  <si>
    <t>Cajon de hazmat 2</t>
  </si>
  <si>
    <t>Bolsa para cadaveres</t>
  </si>
  <si>
    <t>Cajon de hazmat 3</t>
  </si>
  <si>
    <t>20mts</t>
  </si>
  <si>
    <t>polea</t>
  </si>
  <si>
    <t>Polea</t>
  </si>
  <si>
    <t>64KN</t>
  </si>
  <si>
    <t>Tensador de cable de acero</t>
  </si>
  <si>
    <t>Collar cervical</t>
  </si>
  <si>
    <t>M</t>
  </si>
  <si>
    <t>G</t>
  </si>
  <si>
    <t>Botiquin pequeño</t>
  </si>
  <si>
    <t>Mascara para polvo con filtro</t>
  </si>
  <si>
    <t>Chaleco de segridad vial</t>
  </si>
  <si>
    <t>Cajonera inferior</t>
  </si>
  <si>
    <t>Para parque de materiales</t>
  </si>
  <si>
    <t>caja o bolso</t>
  </si>
  <si>
    <t>Cajon de tacos 3</t>
  </si>
  <si>
    <t>Tacos grandes cuadrados</t>
  </si>
  <si>
    <t>Cuñas grandes</t>
  </si>
  <si>
    <t>Cuñas chicas</t>
  </si>
  <si>
    <t>Tacos de madera cuadrados</t>
  </si>
  <si>
    <t>3 Toneladas</t>
  </si>
  <si>
    <t>Rema</t>
  </si>
  <si>
    <t>GM705087</t>
  </si>
  <si>
    <t>Peddinghaus</t>
  </si>
  <si>
    <t>7355/3</t>
  </si>
  <si>
    <t>Esquinero para RA</t>
  </si>
  <si>
    <t>Barreta grande</t>
  </si>
  <si>
    <t>Masa 10k</t>
  </si>
  <si>
    <t xml:space="preserve">Rojo </t>
  </si>
  <si>
    <t>Electrobomba</t>
  </si>
  <si>
    <t>HS020200105</t>
  </si>
  <si>
    <t>Enchufe tipo "C"</t>
  </si>
  <si>
    <t>Vetter</t>
  </si>
  <si>
    <t>2200kg, 6BAR</t>
  </si>
  <si>
    <t>23Ton, 10 BAR Modelo "NT-23"</t>
  </si>
  <si>
    <t>29Ton, 8BAR, modelo HKB</t>
  </si>
  <si>
    <t>58Ton, 10BAR, modelo 58-TN</t>
  </si>
  <si>
    <t xml:space="preserve">pqs </t>
  </si>
  <si>
    <t>Colchon de salvamento</t>
  </si>
  <si>
    <t xml:space="preserve">Electrosierra "fast sharp" </t>
  </si>
  <si>
    <t>remnington</t>
  </si>
  <si>
    <t>Cajon de cuerdas trenzadas</t>
  </si>
  <si>
    <t>Cuerda naranja de salvamento naval</t>
  </si>
  <si>
    <t>Cajon de poda</t>
  </si>
  <si>
    <t>Mameluco de seguridad para motosierras</t>
  </si>
  <si>
    <t>Casco de poda</t>
  </si>
  <si>
    <t>Cajon de botas wader</t>
  </si>
  <si>
    <t>Botas wader</t>
  </si>
  <si>
    <t>cajon de guantes</t>
  </si>
  <si>
    <t>Cajon de guantes</t>
  </si>
  <si>
    <t>Guantes varios</t>
  </si>
  <si>
    <t>Cajon de reservorios de agua</t>
  </si>
  <si>
    <t>Reservorios de auga</t>
  </si>
  <si>
    <t xml:space="preserve">Extractor NH </t>
  </si>
  <si>
    <t>Destornillador plano</t>
  </si>
  <si>
    <t>Destornillador phillips</t>
  </si>
  <si>
    <t>pinza de punta dielectrica</t>
  </si>
  <si>
    <t>Juego de llaves alem</t>
  </si>
  <si>
    <t>llave 19mm</t>
  </si>
  <si>
    <t>Llave 17mm</t>
  </si>
  <si>
    <t>llave 19 y 17mm</t>
  </si>
  <si>
    <t>llave 32mm</t>
  </si>
  <si>
    <t>llave 12mm</t>
  </si>
  <si>
    <t>llave 13mm</t>
  </si>
  <si>
    <t>llave 11 mm</t>
  </si>
  <si>
    <t>Serrucho</t>
  </si>
  <si>
    <t>Corta parabrisas</t>
  </si>
  <si>
    <t>Sierra</t>
  </si>
  <si>
    <t>sachs dollar 123</t>
  </si>
  <si>
    <t>Corta perno</t>
  </si>
  <si>
    <t>barreta</t>
  </si>
  <si>
    <t>Masa</t>
  </si>
  <si>
    <t>chica</t>
  </si>
  <si>
    <t>Masa de goma</t>
  </si>
  <si>
    <t>Clase "A"</t>
  </si>
  <si>
    <t>Gramplin</t>
  </si>
  <si>
    <t>Salvavida</t>
  </si>
  <si>
    <t>Balde de obra</t>
  </si>
  <si>
    <t>Boya</t>
  </si>
  <si>
    <t>Muy grande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</si>
</sst>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theme="0"/>
      <name val="Calibri"/>
      <family val="2"/>
      <scheme val="minor"/>
    </font>
    <font>
      <b/>
      <sz val="11"/>
      <color theme="0"/>
      <name val="Calibri"/>
      <family val="2"/>
      <scheme val="minor"/>
    </font>
  </fonts>
  <fills count="4">
    <fill>
      <patternFill patternType="none"/>
    </fill>
    <fill>
      <patternFill patternType="gray125"/>
    </fill>
    <fill>
      <patternFill patternType="solid">
        <fgColor theme="4"/>
      </patternFill>
    </fill>
    <fill>
      <patternFill patternType="solid">
        <fgColor theme="4"/>
        <bgColor theme="4"/>
      </patternFill>
    </fill>
  </fills>
  <borders count="3">
    <border>
      <left/>
      <right/>
      <top/>
      <bottom/>
      <diagonal/>
    </border>
    <border>
      <left style="thin">
        <color theme="4"/>
      </left>
      <right style="thin">
        <color theme="4"/>
      </right>
      <top style="thin">
        <color theme="4"/>
      </top>
      <bottom/>
      <diagonal/>
    </border>
    <border>
      <left style="thin">
        <color theme="4"/>
      </left>
      <right/>
      <top/>
      <bottom/>
      <diagonal/>
    </border>
  </borders>
  <cellStyleXfs count="2">
    <xf numFmtId="0" fontId="0" fillId="0" borderId="0"/>
    <xf numFmtId="0" fontId="1" fillId="2" borderId="0" applyNumberFormat="0" applyBorder="0" applyAlignment="0" applyProtection="0"/>
  </cellStyleXfs>
  <cellXfs count="13">
    <xf numFmtId="0" fontId="0" fillId="0" borderId="0" xfId="0"/>
    <xf numFmtId="0" fontId="0" fillId="0" borderId="0" xfId="0" applyAlignment="1">
      <alignment horizontal="center" vertical="center"/>
    </xf>
    <xf numFmtId="0" fontId="2" fillId="3" borderId="2" xfId="0" applyFont="1" applyFill="1" applyBorder="1"/>
    <xf numFmtId="0" fontId="0" fillId="0" borderId="0" xfId="0" applyFont="1" applyBorder="1"/>
    <xf numFmtId="0" fontId="0" fillId="0" borderId="1" xfId="0" applyBorder="1"/>
    <xf numFmtId="0" fontId="0" fillId="0" borderId="0" xfId="0" applyBorder="1"/>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center"/>
    </xf>
    <xf numFmtId="0" fontId="0" fillId="0" borderId="0" xfId="0" applyAlignment="1">
      <alignment horizontal="left" vertical="center" wrapText="1"/>
    </xf>
    <xf numFmtId="0" fontId="0" fillId="0" borderId="0" xfId="0" applyAlignment="1">
      <alignment wrapText="1"/>
    </xf>
    <xf numFmtId="11" fontId="0" fillId="0" borderId="0" xfId="0" applyNumberFormat="1" applyAlignment="1">
      <alignment horizontal="left" vertical="center"/>
    </xf>
    <xf numFmtId="0" fontId="1" fillId="2" borderId="0" xfId="1" applyBorder="1" applyAlignment="1">
      <alignment horizontal="center"/>
    </xf>
  </cellXfs>
  <cellStyles count="2">
    <cellStyle name="Accent1" xfId="1" builtinId="29"/>
    <cellStyle name="Normal" xfId="0" builtinId="0"/>
  </cellStyles>
  <dxfs count="42">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border outline="0">
        <top style="thin">
          <color theme="4"/>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H136" totalsRowShown="0" headerRowDxfId="41" dataDxfId="40">
  <autoFilter ref="A1:H136" xr:uid="{00000000-0009-0000-0100-000001000000}"/>
  <sortState ref="A2:H135">
    <sortCondition ref="G2:G135"/>
    <sortCondition ref="H2:H135"/>
    <sortCondition ref="A2:A135"/>
  </sortState>
  <tableColumns count="8">
    <tableColumn id="1" xr3:uid="{00000000-0010-0000-0000-000001000000}" name="Categoria" dataDxfId="39"/>
    <tableColumn id="2" xr3:uid="{00000000-0010-0000-0000-000002000000}" name="Descripcion" dataDxfId="38"/>
    <tableColumn id="3" xr3:uid="{00000000-0010-0000-0000-000003000000}" name="Medidas" dataDxfId="37"/>
    <tableColumn id="4" xr3:uid="{00000000-0010-0000-0000-000004000000}" name="marca" dataDxfId="36"/>
    <tableColumn id="5" xr3:uid="{00000000-0010-0000-0000-000005000000}" name="N/ de serie" dataDxfId="35"/>
    <tableColumn id="7" xr3:uid="{20A560DE-96A4-4C20-8E3B-6987DAD27B3D}" name="cant" dataDxfId="34"/>
    <tableColumn id="6" xr3:uid="{00000000-0010-0000-0000-000006000000}" name="Cajonera" dataDxfId="33"/>
    <tableColumn id="8" xr3:uid="{6A730937-5917-4102-A73F-F22FC5E46982}" name="Compartimiento"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le6" displayName="Table6" ref="J3:L46" totalsRowShown="0">
  <autoFilter ref="J3:L46" xr:uid="{00000000-0009-0000-0100-000006000000}"/>
  <tableColumns count="3">
    <tableColumn id="1" xr3:uid="{00000000-0010-0000-0100-000001000000}" name="Material"/>
    <tableColumn id="2" xr3:uid="{00000000-0010-0000-0100-000002000000}" name="Cantidad"/>
    <tableColumn id="3" xr3:uid="{00000000-0010-0000-0100-000003000000}" name="Bolso"/>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40D275F-F343-4103-B4F5-0F419099A652}" name="Table2" displayName="Table2" ref="N3:N10" totalsRowShown="0">
  <autoFilter ref="N3:N10" xr:uid="{EE8CA32C-3909-47AF-9D21-A6D698228C0D}"/>
  <tableColumns count="1">
    <tableColumn id="1" xr3:uid="{AF0E4D2D-E1F2-437E-B41B-C134F1A1D409}" name="Bolsos"/>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0555CA-4B5A-4758-A1E6-B6D30D403239}" name="Table5" displayName="Table5" ref="P4:V8" totalsRowShown="0">
  <autoFilter ref="P4:V8" xr:uid="{5DC523A9-3391-41E7-830A-AF5D4C18358F}"/>
  <tableColumns count="7">
    <tableColumn id="1" xr3:uid="{323DB4CB-889B-426E-AA96-B01B0A3A26FC}" name="Cajonera 1"/>
    <tableColumn id="2" xr3:uid="{83EEB06A-5D1C-4765-9F5E-BF0857B85F37}" name="Cajonera 2"/>
    <tableColumn id="3" xr3:uid="{E14AE627-1C91-4E5C-BB76-3E4A37A9F6D5}" name="Cajonera 3"/>
    <tableColumn id="4" xr3:uid="{8BE821DD-775F-457B-9900-68BA690054BA}" name="Cajonera 4"/>
    <tableColumn id="5" xr3:uid="{182A3590-CACE-4476-95F1-CA2B991BA7D3}" name="Cajonera 5"/>
    <tableColumn id="6" xr3:uid="{E699A6E3-36AE-49E4-BC5D-AA53B6BD23FF}" name="Interior"/>
    <tableColumn id="7" xr3:uid="{AC172C52-06F4-4B17-BCA6-5A562F0E7D89}" name="Techo"/>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BCA67C0-6A46-4313-ACEB-0BBFE981B973}" name="Table18" displayName="Table18" ref="A1:H108" totalsRowShown="0" headerRowDxfId="9" dataDxfId="8">
  <autoFilter ref="A1:H108" xr:uid="{00254174-483B-40DF-A806-D062C22867F7}"/>
  <sortState ref="A2:H79">
    <sortCondition ref="G1:G79"/>
  </sortState>
  <tableColumns count="8">
    <tableColumn id="1" xr3:uid="{5C129E02-49ED-404D-8803-23BEEE082B13}" name="Categoria" dataDxfId="7"/>
    <tableColumn id="2" xr3:uid="{08752A4C-B745-47BD-916C-8371AA823B30}" name="Descripcion" dataDxfId="6"/>
    <tableColumn id="3" xr3:uid="{D9947D9F-91DC-48F8-80F0-740777B930CC}" name="Medidas" dataDxfId="5"/>
    <tableColumn id="4" xr3:uid="{83541DD3-29AB-4FE0-9DE9-7D8BE5E78196}" name="marca" dataDxfId="4"/>
    <tableColumn id="5" xr3:uid="{9713A367-BEFE-4DF4-8B3D-E3AF8E87D8E7}" name="N/ de serie" dataDxfId="3"/>
    <tableColumn id="7" xr3:uid="{9D266E2D-E8B4-43A5-8816-E295D94D2A54}" name="cant" dataDxfId="2"/>
    <tableColumn id="6" xr3:uid="{4AF3B0F9-84DE-4653-A23E-C2CFBC721A37}" name="Cajonera" dataDxfId="1"/>
    <tableColumn id="8" xr3:uid="{255D225F-46DC-4AF1-9C5F-A6DC06571BC6}" name="Compartimiento" dataDxfId="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E125EE0-3012-4DA0-A6C3-E24B99F85DD4}" name="Table69" displayName="Table69" ref="J3:L75" totalsRowShown="0">
  <autoFilter ref="J3:L75" xr:uid="{158E7FEF-2530-4B04-8429-AFAE1EE2CCF7}"/>
  <tableColumns count="3">
    <tableColumn id="1" xr3:uid="{9F7B5D30-F8A3-46D8-A4CE-9273971211F6}" name="Material"/>
    <tableColumn id="2" xr3:uid="{14A06F43-7F88-418E-8772-E1441272AE6B}" name="Cantidad"/>
    <tableColumn id="3" xr3:uid="{29A7B3D5-4942-423C-B9B0-94E3114719C2}" name="Bolso"/>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E59F52B-A46D-4BD5-AF21-FE06935019CC}" name="Table210" displayName="Table210" ref="N3:N28" totalsRowShown="0">
  <autoFilter ref="N3:N28" xr:uid="{FB2636B5-DD04-42AA-9889-74DC28C61E72}"/>
  <sortState ref="N4:N22">
    <sortCondition ref="N3:N22"/>
  </sortState>
  <tableColumns count="1">
    <tableColumn id="1" xr3:uid="{D54188B4-D225-4C7D-84F9-4B524F6068D8}" name="Bolsos"/>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8130921-889F-49CA-8729-A568B56CD1C2}" name="Table511" displayName="Table511" ref="P4:V8" totalsRowShown="0">
  <autoFilter ref="P4:V8" xr:uid="{2FBCFBAD-01BE-43D1-BA81-5E73E891A103}"/>
  <tableColumns count="7">
    <tableColumn id="1" xr3:uid="{99A46A38-6E4E-42B2-A15C-38D264A99AE9}" name="Cajonera 1"/>
    <tableColumn id="2" xr3:uid="{3974DFB3-0FB6-479C-8661-CA3F001B2A87}" name="Cajonera 2"/>
    <tableColumn id="3" xr3:uid="{A0731D16-1D2D-44F2-B4F4-EE4437BEACEB}" name="Cajonera 3"/>
    <tableColumn id="4" xr3:uid="{A7DA2D69-5717-4769-9D6B-F67027A12115}" name="Cajonera 4"/>
    <tableColumn id="5" xr3:uid="{6C8A71EB-840F-4199-97F6-EEF90A3CC451}" name="Cajonera 5"/>
    <tableColumn id="6" xr3:uid="{2CDFDDDB-9289-4FEA-AA20-C1999DDE0FCD}" name="Cajonera 6"/>
    <tableColumn id="7" xr3:uid="{5F3EB561-6A82-49D3-8325-08E75BC5E9BF}" name="Interior"/>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D330B6-73C8-4E52-93E2-B84DE697BEA0}" name="Table1812" displayName="Table1812" ref="A1:H16" totalsRowShown="0" headerRowDxfId="31" dataDxfId="30">
  <autoFilter ref="A1:H16" xr:uid="{00254174-483B-40DF-A806-D062C22867F7}"/>
  <sortState ref="A2:H135">
    <sortCondition ref="G2:G135"/>
    <sortCondition ref="H2:H135"/>
    <sortCondition ref="A2:A135"/>
  </sortState>
  <tableColumns count="8">
    <tableColumn id="1" xr3:uid="{7762CF18-0359-4492-B4ED-710C2ACA3AD8}" name="Categoria" dataDxfId="29"/>
    <tableColumn id="2" xr3:uid="{982DCC3C-D12D-4640-A32E-79F71F293297}" name="Descripcion" dataDxfId="28"/>
    <tableColumn id="3" xr3:uid="{C74DD3A9-C890-46F2-B066-1E8734A70F10}" name="Medidas" dataDxfId="27"/>
    <tableColumn id="4" xr3:uid="{99E6F613-CBD2-473A-BDCE-1F04B38ED8A1}" name="marca" dataDxfId="26"/>
    <tableColumn id="5" xr3:uid="{D00DBFC2-B0D3-40E1-AACD-2CEA831C5A4A}" name="N/ de serie" dataDxfId="25"/>
    <tableColumn id="7" xr3:uid="{B766F210-A0F3-4E00-BCA4-192046AAC52E}" name="cant" dataDxfId="24"/>
    <tableColumn id="6" xr3:uid="{8D465A67-0F78-40E6-9E8A-323E2CC14EBF}" name="Cajonera" dataDxfId="23"/>
    <tableColumn id="8" xr3:uid="{3E183286-0CB5-4BAA-96D9-64884EE8C037}" name="Compartimiento" dataDxfId="2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D79AB1B-55F9-4DF1-950C-625C3B240462}" name="Table6913" displayName="Table6913" ref="J3:L6" totalsRowShown="0">
  <autoFilter ref="J3:L6" xr:uid="{158E7FEF-2530-4B04-8429-AFAE1EE2CCF7}"/>
  <tableColumns count="3">
    <tableColumn id="1" xr3:uid="{EC222BC8-CCC9-4E82-8828-E484EEC50271}" name="Material"/>
    <tableColumn id="2" xr3:uid="{38CCC194-8A74-40B9-9DD2-1066122DDB01}" name="Cantidad"/>
    <tableColumn id="3" xr3:uid="{BF3A2573-79D6-4AAE-90F6-E3302D1C8302}" name="Bolso"/>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89D6904-1A9C-4F6A-B66E-91BB0B42834F}" name="Table21014" displayName="Table21014" ref="N3:N4" insertRow="1" totalsRowShown="0">
  <autoFilter ref="N3:N4" xr:uid="{FB2636B5-DD04-42AA-9889-74DC28C61E72}"/>
  <tableColumns count="1">
    <tableColumn id="1" xr3:uid="{47146BDE-0FFD-493A-AED1-5AF678F373EF}" name="Bolsos"/>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A5DA115-70AB-42AE-9091-CBAAB0D4D323}" name="Table51115" displayName="Table51115" ref="P4:T5" totalsRowShown="0">
  <autoFilter ref="P4:T5" xr:uid="{2FBCFBAD-01BE-43D1-BA81-5E73E891A103}"/>
  <tableColumns count="5">
    <tableColumn id="1" xr3:uid="{D6B80B5F-7A27-4524-A79C-EDF6000A000A}" name="Cajonera 1"/>
    <tableColumn id="2" xr3:uid="{F5CEBAB3-AC1D-4AFA-9EB1-FFA58ECD4A55}" name="Cajonera 2"/>
    <tableColumn id="3" xr3:uid="{B19BBC5F-8120-435B-9FA2-7683ECBC071E}" name="Parte Trasera"/>
    <tableColumn id="4" xr3:uid="{B4318F14-361E-4309-B1B5-994FDA5C5C2B}" name="Techo"/>
    <tableColumn id="5" xr3:uid="{126DDA8E-9383-4DF1-8C63-D97F7C307388}" name="Interior"/>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5FBE92A-D706-487B-9BD5-CCCBE35847CE}" name="Table181216" displayName="Table181216" ref="A1:H21" totalsRowShown="0" headerRowDxfId="21" dataDxfId="20">
  <autoFilter ref="A1:H21" xr:uid="{4B761E2F-E7D0-4786-8CEF-F1092DBA932F}"/>
  <sortState ref="A2:H135">
    <sortCondition ref="G2:G135"/>
    <sortCondition ref="H2:H135"/>
    <sortCondition ref="A2:A135"/>
  </sortState>
  <tableColumns count="8">
    <tableColumn id="1" xr3:uid="{59F451BF-799E-467F-87E6-D1A92B2F2F19}" name="Categoria" dataDxfId="19"/>
    <tableColumn id="2" xr3:uid="{7B78AF34-49C2-4BC7-88BB-EB59466AF70E}" name="Descripcion" dataDxfId="18"/>
    <tableColumn id="3" xr3:uid="{91AE2D4D-14E6-4D02-A2AE-5C64C2399D48}" name="Medidas" dataDxfId="17"/>
    <tableColumn id="4" xr3:uid="{5862D588-22B6-471B-9202-79CB070BA9F1}" name="marca" dataDxfId="16"/>
    <tableColumn id="5" xr3:uid="{2E34E0CF-7BE5-4082-9DDE-726BF5669D7D}" name="N/ de serie" dataDxfId="15"/>
    <tableColumn id="7" xr3:uid="{2E9D9731-27A3-4A80-B0FD-D982940A817F}" name="cant" dataDxfId="14"/>
    <tableColumn id="6" xr3:uid="{29E6860E-7FCC-42E5-BD7A-DD1148407EF7}" name="Cajonera" dataDxfId="13"/>
    <tableColumn id="8" xr3:uid="{176739AE-F62A-4931-BD7F-D9296054E437}" name="Compartimiento" dataDxfId="1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6FCF45F-00D9-4668-8DA1-A2F56B841044}" name="Table691317" displayName="Table691317" ref="J3:L6" totalsRowShown="0">
  <autoFilter ref="J3:L6" xr:uid="{F8DCA1D4-4A78-4BA5-ADAD-D9E0BCFD2A4C}"/>
  <tableColumns count="3">
    <tableColumn id="1" xr3:uid="{87762F9D-EBDA-4807-B307-DA7CF6517637}" name="Material"/>
    <tableColumn id="2" xr3:uid="{68A9B189-897C-455D-B765-89FDB0F0B202}" name="Cantidad"/>
    <tableColumn id="3" xr3:uid="{510A01BA-1AA8-4632-A1B1-67D6F834BC93}" name="Bolso"/>
  </tableColumns>
  <tableStyleInfo name="TableStyle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B0A5A78-803B-4FC1-A973-96B992DBEDEA}" name="Table2101418" displayName="Table2101418" ref="N3:N4" insertRow="1" totalsRowShown="0">
  <autoFilter ref="N3:N4" xr:uid="{9AF73587-EB49-4421-B0F7-99EBB9FB5AD3}"/>
  <tableColumns count="1">
    <tableColumn id="1" xr3:uid="{2A4FF841-27B1-4D7C-BB1B-B6EF9280D32C}" name="Bolsos"/>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DCB493-5BEA-4BC7-84EE-4337064DCEDB}" name="Table5111519" displayName="Table5111519" ref="P4:X5" totalsRowShown="0">
  <autoFilter ref="P4:X5" xr:uid="{354E47A3-5B9B-49BD-8587-A79E63CE85B1}"/>
  <tableColumns count="9">
    <tableColumn id="1" xr3:uid="{67CA260E-2786-4D12-91FE-49884F1C8960}" name="Cajonera 1"/>
    <tableColumn id="2" xr3:uid="{2E73DEC5-137D-404F-B404-382232BE272D}" name="Cajonera 2"/>
    <tableColumn id="3" xr3:uid="{4A9E6A73-54FE-4E34-911B-AB4136D4C50E}" name="Cajonera 3"/>
    <tableColumn id="4" xr3:uid="{0BC498A1-3E71-4E91-AF9D-2898F9B346AD}" name="Cajonera 4"/>
    <tableColumn id="5" xr3:uid="{C2B8A303-BF38-46A5-80F4-EE7894CCD26C}" name="Cajonera 5"/>
    <tableColumn id="6" xr3:uid="{4606A3D2-A227-4578-B5FF-17F3288C2C0C}" name="Cajonera 6"/>
    <tableColumn id="7" xr3:uid="{E327959E-5C99-4734-9B75-77334E0E77AA}" name="Cajonera 7"/>
    <tableColumn id="8" xr3:uid="{A8A40B65-EB67-4BCC-9F54-4A0CE3CC89DB}" name="Cajonera 8"/>
    <tableColumn id="9" xr3:uid="{BF218FCC-6141-44B4-BCBB-4DDB18C4EAC0}" name="Interior"/>
  </tableColumns>
  <tableStyleInfo name="TableStyleLight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88C855C-2090-41EF-BB2D-E6ADA766E784}" name="Table3" displayName="Table3" ref="F1:S11" totalsRowShown="0">
  <autoFilter ref="F1:S11" xr:uid="{1055A59D-20B2-4F59-BA98-5A360C8D58B6}"/>
  <sortState ref="F2:P9">
    <sortCondition ref="F1:F9"/>
  </sortState>
  <tableColumns count="14">
    <tableColumn id="1" xr3:uid="{2544FA51-F8B2-41C3-B812-D5DFF3470881}" name="Tramos"/>
    <tableColumn id="2" xr3:uid="{3FB9FA73-51F1-44CB-918D-228168812748}" name="Lanzas"/>
    <tableColumn id="3" xr3:uid="{B9197608-8A52-4322-860E-30C04ACFC82C}" name="Escaleras"/>
    <tableColumn id="4" xr3:uid="{2AB5406A-92CA-4CE4-A538-514469501972}" name="Manguerote"/>
    <tableColumn id="5" xr3:uid="{3F66F513-0813-4B7C-AE42-683E43F0E320}" name="Adaptador"/>
    <tableColumn id="6" xr3:uid="{64439A83-9719-4FF4-9EC0-5FAAD733C784}" name="Reductor"/>
    <tableColumn id="7" xr3:uid="{8CDFACF5-787D-432D-8E31-5B30E3519924}" name="Trineo"/>
    <tableColumn id="8" xr3:uid="{7DAF3A3A-C3B2-4BA2-A7DB-7ADAB2165F9A}" name="Filtros"/>
    <tableColumn id="9" xr3:uid="{A4D73C16-78F2-4B2E-AD6F-3F67FF8EF8B7}" name="Lanzas especiales"/>
    <tableColumn id="10" xr3:uid="{96EFAB3F-8EFC-47FE-B66E-3E3CDFE12773}" name="Monitor"/>
    <tableColumn id="11" xr3:uid="{D5A15B32-A143-453F-96BE-F84358048289}" name="Grilletes"/>
    <tableColumn id="12" xr3:uid="{D688FD44-2B5A-467B-9512-E0180C4957B3}" name="bidon"/>
    <tableColumn id="13" xr3:uid="{7A9B42C6-864E-46F9-B4BF-BEB257F6FA28}" name="Divergente"/>
    <tableColumn id="14" xr3:uid="{FFD3E5AB-25C1-48C5-94EF-5569051BCCF7}" name="Trivergente"/>
  </tableColumns>
  <tableStyleInfo name="TableStyleLight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3F40EB2-6A7A-4347-B2C7-48A910378576}" name="Table4" displayName="Table4" ref="A1:A74" totalsRowShown="0" headerRowDxfId="11" tableBorderDxfId="10">
  <autoFilter ref="A1:A74" xr:uid="{174CB354-0B9D-4924-BB13-8A0DA131CB54}"/>
  <sortState ref="A2:A74">
    <sortCondition ref="A1:A74"/>
  </sortState>
  <tableColumns count="1">
    <tableColumn id="1" xr3:uid="{C30558D4-D1AA-40E7-AAB9-B74AC8C72DD6}" name="Categorias disponible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table" Target="../tables/table5.xml"/><Relationship Id="rId4" Type="http://schemas.openxmlformats.org/officeDocument/2006/relationships/table" Target="../tables/table8.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 Id="rId4" Type="http://schemas.openxmlformats.org/officeDocument/2006/relationships/table" Target="../tables/table1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table" Target="../tables/table13.xml"/><Relationship Id="rId4" Type="http://schemas.openxmlformats.org/officeDocument/2006/relationships/table" Target="../tables/table16.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table" Target="../tables/table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V136"/>
  <sheetViews>
    <sheetView workbookViewId="0">
      <pane ySplit="1" topLeftCell="A82" activePane="bottomLeft" state="frozen"/>
      <selection pane="bottomLeft" activeCell="B92" sqref="B92"/>
    </sheetView>
  </sheetViews>
  <sheetFormatPr defaultRowHeight="15" x14ac:dyDescent="0.25"/>
  <cols>
    <col min="1" max="1" width="26.42578125" style="6" bestFit="1" customWidth="1"/>
    <col min="2" max="2" width="39" style="7" customWidth="1"/>
    <col min="3" max="3" width="14.5703125" style="6" customWidth="1"/>
    <col min="4" max="4" width="13.28515625" style="6" customWidth="1"/>
    <col min="5" max="5" width="11.140625" style="6" customWidth="1"/>
    <col min="6" max="6" width="8.5703125" style="6" customWidth="1"/>
    <col min="7" max="7" width="10.85546875" style="6" bestFit="1" customWidth="1"/>
    <col min="8" max="8" width="18" style="6" bestFit="1" customWidth="1"/>
    <col min="9" max="9" width="18" bestFit="1" customWidth="1"/>
    <col min="10" max="10" width="13.140625" customWidth="1"/>
    <col min="11" max="11" width="21" bestFit="1" customWidth="1"/>
    <col min="12" max="13" width="21.5703125" bestFit="1" customWidth="1"/>
    <col min="15" max="15" width="26" customWidth="1"/>
    <col min="17" max="21" width="12.42578125" customWidth="1"/>
    <col min="22" max="22" width="9.85546875" customWidth="1"/>
  </cols>
  <sheetData>
    <row r="1" spans="1:22" x14ac:dyDescent="0.25">
      <c r="A1" s="6" t="s">
        <v>0</v>
      </c>
      <c r="B1" s="7" t="s">
        <v>1</v>
      </c>
      <c r="C1" s="6" t="s">
        <v>2</v>
      </c>
      <c r="D1" s="6" t="s">
        <v>3</v>
      </c>
      <c r="E1" s="6" t="s">
        <v>4</v>
      </c>
      <c r="F1" s="6" t="s">
        <v>264</v>
      </c>
      <c r="G1" s="6" t="s">
        <v>13</v>
      </c>
      <c r="H1" s="6" t="s">
        <v>256</v>
      </c>
    </row>
    <row r="2" spans="1:22" x14ac:dyDescent="0.25">
      <c r="A2" s="6" t="s">
        <v>104</v>
      </c>
      <c r="B2" s="9" t="s">
        <v>86</v>
      </c>
      <c r="C2" s="8"/>
      <c r="D2" s="8" t="s">
        <v>103</v>
      </c>
      <c r="E2" s="8">
        <v>315000341</v>
      </c>
      <c r="F2" s="8">
        <v>1</v>
      </c>
      <c r="G2" s="8" t="s">
        <v>8</v>
      </c>
      <c r="H2" s="8">
        <v>1</v>
      </c>
    </row>
    <row r="3" spans="1:22" x14ac:dyDescent="0.25">
      <c r="A3" s="8" t="s">
        <v>266</v>
      </c>
      <c r="B3" s="9" t="s">
        <v>86</v>
      </c>
      <c r="C3" s="8"/>
      <c r="D3" s="8"/>
      <c r="E3" s="8"/>
      <c r="F3" s="8">
        <v>1</v>
      </c>
      <c r="G3" s="8" t="s">
        <v>8</v>
      </c>
      <c r="H3" s="8">
        <v>1</v>
      </c>
      <c r="J3" t="s">
        <v>16</v>
      </c>
      <c r="K3" t="s">
        <v>18</v>
      </c>
      <c r="L3" t="s">
        <v>14</v>
      </c>
      <c r="N3" t="s">
        <v>28</v>
      </c>
      <c r="P3" s="12" t="s">
        <v>254</v>
      </c>
      <c r="Q3" s="12"/>
      <c r="R3" s="12"/>
      <c r="S3" s="12"/>
      <c r="T3" s="12"/>
      <c r="U3" s="12"/>
    </row>
    <row r="4" spans="1:22" x14ac:dyDescent="0.25">
      <c r="A4" s="8" t="s">
        <v>102</v>
      </c>
      <c r="B4" s="9" t="s">
        <v>86</v>
      </c>
      <c r="C4" s="8"/>
      <c r="D4" s="8" t="s">
        <v>103</v>
      </c>
      <c r="E4" s="8">
        <v>28999</v>
      </c>
      <c r="F4" s="8">
        <v>1</v>
      </c>
      <c r="G4" s="8" t="s">
        <v>8</v>
      </c>
      <c r="H4" s="8">
        <v>1</v>
      </c>
      <c r="J4" t="s">
        <v>17</v>
      </c>
      <c r="K4">
        <v>2</v>
      </c>
      <c r="L4" t="s">
        <v>15</v>
      </c>
      <c r="N4" t="s">
        <v>15</v>
      </c>
      <c r="P4" t="s">
        <v>8</v>
      </c>
      <c r="Q4" t="s">
        <v>5</v>
      </c>
      <c r="R4" t="s">
        <v>6</v>
      </c>
      <c r="S4" t="s">
        <v>9</v>
      </c>
      <c r="T4" t="s">
        <v>10</v>
      </c>
      <c r="U4" t="s">
        <v>7</v>
      </c>
      <c r="V4" t="s">
        <v>36</v>
      </c>
    </row>
    <row r="5" spans="1:22" x14ac:dyDescent="0.25">
      <c r="A5" s="8" t="s">
        <v>107</v>
      </c>
      <c r="B5" s="9" t="s">
        <v>108</v>
      </c>
      <c r="C5" s="8"/>
      <c r="D5" s="8" t="s">
        <v>103</v>
      </c>
      <c r="E5" s="8">
        <v>150181011</v>
      </c>
      <c r="F5" s="8">
        <v>2</v>
      </c>
      <c r="G5" s="8" t="s">
        <v>8</v>
      </c>
      <c r="H5" s="8">
        <v>2</v>
      </c>
      <c r="J5" t="s">
        <v>19</v>
      </c>
      <c r="K5">
        <v>2</v>
      </c>
      <c r="L5" t="s">
        <v>15</v>
      </c>
      <c r="N5" t="s">
        <v>29</v>
      </c>
      <c r="P5">
        <v>1</v>
      </c>
      <c r="Q5">
        <v>1</v>
      </c>
      <c r="R5">
        <v>1</v>
      </c>
      <c r="S5">
        <v>1</v>
      </c>
      <c r="T5">
        <v>1</v>
      </c>
      <c r="U5" t="s">
        <v>255</v>
      </c>
      <c r="V5" t="s">
        <v>36</v>
      </c>
    </row>
    <row r="6" spans="1:22" x14ac:dyDescent="0.25">
      <c r="A6" s="8" t="s">
        <v>107</v>
      </c>
      <c r="B6" s="9" t="s">
        <v>109</v>
      </c>
      <c r="C6" s="8" t="s">
        <v>110</v>
      </c>
      <c r="D6" s="8"/>
      <c r="E6" s="8"/>
      <c r="F6" s="8">
        <v>1</v>
      </c>
      <c r="G6" s="8" t="s">
        <v>8</v>
      </c>
      <c r="H6" s="8">
        <v>2</v>
      </c>
      <c r="J6" t="s">
        <v>20</v>
      </c>
      <c r="K6">
        <v>1</v>
      </c>
      <c r="L6" t="s">
        <v>15</v>
      </c>
      <c r="N6" t="s">
        <v>96</v>
      </c>
      <c r="P6">
        <v>2</v>
      </c>
      <c r="T6">
        <v>2</v>
      </c>
      <c r="U6" t="s">
        <v>257</v>
      </c>
    </row>
    <row r="7" spans="1:22" x14ac:dyDescent="0.25">
      <c r="A7" s="8" t="s">
        <v>107</v>
      </c>
      <c r="B7" s="9" t="s">
        <v>109</v>
      </c>
      <c r="C7" s="8" t="s">
        <v>111</v>
      </c>
      <c r="D7" s="8"/>
      <c r="E7" s="8"/>
      <c r="F7" s="8">
        <v>1</v>
      </c>
      <c r="G7" s="8" t="s">
        <v>8</v>
      </c>
      <c r="H7" s="8">
        <v>2</v>
      </c>
      <c r="J7" t="s">
        <v>21</v>
      </c>
      <c r="K7">
        <v>1</v>
      </c>
      <c r="L7" t="s">
        <v>15</v>
      </c>
      <c r="N7" t="s">
        <v>153</v>
      </c>
      <c r="P7">
        <v>3</v>
      </c>
      <c r="T7">
        <v>3</v>
      </c>
      <c r="U7" t="s">
        <v>258</v>
      </c>
    </row>
    <row r="8" spans="1:22" x14ac:dyDescent="0.25">
      <c r="A8" s="8" t="s">
        <v>107</v>
      </c>
      <c r="B8" s="9" t="s">
        <v>120</v>
      </c>
      <c r="C8" s="8"/>
      <c r="D8" s="8" t="s">
        <v>103</v>
      </c>
      <c r="E8" s="8"/>
      <c r="F8" s="8">
        <v>2</v>
      </c>
      <c r="G8" s="8" t="s">
        <v>8</v>
      </c>
      <c r="H8" s="8">
        <v>2</v>
      </c>
      <c r="J8" t="s">
        <v>22</v>
      </c>
      <c r="K8">
        <v>1</v>
      </c>
      <c r="L8" t="s">
        <v>15</v>
      </c>
      <c r="N8" t="s">
        <v>161</v>
      </c>
      <c r="P8">
        <v>4</v>
      </c>
    </row>
    <row r="9" spans="1:22" x14ac:dyDescent="0.25">
      <c r="A9" s="8" t="s">
        <v>116</v>
      </c>
      <c r="B9" s="9" t="s">
        <v>117</v>
      </c>
      <c r="C9" s="8" t="s">
        <v>134</v>
      </c>
      <c r="D9" s="8"/>
      <c r="E9" s="8"/>
      <c r="F9" s="8">
        <v>2</v>
      </c>
      <c r="G9" s="8" t="s">
        <v>8</v>
      </c>
      <c r="H9" s="8">
        <v>2</v>
      </c>
      <c r="J9" t="s">
        <v>24</v>
      </c>
      <c r="K9">
        <v>1</v>
      </c>
      <c r="L9" t="s">
        <v>15</v>
      </c>
      <c r="N9" t="s">
        <v>204</v>
      </c>
    </row>
    <row r="10" spans="1:22" x14ac:dyDescent="0.25">
      <c r="A10" s="8" t="s">
        <v>116</v>
      </c>
      <c r="B10" s="9" t="s">
        <v>121</v>
      </c>
      <c r="C10" s="8"/>
      <c r="D10" s="8"/>
      <c r="E10" s="8"/>
      <c r="F10" s="8">
        <v>1</v>
      </c>
      <c r="G10" s="8" t="s">
        <v>8</v>
      </c>
      <c r="H10" s="8">
        <v>2</v>
      </c>
      <c r="J10" t="s">
        <v>25</v>
      </c>
      <c r="K10">
        <v>1</v>
      </c>
      <c r="L10" t="s">
        <v>15</v>
      </c>
      <c r="N10" t="s">
        <v>29</v>
      </c>
    </row>
    <row r="11" spans="1:22" x14ac:dyDescent="0.25">
      <c r="A11" s="8" t="s">
        <v>267</v>
      </c>
      <c r="B11" s="9"/>
      <c r="C11" s="8"/>
      <c r="D11" s="8" t="s">
        <v>103</v>
      </c>
      <c r="E11" s="8"/>
      <c r="F11" s="8">
        <v>1</v>
      </c>
      <c r="G11" s="8" t="s">
        <v>8</v>
      </c>
      <c r="H11" s="8">
        <v>2</v>
      </c>
      <c r="J11" t="s">
        <v>26</v>
      </c>
      <c r="K11">
        <v>4</v>
      </c>
      <c r="L11" t="s">
        <v>15</v>
      </c>
    </row>
    <row r="12" spans="1:22" ht="30" x14ac:dyDescent="0.25">
      <c r="A12" s="8" t="s">
        <v>112</v>
      </c>
      <c r="B12" s="9"/>
      <c r="C12" s="8" t="s">
        <v>114</v>
      </c>
      <c r="D12" s="8"/>
      <c r="E12" s="8"/>
      <c r="F12" s="8">
        <v>5</v>
      </c>
      <c r="G12" s="8" t="s">
        <v>8</v>
      </c>
      <c r="H12" s="8">
        <v>2</v>
      </c>
      <c r="J12" t="s">
        <v>23</v>
      </c>
      <c r="K12">
        <v>1</v>
      </c>
      <c r="L12" t="s">
        <v>15</v>
      </c>
    </row>
    <row r="13" spans="1:22" x14ac:dyDescent="0.25">
      <c r="A13" s="8" t="s">
        <v>118</v>
      </c>
      <c r="B13" s="9" t="s">
        <v>119</v>
      </c>
      <c r="C13" s="8"/>
      <c r="D13" s="8"/>
      <c r="E13" s="8"/>
      <c r="F13" s="8">
        <v>1</v>
      </c>
      <c r="G13" s="8" t="s">
        <v>8</v>
      </c>
      <c r="H13" s="8">
        <v>2</v>
      </c>
      <c r="J13" t="s">
        <v>97</v>
      </c>
      <c r="K13">
        <v>7</v>
      </c>
      <c r="L13" t="s">
        <v>96</v>
      </c>
    </row>
    <row r="14" spans="1:22" x14ac:dyDescent="0.25">
      <c r="A14" s="8" t="s">
        <v>268</v>
      </c>
      <c r="B14" s="9" t="s">
        <v>105</v>
      </c>
      <c r="C14" s="8"/>
      <c r="D14" s="8" t="s">
        <v>106</v>
      </c>
      <c r="E14" s="8"/>
      <c r="F14" s="8">
        <v>1</v>
      </c>
      <c r="G14" s="8" t="s">
        <v>8</v>
      </c>
      <c r="H14" s="8">
        <v>2</v>
      </c>
      <c r="J14" t="s">
        <v>98</v>
      </c>
      <c r="K14">
        <v>2</v>
      </c>
      <c r="L14" t="s">
        <v>96</v>
      </c>
    </row>
    <row r="15" spans="1:22" x14ac:dyDescent="0.25">
      <c r="A15" s="8" t="s">
        <v>269</v>
      </c>
      <c r="B15" s="9" t="s">
        <v>105</v>
      </c>
      <c r="C15" s="8"/>
      <c r="D15" s="8"/>
      <c r="E15" s="8"/>
      <c r="F15" s="8">
        <v>1</v>
      </c>
      <c r="G15" s="8" t="s">
        <v>8</v>
      </c>
      <c r="H15" s="8">
        <v>2</v>
      </c>
      <c r="J15" t="s">
        <v>99</v>
      </c>
      <c r="K15">
        <v>3</v>
      </c>
      <c r="L15" t="s">
        <v>96</v>
      </c>
    </row>
    <row r="16" spans="1:22" x14ac:dyDescent="0.25">
      <c r="A16" s="8" t="s">
        <v>123</v>
      </c>
      <c r="B16" s="9"/>
      <c r="C16" s="8" t="s">
        <v>124</v>
      </c>
      <c r="D16" s="8"/>
      <c r="E16" s="8"/>
      <c r="F16" s="8">
        <v>1</v>
      </c>
      <c r="G16" s="8" t="s">
        <v>8</v>
      </c>
      <c r="H16" s="8">
        <v>3</v>
      </c>
      <c r="J16" t="s">
        <v>100</v>
      </c>
      <c r="K16">
        <v>1</v>
      </c>
      <c r="L16" t="s">
        <v>96</v>
      </c>
    </row>
    <row r="17" spans="1:12" x14ac:dyDescent="0.25">
      <c r="A17" s="8" t="s">
        <v>123</v>
      </c>
      <c r="B17" s="9"/>
      <c r="C17" s="8" t="s">
        <v>38</v>
      </c>
      <c r="D17" s="8"/>
      <c r="E17" s="8"/>
      <c r="F17" s="8">
        <v>1</v>
      </c>
      <c r="G17" s="8" t="s">
        <v>8</v>
      </c>
      <c r="H17" s="8">
        <v>3</v>
      </c>
      <c r="J17" t="s">
        <v>98</v>
      </c>
      <c r="K17">
        <v>3</v>
      </c>
      <c r="L17" t="s">
        <v>153</v>
      </c>
    </row>
    <row r="18" spans="1:12" x14ac:dyDescent="0.25">
      <c r="A18" s="8" t="s">
        <v>95</v>
      </c>
      <c r="B18" s="9" t="str">
        <f>bolso("Bolso de collares",Table6[])</f>
        <v xml:space="preserve">Bolso de collares Contiene:  collar G x7,  Collar M x2,  collar ch x3,  collar P x1, </v>
      </c>
      <c r="C18" s="8"/>
      <c r="D18" s="8"/>
      <c r="E18" s="8"/>
      <c r="F18" s="8">
        <v>1</v>
      </c>
      <c r="G18" s="8" t="s">
        <v>8</v>
      </c>
      <c r="H18" s="8">
        <v>3</v>
      </c>
      <c r="J18" t="s">
        <v>154</v>
      </c>
      <c r="K18">
        <v>1</v>
      </c>
      <c r="L18" t="s">
        <v>153</v>
      </c>
    </row>
    <row r="19" spans="1:12" x14ac:dyDescent="0.25">
      <c r="A19" s="8" t="s">
        <v>92</v>
      </c>
      <c r="B19" s="9"/>
      <c r="C19" s="8"/>
      <c r="D19" s="8"/>
      <c r="E19" s="8"/>
      <c r="F19" s="8">
        <v>3</v>
      </c>
      <c r="G19" s="8" t="s">
        <v>8</v>
      </c>
      <c r="H19" s="8">
        <v>3</v>
      </c>
      <c r="J19" t="s">
        <v>155</v>
      </c>
      <c r="K19">
        <v>1</v>
      </c>
      <c r="L19" t="s">
        <v>153</v>
      </c>
    </row>
    <row r="20" spans="1:12" x14ac:dyDescent="0.25">
      <c r="A20" s="8" t="s">
        <v>87</v>
      </c>
      <c r="B20" s="9"/>
      <c r="C20" s="8" t="s">
        <v>52</v>
      </c>
      <c r="D20" s="8"/>
      <c r="E20" s="8"/>
      <c r="F20" s="8">
        <v>1</v>
      </c>
      <c r="G20" s="8" t="s">
        <v>8</v>
      </c>
      <c r="H20" s="8">
        <v>3</v>
      </c>
      <c r="J20" t="s">
        <v>156</v>
      </c>
      <c r="K20">
        <v>1</v>
      </c>
      <c r="L20" t="s">
        <v>153</v>
      </c>
    </row>
    <row r="21" spans="1:12" x14ac:dyDescent="0.25">
      <c r="A21" s="8" t="s">
        <v>90</v>
      </c>
      <c r="B21" s="9" t="s">
        <v>91</v>
      </c>
      <c r="C21" s="8"/>
      <c r="D21" s="8"/>
      <c r="E21" s="8"/>
      <c r="F21" s="8">
        <v>4</v>
      </c>
      <c r="G21" s="8" t="s">
        <v>8</v>
      </c>
      <c r="H21" s="8">
        <v>3</v>
      </c>
      <c r="J21" t="s">
        <v>157</v>
      </c>
      <c r="K21">
        <v>1</v>
      </c>
      <c r="L21" t="s">
        <v>153</v>
      </c>
    </row>
    <row r="22" spans="1:12" x14ac:dyDescent="0.25">
      <c r="A22" s="8" t="s">
        <v>90</v>
      </c>
      <c r="B22" s="9" t="s">
        <v>122</v>
      </c>
      <c r="C22" s="8"/>
      <c r="D22" s="8"/>
      <c r="E22" s="8"/>
      <c r="F22" s="8">
        <v>1</v>
      </c>
      <c r="G22" s="8" t="s">
        <v>8</v>
      </c>
      <c r="H22" s="8">
        <v>3</v>
      </c>
      <c r="J22" t="s">
        <v>158</v>
      </c>
      <c r="K22">
        <v>1</v>
      </c>
      <c r="L22" t="s">
        <v>153</v>
      </c>
    </row>
    <row r="23" spans="1:12" x14ac:dyDescent="0.25">
      <c r="A23" s="8" t="s">
        <v>88</v>
      </c>
      <c r="B23" s="9" t="s">
        <v>89</v>
      </c>
      <c r="C23" s="8"/>
      <c r="D23" s="8"/>
      <c r="E23" s="8"/>
      <c r="F23" s="8">
        <v>2</v>
      </c>
      <c r="G23" s="8" t="s">
        <v>8</v>
      </c>
      <c r="H23" s="8">
        <v>3</v>
      </c>
      <c r="J23" t="s">
        <v>159</v>
      </c>
      <c r="K23">
        <v>2</v>
      </c>
      <c r="L23" t="s">
        <v>153</v>
      </c>
    </row>
    <row r="24" spans="1:12" x14ac:dyDescent="0.25">
      <c r="A24" s="8" t="s">
        <v>93</v>
      </c>
      <c r="B24" s="9" t="s">
        <v>94</v>
      </c>
      <c r="C24" s="8"/>
      <c r="D24" s="8"/>
      <c r="E24" s="8"/>
      <c r="F24" s="8">
        <v>1</v>
      </c>
      <c r="G24" s="8" t="s">
        <v>8</v>
      </c>
      <c r="H24" s="8">
        <v>3</v>
      </c>
      <c r="J24" t="s">
        <v>160</v>
      </c>
      <c r="K24">
        <v>1</v>
      </c>
      <c r="L24" t="s">
        <v>153</v>
      </c>
    </row>
    <row r="25" spans="1:12" x14ac:dyDescent="0.25">
      <c r="A25" s="8" t="s">
        <v>84</v>
      </c>
      <c r="B25" s="9" t="s">
        <v>270</v>
      </c>
      <c r="C25" s="8"/>
      <c r="D25" s="8"/>
      <c r="E25" s="8"/>
      <c r="F25" s="8">
        <v>1</v>
      </c>
      <c r="G25" s="8" t="s">
        <v>8</v>
      </c>
      <c r="H25" s="8">
        <v>4</v>
      </c>
      <c r="J25" t="s">
        <v>162</v>
      </c>
      <c r="K25">
        <v>10</v>
      </c>
      <c r="L25" t="s">
        <v>161</v>
      </c>
    </row>
    <row r="26" spans="1:12" x14ac:dyDescent="0.25">
      <c r="A26" s="8" t="s">
        <v>81</v>
      </c>
      <c r="B26" s="9" t="s">
        <v>82</v>
      </c>
      <c r="C26" s="8"/>
      <c r="D26" s="8" t="s">
        <v>83</v>
      </c>
      <c r="E26" s="8">
        <v>25</v>
      </c>
      <c r="F26" s="8">
        <v>1</v>
      </c>
      <c r="G26" s="8" t="s">
        <v>8</v>
      </c>
      <c r="H26" s="8">
        <v>4</v>
      </c>
      <c r="J26" t="s">
        <v>163</v>
      </c>
      <c r="K26">
        <v>4</v>
      </c>
      <c r="L26" t="s">
        <v>161</v>
      </c>
    </row>
    <row r="27" spans="1:12" ht="30" x14ac:dyDescent="0.25">
      <c r="A27" s="8" t="s">
        <v>81</v>
      </c>
      <c r="B27" s="9" t="s">
        <v>85</v>
      </c>
      <c r="C27" s="8"/>
      <c r="D27" s="8"/>
      <c r="E27" s="8"/>
      <c r="F27" s="8">
        <v>1</v>
      </c>
      <c r="G27" s="8" t="s">
        <v>8</v>
      </c>
      <c r="H27" s="8">
        <v>4</v>
      </c>
      <c r="J27" t="s">
        <v>164</v>
      </c>
      <c r="K27">
        <v>3</v>
      </c>
      <c r="L27" t="s">
        <v>161</v>
      </c>
    </row>
    <row r="28" spans="1:12" x14ac:dyDescent="0.25">
      <c r="A28" s="8" t="s">
        <v>266</v>
      </c>
      <c r="B28" s="9" t="s">
        <v>101</v>
      </c>
      <c r="C28" s="8"/>
      <c r="D28" s="8"/>
      <c r="E28" s="8"/>
      <c r="F28" s="8">
        <v>1</v>
      </c>
      <c r="G28" s="8" t="s">
        <v>8</v>
      </c>
      <c r="H28" s="8">
        <v>4</v>
      </c>
      <c r="J28" t="s">
        <v>205</v>
      </c>
      <c r="K28">
        <v>3</v>
      </c>
      <c r="L28" t="s">
        <v>204</v>
      </c>
    </row>
    <row r="29" spans="1:12" ht="75" x14ac:dyDescent="0.25">
      <c r="A29" s="8" t="s">
        <v>95</v>
      </c>
      <c r="B29" s="9" t="str">
        <f>bolso("Caja de herramientas 1",Table6[])</f>
        <v xml:space="preserve">Caja de herramientas 1 Contiene:  Pico de loro x2,  Martillo x2,  Alicate x1,  Tijera para chapa x1,  llave fija 17mm x1,  pinza de punta x1,  llave stilson x1,  Llave union x4,  pinza x1, </v>
      </c>
      <c r="C29" s="8"/>
      <c r="D29" s="8" t="s">
        <v>27</v>
      </c>
      <c r="E29" s="8" t="s">
        <v>27</v>
      </c>
      <c r="F29" s="8">
        <v>1</v>
      </c>
      <c r="G29" s="8" t="s">
        <v>5</v>
      </c>
      <c r="H29" s="8">
        <v>1</v>
      </c>
      <c r="J29" t="s">
        <v>206</v>
      </c>
      <c r="K29">
        <v>2</v>
      </c>
      <c r="L29" t="s">
        <v>204</v>
      </c>
    </row>
    <row r="30" spans="1:12" x14ac:dyDescent="0.25">
      <c r="A30" s="8" t="s">
        <v>32</v>
      </c>
      <c r="B30" s="9" t="s">
        <v>72</v>
      </c>
      <c r="C30" s="8" t="s">
        <v>33</v>
      </c>
      <c r="D30" s="8" t="s">
        <v>27</v>
      </c>
      <c r="E30" s="8">
        <v>2130600061</v>
      </c>
      <c r="F30" s="8">
        <v>2</v>
      </c>
      <c r="G30" s="8" t="s">
        <v>5</v>
      </c>
      <c r="H30" s="8">
        <v>1</v>
      </c>
      <c r="J30" t="s">
        <v>207</v>
      </c>
      <c r="K30">
        <v>1</v>
      </c>
      <c r="L30" t="s">
        <v>204</v>
      </c>
    </row>
    <row r="31" spans="1:12" x14ac:dyDescent="0.25">
      <c r="A31" s="8" t="s">
        <v>32</v>
      </c>
      <c r="B31" s="9" t="s">
        <v>75</v>
      </c>
      <c r="C31" s="8" t="s">
        <v>73</v>
      </c>
      <c r="D31" s="8" t="s">
        <v>27</v>
      </c>
      <c r="E31" s="8" t="s">
        <v>27</v>
      </c>
      <c r="F31" s="8">
        <v>1</v>
      </c>
      <c r="G31" s="8" t="s">
        <v>5</v>
      </c>
      <c r="H31" s="8">
        <v>1</v>
      </c>
      <c r="J31" t="s">
        <v>218</v>
      </c>
      <c r="K31">
        <v>1</v>
      </c>
      <c r="L31" t="s">
        <v>29</v>
      </c>
    </row>
    <row r="32" spans="1:12" x14ac:dyDescent="0.25">
      <c r="A32" s="8" t="s">
        <v>32</v>
      </c>
      <c r="B32" s="9" t="s">
        <v>72</v>
      </c>
      <c r="C32" s="8" t="s">
        <v>73</v>
      </c>
      <c r="D32" s="8" t="s">
        <v>27</v>
      </c>
      <c r="E32" s="8" t="s">
        <v>79</v>
      </c>
      <c r="F32" s="8">
        <v>1</v>
      </c>
      <c r="G32" s="8" t="s">
        <v>5</v>
      </c>
      <c r="H32" s="8">
        <v>1</v>
      </c>
      <c r="J32" t="s">
        <v>148</v>
      </c>
      <c r="K32">
        <v>1</v>
      </c>
      <c r="L32" t="s">
        <v>29</v>
      </c>
    </row>
    <row r="33" spans="1:12" x14ac:dyDescent="0.25">
      <c r="A33" s="8" t="s">
        <v>74</v>
      </c>
      <c r="B33" s="9" t="s">
        <v>72</v>
      </c>
      <c r="C33" s="8" t="s">
        <v>73</v>
      </c>
      <c r="D33" s="8" t="s">
        <v>27</v>
      </c>
      <c r="E33" s="8" t="s">
        <v>27</v>
      </c>
      <c r="F33" s="8">
        <v>1</v>
      </c>
      <c r="G33" s="8" t="s">
        <v>5</v>
      </c>
      <c r="H33" s="8">
        <v>1</v>
      </c>
      <c r="J33" t="s">
        <v>219</v>
      </c>
      <c r="K33">
        <v>1</v>
      </c>
      <c r="L33" t="s">
        <v>29</v>
      </c>
    </row>
    <row r="34" spans="1:12" x14ac:dyDescent="0.25">
      <c r="A34" s="8" t="s">
        <v>11</v>
      </c>
      <c r="B34" s="9" t="s">
        <v>76</v>
      </c>
      <c r="C34" s="8" t="s">
        <v>30</v>
      </c>
      <c r="D34" s="8" t="s">
        <v>27</v>
      </c>
      <c r="E34" s="8" t="s">
        <v>27</v>
      </c>
      <c r="F34" s="8">
        <v>3</v>
      </c>
      <c r="G34" s="8" t="s">
        <v>5</v>
      </c>
      <c r="H34" s="8">
        <v>1</v>
      </c>
      <c r="J34" t="s">
        <v>220</v>
      </c>
      <c r="K34">
        <v>2</v>
      </c>
      <c r="L34" t="s">
        <v>29</v>
      </c>
    </row>
    <row r="35" spans="1:12" x14ac:dyDescent="0.25">
      <c r="A35" s="8" t="s">
        <v>11</v>
      </c>
      <c r="B35" s="9" t="s">
        <v>271</v>
      </c>
      <c r="C35" s="8" t="s">
        <v>30</v>
      </c>
      <c r="D35" s="8" t="s">
        <v>27</v>
      </c>
      <c r="E35" s="8" t="s">
        <v>27</v>
      </c>
      <c r="F35" s="8">
        <v>2</v>
      </c>
      <c r="G35" s="8" t="s">
        <v>5</v>
      </c>
      <c r="H35" s="8">
        <v>1</v>
      </c>
      <c r="J35" t="s">
        <v>221</v>
      </c>
      <c r="K35">
        <v>4</v>
      </c>
      <c r="L35" t="s">
        <v>29</v>
      </c>
    </row>
    <row r="36" spans="1:12" x14ac:dyDescent="0.25">
      <c r="A36" s="8" t="s">
        <v>11</v>
      </c>
      <c r="B36" s="9" t="s">
        <v>77</v>
      </c>
      <c r="C36" s="8" t="s">
        <v>78</v>
      </c>
      <c r="D36" s="8" t="s">
        <v>27</v>
      </c>
      <c r="E36" s="8" t="s">
        <v>27</v>
      </c>
      <c r="F36" s="8">
        <v>1</v>
      </c>
      <c r="G36" s="8" t="s">
        <v>5</v>
      </c>
      <c r="H36" s="8">
        <v>1</v>
      </c>
      <c r="J36" t="s">
        <v>222</v>
      </c>
      <c r="K36">
        <v>1</v>
      </c>
      <c r="L36" t="s">
        <v>29</v>
      </c>
    </row>
    <row r="37" spans="1:12" x14ac:dyDescent="0.25">
      <c r="A37" s="8" t="s">
        <v>11</v>
      </c>
      <c r="B37" s="9" t="s">
        <v>272</v>
      </c>
      <c r="C37" s="8" t="s">
        <v>80</v>
      </c>
      <c r="D37" s="8" t="s">
        <v>27</v>
      </c>
      <c r="E37" s="8" t="s">
        <v>27</v>
      </c>
      <c r="F37" s="8">
        <v>1</v>
      </c>
      <c r="G37" s="8" t="s">
        <v>5</v>
      </c>
      <c r="H37" s="8">
        <v>1</v>
      </c>
      <c r="J37" t="s">
        <v>223</v>
      </c>
      <c r="K37">
        <v>1</v>
      </c>
      <c r="L37" t="s">
        <v>29</v>
      </c>
    </row>
    <row r="38" spans="1:12" x14ac:dyDescent="0.25">
      <c r="A38" s="8" t="s">
        <v>43</v>
      </c>
      <c r="B38" s="9"/>
      <c r="C38" s="8" t="s">
        <v>66</v>
      </c>
      <c r="D38" s="8" t="s">
        <v>27</v>
      </c>
      <c r="E38" s="8" t="s">
        <v>27</v>
      </c>
      <c r="F38" s="8">
        <v>1</v>
      </c>
      <c r="G38" s="8" t="s">
        <v>6</v>
      </c>
      <c r="H38" s="8">
        <v>1</v>
      </c>
      <c r="J38" t="s">
        <v>26</v>
      </c>
      <c r="K38">
        <v>1</v>
      </c>
      <c r="L38" t="s">
        <v>29</v>
      </c>
    </row>
    <row r="39" spans="1:12" x14ac:dyDescent="0.25">
      <c r="A39" s="8" t="s">
        <v>43</v>
      </c>
      <c r="B39" s="9" t="s">
        <v>273</v>
      </c>
      <c r="C39" s="8" t="s">
        <v>66</v>
      </c>
      <c r="D39" s="8" t="s">
        <v>27</v>
      </c>
      <c r="E39" s="8" t="s">
        <v>27</v>
      </c>
      <c r="F39" s="8">
        <v>1</v>
      </c>
      <c r="G39" s="8" t="s">
        <v>6</v>
      </c>
      <c r="H39" s="8">
        <v>1</v>
      </c>
      <c r="J39" t="s">
        <v>224</v>
      </c>
      <c r="K39">
        <v>4</v>
      </c>
      <c r="L39" t="s">
        <v>29</v>
      </c>
    </row>
    <row r="40" spans="1:12" x14ac:dyDescent="0.25">
      <c r="A40" s="8" t="s">
        <v>43</v>
      </c>
      <c r="B40" s="9"/>
      <c r="C40" s="8" t="s">
        <v>66</v>
      </c>
      <c r="D40" s="8" t="s">
        <v>27</v>
      </c>
      <c r="E40" s="8" t="s">
        <v>27</v>
      </c>
      <c r="F40" s="8">
        <v>1</v>
      </c>
      <c r="G40" s="8" t="s">
        <v>6</v>
      </c>
      <c r="H40" s="8">
        <v>1</v>
      </c>
      <c r="J40" t="s">
        <v>225</v>
      </c>
      <c r="K40">
        <v>1</v>
      </c>
      <c r="L40" t="s">
        <v>29</v>
      </c>
    </row>
    <row r="41" spans="1:12" x14ac:dyDescent="0.25">
      <c r="A41" s="8" t="s">
        <v>43</v>
      </c>
      <c r="B41" s="9" t="s">
        <v>69</v>
      </c>
      <c r="C41" s="8" t="s">
        <v>67</v>
      </c>
      <c r="D41" s="8" t="s">
        <v>27</v>
      </c>
      <c r="E41" s="8" t="s">
        <v>27</v>
      </c>
      <c r="F41" s="8">
        <v>1</v>
      </c>
      <c r="G41" s="8" t="s">
        <v>6</v>
      </c>
      <c r="H41" s="8">
        <v>1</v>
      </c>
      <c r="J41" t="s">
        <v>226</v>
      </c>
      <c r="K41">
        <v>1</v>
      </c>
      <c r="L41" t="s">
        <v>29</v>
      </c>
    </row>
    <row r="42" spans="1:12" x14ac:dyDescent="0.25">
      <c r="A42" s="8" t="s">
        <v>43</v>
      </c>
      <c r="B42" s="9"/>
      <c r="C42" s="8" t="s">
        <v>67</v>
      </c>
      <c r="D42" s="8" t="s">
        <v>27</v>
      </c>
      <c r="E42" s="8" t="s">
        <v>27</v>
      </c>
      <c r="F42" s="8">
        <v>1</v>
      </c>
      <c r="G42" s="8" t="s">
        <v>6</v>
      </c>
      <c r="H42" s="8">
        <v>1</v>
      </c>
      <c r="J42" t="s">
        <v>227</v>
      </c>
      <c r="K42">
        <v>1</v>
      </c>
      <c r="L42" t="s">
        <v>29</v>
      </c>
    </row>
    <row r="43" spans="1:12" x14ac:dyDescent="0.25">
      <c r="A43" s="8" t="s">
        <v>46</v>
      </c>
      <c r="B43" s="9"/>
      <c r="C43" s="8"/>
      <c r="D43" s="8" t="s">
        <v>47</v>
      </c>
      <c r="E43" s="8" t="s">
        <v>27</v>
      </c>
      <c r="F43" s="8">
        <v>1</v>
      </c>
      <c r="G43" s="8" t="s">
        <v>6</v>
      </c>
      <c r="H43" s="8">
        <v>1</v>
      </c>
      <c r="J43" t="s">
        <v>228</v>
      </c>
      <c r="K43">
        <v>1</v>
      </c>
      <c r="L43" t="s">
        <v>29</v>
      </c>
    </row>
    <row r="44" spans="1:12" x14ac:dyDescent="0.25">
      <c r="A44" s="8" t="s">
        <v>46</v>
      </c>
      <c r="B44" s="9"/>
      <c r="C44" s="8"/>
      <c r="D44" s="8" t="s">
        <v>48</v>
      </c>
      <c r="E44" s="8" t="s">
        <v>27</v>
      </c>
      <c r="F44" s="8">
        <v>3</v>
      </c>
      <c r="G44" s="8" t="s">
        <v>6</v>
      </c>
      <c r="H44" s="8">
        <v>1</v>
      </c>
      <c r="J44" t="s">
        <v>229</v>
      </c>
      <c r="K44">
        <v>2</v>
      </c>
      <c r="L44" t="s">
        <v>29</v>
      </c>
    </row>
    <row r="45" spans="1:12" x14ac:dyDescent="0.25">
      <c r="A45" s="8" t="s">
        <v>53</v>
      </c>
      <c r="B45" s="9" t="s">
        <v>262</v>
      </c>
      <c r="C45" s="8"/>
      <c r="D45" s="8" t="s">
        <v>27</v>
      </c>
      <c r="E45" s="8" t="s">
        <v>27</v>
      </c>
      <c r="F45" s="8">
        <v>6</v>
      </c>
      <c r="G45" s="8" t="s">
        <v>6</v>
      </c>
      <c r="H45" s="8">
        <v>1</v>
      </c>
      <c r="J45" t="s">
        <v>230</v>
      </c>
      <c r="K45">
        <v>1</v>
      </c>
      <c r="L45" t="s">
        <v>29</v>
      </c>
    </row>
    <row r="46" spans="1:12" x14ac:dyDescent="0.25">
      <c r="A46" s="8" t="s">
        <v>61</v>
      </c>
      <c r="B46" s="9" t="s">
        <v>62</v>
      </c>
      <c r="C46" s="8" t="s">
        <v>63</v>
      </c>
      <c r="D46" s="8" t="s">
        <v>27</v>
      </c>
      <c r="E46" s="8" t="s">
        <v>27</v>
      </c>
      <c r="F46" s="8">
        <v>1</v>
      </c>
      <c r="G46" s="8" t="s">
        <v>6</v>
      </c>
      <c r="H46" s="8">
        <v>1</v>
      </c>
      <c r="J46" t="s">
        <v>231</v>
      </c>
      <c r="K46">
        <v>1</v>
      </c>
      <c r="L46" t="s">
        <v>29</v>
      </c>
    </row>
    <row r="47" spans="1:12" ht="30" x14ac:dyDescent="0.25">
      <c r="A47" s="8" t="s">
        <v>32</v>
      </c>
      <c r="B47" s="9" t="s">
        <v>51</v>
      </c>
      <c r="C47" s="8" t="s">
        <v>52</v>
      </c>
      <c r="D47" s="8" t="s">
        <v>27</v>
      </c>
      <c r="E47" s="8" t="s">
        <v>27</v>
      </c>
      <c r="F47" s="8">
        <v>1</v>
      </c>
      <c r="G47" s="8" t="s">
        <v>6</v>
      </c>
      <c r="H47" s="8">
        <v>1</v>
      </c>
    </row>
    <row r="48" spans="1:12" x14ac:dyDescent="0.25">
      <c r="A48" s="8" t="s">
        <v>59</v>
      </c>
      <c r="B48" s="9" t="s">
        <v>60</v>
      </c>
      <c r="C48" s="8" t="s">
        <v>33</v>
      </c>
      <c r="D48" s="8" t="s">
        <v>27</v>
      </c>
      <c r="E48" s="8" t="s">
        <v>27</v>
      </c>
      <c r="F48" s="8">
        <v>1</v>
      </c>
      <c r="G48" s="8" t="s">
        <v>6</v>
      </c>
      <c r="H48" s="8">
        <v>1</v>
      </c>
    </row>
    <row r="49" spans="1:8" x14ac:dyDescent="0.25">
      <c r="A49" s="8" t="s">
        <v>44</v>
      </c>
      <c r="B49" s="9" t="s">
        <v>65</v>
      </c>
      <c r="C49" s="8" t="s">
        <v>64</v>
      </c>
      <c r="D49" s="8" t="s">
        <v>27</v>
      </c>
      <c r="E49" s="8" t="s">
        <v>27</v>
      </c>
      <c r="F49" s="8">
        <v>1</v>
      </c>
      <c r="G49" s="8" t="s">
        <v>6</v>
      </c>
      <c r="H49" s="8">
        <v>1</v>
      </c>
    </row>
    <row r="50" spans="1:8" x14ac:dyDescent="0.25">
      <c r="A50" s="8" t="s">
        <v>44</v>
      </c>
      <c r="B50" s="9"/>
      <c r="C50" s="8" t="s">
        <v>71</v>
      </c>
      <c r="D50" s="8" t="s">
        <v>27</v>
      </c>
      <c r="E50" s="8" t="s">
        <v>27</v>
      </c>
      <c r="F50" s="8">
        <v>1</v>
      </c>
      <c r="G50" s="8" t="s">
        <v>6</v>
      </c>
      <c r="H50" s="8">
        <v>1</v>
      </c>
    </row>
    <row r="51" spans="1:8" x14ac:dyDescent="0.25">
      <c r="A51" s="8" t="s">
        <v>44</v>
      </c>
      <c r="B51" s="9"/>
      <c r="C51" s="8" t="s">
        <v>70</v>
      </c>
      <c r="D51" s="8" t="s">
        <v>27</v>
      </c>
      <c r="E51" s="8" t="s">
        <v>27</v>
      </c>
      <c r="F51" s="8">
        <v>1</v>
      </c>
      <c r="G51" s="8" t="s">
        <v>6</v>
      </c>
      <c r="H51" s="8">
        <v>1</v>
      </c>
    </row>
    <row r="52" spans="1:8" x14ac:dyDescent="0.25">
      <c r="A52" s="8" t="s">
        <v>44</v>
      </c>
      <c r="B52" s="9"/>
      <c r="C52" s="8" t="s">
        <v>45</v>
      </c>
      <c r="D52" s="8" t="s">
        <v>27</v>
      </c>
      <c r="E52" s="8" t="s">
        <v>27</v>
      </c>
      <c r="F52" s="8">
        <v>1</v>
      </c>
      <c r="G52" s="8" t="s">
        <v>6</v>
      </c>
      <c r="H52" s="8">
        <v>1</v>
      </c>
    </row>
    <row r="53" spans="1:8" x14ac:dyDescent="0.25">
      <c r="A53" s="8" t="s">
        <v>44</v>
      </c>
      <c r="B53" s="9"/>
      <c r="C53" s="8" t="s">
        <v>45</v>
      </c>
      <c r="D53" s="8" t="s">
        <v>27</v>
      </c>
      <c r="E53" s="8" t="s">
        <v>27</v>
      </c>
      <c r="F53" s="8">
        <v>2</v>
      </c>
      <c r="G53" s="8" t="s">
        <v>6</v>
      </c>
      <c r="H53" s="8">
        <v>1</v>
      </c>
    </row>
    <row r="54" spans="1:8" x14ac:dyDescent="0.25">
      <c r="A54" s="8" t="s">
        <v>44</v>
      </c>
      <c r="B54" s="9"/>
      <c r="C54" s="8" t="s">
        <v>68</v>
      </c>
      <c r="D54" s="8" t="s">
        <v>27</v>
      </c>
      <c r="E54" s="8" t="s">
        <v>27</v>
      </c>
      <c r="F54" s="8">
        <v>3</v>
      </c>
      <c r="G54" s="8" t="s">
        <v>6</v>
      </c>
      <c r="H54" s="8">
        <v>1</v>
      </c>
    </row>
    <row r="55" spans="1:8" x14ac:dyDescent="0.25">
      <c r="A55" s="8" t="s">
        <v>11</v>
      </c>
      <c r="B55" s="9" t="s">
        <v>57</v>
      </c>
      <c r="C55" s="8" t="s">
        <v>58</v>
      </c>
      <c r="D55" s="8" t="s">
        <v>27</v>
      </c>
      <c r="E55" s="8" t="s">
        <v>27</v>
      </c>
      <c r="F55" s="8">
        <v>1</v>
      </c>
      <c r="G55" s="8" t="s">
        <v>6</v>
      </c>
      <c r="H55" s="8">
        <v>1</v>
      </c>
    </row>
    <row r="56" spans="1:8" x14ac:dyDescent="0.25">
      <c r="A56" s="8" t="s">
        <v>11</v>
      </c>
      <c r="B56" s="9" t="s">
        <v>49</v>
      </c>
      <c r="C56" s="8" t="s">
        <v>31</v>
      </c>
      <c r="D56" s="8" t="s">
        <v>27</v>
      </c>
      <c r="E56" s="8" t="s">
        <v>27</v>
      </c>
      <c r="F56" s="8">
        <v>4</v>
      </c>
      <c r="G56" s="8" t="s">
        <v>6</v>
      </c>
      <c r="H56" s="8">
        <v>1</v>
      </c>
    </row>
    <row r="57" spans="1:8" x14ac:dyDescent="0.25">
      <c r="A57" s="8" t="s">
        <v>54</v>
      </c>
      <c r="B57" s="9"/>
      <c r="C57" s="8" t="s">
        <v>55</v>
      </c>
      <c r="D57" s="8" t="s">
        <v>56</v>
      </c>
      <c r="E57" s="8">
        <v>30674</v>
      </c>
      <c r="F57" s="8">
        <v>1</v>
      </c>
      <c r="G57" s="8" t="s">
        <v>6</v>
      </c>
      <c r="H57" s="8">
        <v>1</v>
      </c>
    </row>
    <row r="58" spans="1:8" x14ac:dyDescent="0.25">
      <c r="A58" s="8" t="s">
        <v>116</v>
      </c>
      <c r="B58" s="9" t="s">
        <v>131</v>
      </c>
      <c r="C58" s="8" t="s">
        <v>132</v>
      </c>
      <c r="D58" s="8"/>
      <c r="E58" s="8"/>
      <c r="F58" s="8">
        <v>2</v>
      </c>
      <c r="G58" s="8" t="s">
        <v>9</v>
      </c>
      <c r="H58" s="8">
        <v>1</v>
      </c>
    </row>
    <row r="59" spans="1:8" x14ac:dyDescent="0.25">
      <c r="A59" s="8" t="s">
        <v>116</v>
      </c>
      <c r="B59" s="9" t="s">
        <v>131</v>
      </c>
      <c r="C59" s="8" t="s">
        <v>133</v>
      </c>
      <c r="D59" s="8"/>
      <c r="E59" s="8"/>
      <c r="F59" s="8">
        <v>1</v>
      </c>
      <c r="G59" s="8" t="s">
        <v>9</v>
      </c>
      <c r="H59" s="8">
        <v>1</v>
      </c>
    </row>
    <row r="60" spans="1:8" x14ac:dyDescent="0.25">
      <c r="A60" s="6" t="s">
        <v>142</v>
      </c>
      <c r="B60" s="9" t="s">
        <v>143</v>
      </c>
      <c r="C60" s="8"/>
      <c r="D60" s="8" t="s">
        <v>144</v>
      </c>
      <c r="E60" s="8" t="s">
        <v>145</v>
      </c>
      <c r="F60" s="8">
        <v>1</v>
      </c>
      <c r="G60" s="8" t="s">
        <v>9</v>
      </c>
      <c r="H60" s="8">
        <v>1</v>
      </c>
    </row>
    <row r="61" spans="1:8" x14ac:dyDescent="0.25">
      <c r="A61" s="8" t="s">
        <v>139</v>
      </c>
      <c r="B61" s="9" t="s">
        <v>140</v>
      </c>
      <c r="C61" s="8" t="s">
        <v>63</v>
      </c>
      <c r="D61" s="8" t="s">
        <v>141</v>
      </c>
      <c r="E61" s="8">
        <v>1078949</v>
      </c>
      <c r="F61" s="8">
        <v>1</v>
      </c>
      <c r="G61" s="8" t="s">
        <v>9</v>
      </c>
      <c r="H61" s="8">
        <v>1</v>
      </c>
    </row>
    <row r="62" spans="1:8" x14ac:dyDescent="0.25">
      <c r="A62" s="8" t="s">
        <v>11</v>
      </c>
      <c r="B62" s="9" t="s">
        <v>125</v>
      </c>
      <c r="C62" s="8" t="s">
        <v>126</v>
      </c>
      <c r="D62" s="8"/>
      <c r="E62" s="8"/>
      <c r="F62" s="8">
        <v>2</v>
      </c>
      <c r="G62" s="8" t="s">
        <v>9</v>
      </c>
      <c r="H62" s="8">
        <v>1</v>
      </c>
    </row>
    <row r="63" spans="1:8" x14ac:dyDescent="0.25">
      <c r="A63" s="8" t="s">
        <v>11</v>
      </c>
      <c r="B63" s="9" t="s">
        <v>57</v>
      </c>
      <c r="C63" s="8" t="s">
        <v>80</v>
      </c>
      <c r="D63" s="8"/>
      <c r="E63" s="8"/>
      <c r="F63" s="8">
        <v>4</v>
      </c>
      <c r="G63" s="8" t="s">
        <v>9</v>
      </c>
      <c r="H63" s="8">
        <v>1</v>
      </c>
    </row>
    <row r="64" spans="1:8" x14ac:dyDescent="0.25">
      <c r="A64" s="8" t="s">
        <v>11</v>
      </c>
      <c r="B64" s="9" t="s">
        <v>127</v>
      </c>
      <c r="C64" s="8" t="s">
        <v>128</v>
      </c>
      <c r="D64" s="8"/>
      <c r="E64" s="8"/>
      <c r="F64" s="8">
        <v>1</v>
      </c>
      <c r="G64" s="8" t="s">
        <v>9</v>
      </c>
      <c r="H64" s="8">
        <v>1</v>
      </c>
    </row>
    <row r="65" spans="1:8" x14ac:dyDescent="0.25">
      <c r="A65" s="8" t="s">
        <v>11</v>
      </c>
      <c r="B65" s="9" t="s">
        <v>129</v>
      </c>
      <c r="C65" s="8" t="s">
        <v>130</v>
      </c>
      <c r="D65" s="8"/>
      <c r="E65" s="8"/>
      <c r="F65" s="8">
        <v>1</v>
      </c>
      <c r="G65" s="8" t="s">
        <v>9</v>
      </c>
      <c r="H65" s="8">
        <v>1</v>
      </c>
    </row>
    <row r="66" spans="1:8" x14ac:dyDescent="0.25">
      <c r="A66" s="8" t="s">
        <v>11</v>
      </c>
      <c r="B66" s="9" t="s">
        <v>127</v>
      </c>
      <c r="C66" s="8" t="s">
        <v>130</v>
      </c>
      <c r="D66" s="8"/>
      <c r="E66" s="8"/>
      <c r="F66" s="8">
        <v>1</v>
      </c>
      <c r="G66" s="8" t="s">
        <v>9</v>
      </c>
      <c r="H66" s="8">
        <v>1</v>
      </c>
    </row>
    <row r="67" spans="1:8" x14ac:dyDescent="0.25">
      <c r="A67" s="6" t="s">
        <v>187</v>
      </c>
      <c r="B67" s="9"/>
      <c r="C67" s="8" t="s">
        <v>63</v>
      </c>
      <c r="D67" s="8"/>
      <c r="E67" s="8"/>
      <c r="F67" s="8">
        <v>1</v>
      </c>
      <c r="G67" s="8" t="s">
        <v>10</v>
      </c>
      <c r="H67" s="8">
        <v>1</v>
      </c>
    </row>
    <row r="68" spans="1:8" x14ac:dyDescent="0.25">
      <c r="A68" s="8" t="s">
        <v>188</v>
      </c>
      <c r="B68" s="9"/>
      <c r="C68" s="6" t="s">
        <v>260</v>
      </c>
      <c r="D68" s="8"/>
      <c r="E68" s="8"/>
      <c r="F68" s="8">
        <v>1</v>
      </c>
      <c r="G68" s="8" t="s">
        <v>10</v>
      </c>
      <c r="H68" s="8">
        <v>1</v>
      </c>
    </row>
    <row r="69" spans="1:8" x14ac:dyDescent="0.25">
      <c r="A69" s="8" t="s">
        <v>170</v>
      </c>
      <c r="B69" s="9" t="s">
        <v>190</v>
      </c>
      <c r="C69" s="8"/>
      <c r="D69" s="8"/>
      <c r="E69" s="8"/>
      <c r="F69" s="8">
        <v>1</v>
      </c>
      <c r="G69" s="8" t="s">
        <v>10</v>
      </c>
      <c r="H69" s="8">
        <v>1</v>
      </c>
    </row>
    <row r="70" spans="1:8" x14ac:dyDescent="0.25">
      <c r="A70" s="8" t="s">
        <v>170</v>
      </c>
      <c r="B70" s="9" t="s">
        <v>191</v>
      </c>
      <c r="C70" s="8"/>
      <c r="D70" s="8"/>
      <c r="E70" s="8"/>
      <c r="F70" s="8">
        <v>1</v>
      </c>
      <c r="G70" s="8" t="s">
        <v>10</v>
      </c>
      <c r="H70" s="8">
        <v>1</v>
      </c>
    </row>
    <row r="71" spans="1:8" x14ac:dyDescent="0.25">
      <c r="A71" s="8" t="s">
        <v>170</v>
      </c>
      <c r="B71" s="9" t="s">
        <v>192</v>
      </c>
      <c r="C71" s="8"/>
      <c r="D71" s="8"/>
      <c r="E71" s="8"/>
      <c r="F71" s="8">
        <v>2</v>
      </c>
      <c r="G71" s="8" t="s">
        <v>10</v>
      </c>
      <c r="H71" s="8">
        <v>1</v>
      </c>
    </row>
    <row r="72" spans="1:8" x14ac:dyDescent="0.25">
      <c r="A72" s="8" t="s">
        <v>170</v>
      </c>
      <c r="B72" s="9" t="s">
        <v>193</v>
      </c>
      <c r="C72" s="8"/>
      <c r="D72" s="8"/>
      <c r="E72" s="8"/>
      <c r="F72" s="8">
        <v>1</v>
      </c>
      <c r="G72" s="8" t="s">
        <v>10</v>
      </c>
      <c r="H72" s="8">
        <v>1</v>
      </c>
    </row>
    <row r="73" spans="1:8" x14ac:dyDescent="0.25">
      <c r="A73" s="6" t="s">
        <v>12</v>
      </c>
      <c r="B73" s="9" t="s">
        <v>195</v>
      </c>
      <c r="C73" s="8"/>
      <c r="D73" s="8" t="s">
        <v>196</v>
      </c>
      <c r="E73" s="8" t="s">
        <v>199</v>
      </c>
      <c r="F73" s="8">
        <v>1</v>
      </c>
      <c r="G73" s="8" t="s">
        <v>10</v>
      </c>
      <c r="H73" s="8">
        <v>1</v>
      </c>
    </row>
    <row r="74" spans="1:8" x14ac:dyDescent="0.25">
      <c r="A74" s="8" t="s">
        <v>12</v>
      </c>
      <c r="B74" s="9" t="s">
        <v>194</v>
      </c>
      <c r="C74" s="8" t="s">
        <v>200</v>
      </c>
      <c r="D74" s="8" t="s">
        <v>202</v>
      </c>
      <c r="E74" s="8" t="s">
        <v>201</v>
      </c>
      <c r="F74" s="8">
        <v>1</v>
      </c>
      <c r="G74" s="8" t="s">
        <v>10</v>
      </c>
      <c r="H74" s="8">
        <v>1</v>
      </c>
    </row>
    <row r="75" spans="1:8" x14ac:dyDescent="0.25">
      <c r="A75" s="8" t="s">
        <v>12</v>
      </c>
      <c r="B75" s="9" t="s">
        <v>195</v>
      </c>
      <c r="C75" s="8"/>
      <c r="D75" s="8" t="s">
        <v>197</v>
      </c>
      <c r="E75" s="8" t="s">
        <v>198</v>
      </c>
      <c r="F75" s="8">
        <v>1</v>
      </c>
      <c r="G75" s="8" t="s">
        <v>10</v>
      </c>
      <c r="H75" s="8">
        <v>1</v>
      </c>
    </row>
    <row r="76" spans="1:8" x14ac:dyDescent="0.25">
      <c r="A76" s="8" t="s">
        <v>12</v>
      </c>
      <c r="B76" s="9" t="s">
        <v>194</v>
      </c>
      <c r="C76" s="8" t="s">
        <v>203</v>
      </c>
      <c r="D76" s="8" t="s">
        <v>197</v>
      </c>
      <c r="E76" s="8"/>
      <c r="F76" s="8">
        <v>1</v>
      </c>
      <c r="G76" s="8" t="s">
        <v>10</v>
      </c>
      <c r="H76" s="8">
        <v>1</v>
      </c>
    </row>
    <row r="77" spans="1:8" x14ac:dyDescent="0.25">
      <c r="A77" s="8" t="s">
        <v>189</v>
      </c>
      <c r="B77" s="9"/>
      <c r="C77" s="8" t="s">
        <v>261</v>
      </c>
      <c r="D77" s="8"/>
      <c r="E77" s="8"/>
      <c r="F77" s="8">
        <v>1</v>
      </c>
      <c r="G77" s="8" t="s">
        <v>10</v>
      </c>
      <c r="H77" s="8">
        <v>1</v>
      </c>
    </row>
    <row r="78" spans="1:8" x14ac:dyDescent="0.25">
      <c r="A78" s="8" t="s">
        <v>146</v>
      </c>
      <c r="B78" s="9"/>
      <c r="C78" s="8"/>
      <c r="D78" s="8"/>
      <c r="E78" s="8"/>
      <c r="F78" s="8">
        <v>1</v>
      </c>
      <c r="G78" s="8" t="s">
        <v>10</v>
      </c>
      <c r="H78" s="8">
        <v>2</v>
      </c>
    </row>
    <row r="79" spans="1:8" ht="90" x14ac:dyDescent="0.25">
      <c r="A79" s="8" t="s">
        <v>95</v>
      </c>
      <c r="B79" s="9" t="str">
        <f>bolso("Bolso de trauma",Table6[])</f>
        <v xml:space="preserve">Bolso de trauma Contiene:  Collar M x3,  collar CH x1,  Ambù con bolsa de Oxigenacion x1,  Ambù sin bolsa de Oxigenacion x1,  Dispositivo de succion manual x1,  Rollo papel aluminio x1,  Mascara RCP x2,  Tijera de trauma x1, </v>
      </c>
      <c r="C79" s="8"/>
      <c r="D79" s="8"/>
      <c r="E79" s="8"/>
      <c r="F79" s="8">
        <v>1</v>
      </c>
      <c r="G79" s="8" t="s">
        <v>10</v>
      </c>
      <c r="H79" s="8">
        <v>2</v>
      </c>
    </row>
    <row r="80" spans="1:8" ht="45" x14ac:dyDescent="0.25">
      <c r="A80" s="8" t="s">
        <v>95</v>
      </c>
      <c r="B80" s="9" t="str">
        <f>bolso("Caja de tacos",Table6[])</f>
        <v xml:space="preserve">Caja de tacos Contiene:  Taco 30cm*6cm*4cm x10,  Taco cuña 45cm*13cm*47cm x4,  Tacos varios x3, </v>
      </c>
      <c r="C80" s="8"/>
      <c r="D80" s="8"/>
      <c r="E80" s="8"/>
      <c r="F80" s="8">
        <v>1</v>
      </c>
      <c r="G80" s="8" t="s">
        <v>10</v>
      </c>
      <c r="H80" s="8">
        <v>2</v>
      </c>
    </row>
    <row r="81" spans="1:8" x14ac:dyDescent="0.25">
      <c r="A81" s="6" t="s">
        <v>150</v>
      </c>
      <c r="B81" s="9"/>
      <c r="C81" s="8"/>
      <c r="D81" s="8"/>
      <c r="E81" s="8"/>
      <c r="F81" s="8">
        <v>1</v>
      </c>
      <c r="G81" s="8" t="s">
        <v>10</v>
      </c>
      <c r="H81" s="8">
        <v>2</v>
      </c>
    </row>
    <row r="82" spans="1:8" x14ac:dyDescent="0.25">
      <c r="A82" s="8" t="s">
        <v>168</v>
      </c>
      <c r="B82" s="9" t="s">
        <v>169</v>
      </c>
      <c r="C82" s="8"/>
      <c r="D82" s="8"/>
      <c r="E82" s="8"/>
      <c r="F82" s="8">
        <v>1</v>
      </c>
      <c r="G82" s="8" t="s">
        <v>10</v>
      </c>
      <c r="H82" s="8">
        <v>2</v>
      </c>
    </row>
    <row r="83" spans="1:8" x14ac:dyDescent="0.25">
      <c r="A83" s="8" t="s">
        <v>170</v>
      </c>
      <c r="B83" s="9" t="s">
        <v>179</v>
      </c>
      <c r="C83" s="8" t="s">
        <v>180</v>
      </c>
      <c r="D83" s="8"/>
      <c r="E83" s="8"/>
      <c r="F83" s="8">
        <v>1</v>
      </c>
      <c r="G83" s="8" t="s">
        <v>10</v>
      </c>
      <c r="H83" s="8">
        <v>2</v>
      </c>
    </row>
    <row r="84" spans="1:8" x14ac:dyDescent="0.25">
      <c r="A84" s="8" t="s">
        <v>170</v>
      </c>
      <c r="B84" s="9" t="s">
        <v>179</v>
      </c>
      <c r="C84" s="8" t="s">
        <v>181</v>
      </c>
      <c r="D84" s="8"/>
      <c r="E84" s="8"/>
      <c r="F84" s="8">
        <v>1</v>
      </c>
      <c r="G84" s="8" t="s">
        <v>10</v>
      </c>
      <c r="H84" s="8">
        <v>2</v>
      </c>
    </row>
    <row r="85" spans="1:8" x14ac:dyDescent="0.25">
      <c r="A85" s="8" t="s">
        <v>170</v>
      </c>
      <c r="B85" s="9" t="s">
        <v>182</v>
      </c>
      <c r="C85" s="8" t="s">
        <v>172</v>
      </c>
      <c r="D85" s="8"/>
      <c r="E85" s="8"/>
      <c r="F85" s="8">
        <v>1</v>
      </c>
      <c r="G85" s="8" t="s">
        <v>10</v>
      </c>
      <c r="H85" s="8">
        <v>2</v>
      </c>
    </row>
    <row r="86" spans="1:8" x14ac:dyDescent="0.25">
      <c r="A86" s="8" t="s">
        <v>170</v>
      </c>
      <c r="B86" s="9" t="s">
        <v>182</v>
      </c>
      <c r="C86" s="8" t="s">
        <v>180</v>
      </c>
      <c r="D86" s="8"/>
      <c r="E86" s="8"/>
      <c r="F86" s="8">
        <v>1</v>
      </c>
      <c r="G86" s="8" t="s">
        <v>10</v>
      </c>
      <c r="H86" s="8">
        <v>2</v>
      </c>
    </row>
    <row r="87" spans="1:8" x14ac:dyDescent="0.25">
      <c r="A87" s="8" t="s">
        <v>170</v>
      </c>
      <c r="B87" s="9" t="s">
        <v>183</v>
      </c>
      <c r="C87" s="8"/>
      <c r="D87" s="8"/>
      <c r="E87" s="8"/>
      <c r="F87" s="8">
        <v>1</v>
      </c>
      <c r="G87" s="8" t="s">
        <v>10</v>
      </c>
      <c r="H87" s="8">
        <v>2</v>
      </c>
    </row>
    <row r="88" spans="1:8" x14ac:dyDescent="0.25">
      <c r="A88" s="8" t="s">
        <v>170</v>
      </c>
      <c r="B88" s="9" t="s">
        <v>184</v>
      </c>
      <c r="C88" s="8"/>
      <c r="D88" s="8"/>
      <c r="E88" s="8"/>
      <c r="F88" s="8">
        <v>1</v>
      </c>
      <c r="G88" s="8" t="s">
        <v>10</v>
      </c>
      <c r="H88" s="8">
        <v>2</v>
      </c>
    </row>
    <row r="89" spans="1:8" x14ac:dyDescent="0.25">
      <c r="A89" s="8" t="s">
        <v>170</v>
      </c>
      <c r="B89" s="9" t="s">
        <v>185</v>
      </c>
      <c r="C89" s="8"/>
      <c r="D89" s="8"/>
      <c r="E89" s="8"/>
      <c r="F89" s="8">
        <v>1</v>
      </c>
      <c r="G89" s="8" t="s">
        <v>10</v>
      </c>
      <c r="H89" s="8">
        <v>2</v>
      </c>
    </row>
    <row r="90" spans="1:8" x14ac:dyDescent="0.25">
      <c r="A90" s="8" t="s">
        <v>170</v>
      </c>
      <c r="B90" s="9" t="s">
        <v>186</v>
      </c>
      <c r="C90" s="8" t="s">
        <v>180</v>
      </c>
      <c r="D90" s="8"/>
      <c r="E90" s="8"/>
      <c r="F90" s="8">
        <v>1</v>
      </c>
      <c r="G90" s="8" t="s">
        <v>10</v>
      </c>
      <c r="H90" s="8">
        <v>2</v>
      </c>
    </row>
    <row r="91" spans="1:8" x14ac:dyDescent="0.25">
      <c r="A91" s="8" t="s">
        <v>147</v>
      </c>
      <c r="B91" s="9" t="s">
        <v>148</v>
      </c>
      <c r="C91" s="8" t="s">
        <v>149</v>
      </c>
      <c r="D91" s="8"/>
      <c r="E91" s="8"/>
      <c r="F91" s="8">
        <v>1</v>
      </c>
      <c r="G91" s="8" t="s">
        <v>10</v>
      </c>
      <c r="H91" s="8">
        <v>2</v>
      </c>
    </row>
    <row r="92" spans="1:8" x14ac:dyDescent="0.25">
      <c r="A92" s="8" t="s">
        <v>165</v>
      </c>
      <c r="B92" s="9" t="s">
        <v>166</v>
      </c>
      <c r="C92" s="8" t="s">
        <v>167</v>
      </c>
      <c r="D92" s="8"/>
      <c r="E92" s="8"/>
      <c r="F92" s="8">
        <v>1</v>
      </c>
      <c r="G92" s="8" t="s">
        <v>10</v>
      </c>
      <c r="H92" s="8">
        <v>2</v>
      </c>
    </row>
    <row r="93" spans="1:8" x14ac:dyDescent="0.25">
      <c r="A93" s="8" t="s">
        <v>151</v>
      </c>
      <c r="B93" s="9" t="s">
        <v>276</v>
      </c>
      <c r="C93" s="8"/>
      <c r="D93" s="8"/>
      <c r="E93" s="8"/>
      <c r="F93" s="8">
        <v>1</v>
      </c>
      <c r="G93" s="8" t="s">
        <v>10</v>
      </c>
      <c r="H93" s="8">
        <v>2</v>
      </c>
    </row>
    <row r="94" spans="1:8" x14ac:dyDescent="0.25">
      <c r="A94" s="8" t="s">
        <v>151</v>
      </c>
      <c r="B94" s="9" t="s">
        <v>152</v>
      </c>
      <c r="C94" s="8"/>
      <c r="D94" s="8"/>
      <c r="E94" s="8"/>
      <c r="F94" s="8">
        <v>1</v>
      </c>
      <c r="G94" s="8" t="s">
        <v>10</v>
      </c>
      <c r="H94" s="8">
        <v>2</v>
      </c>
    </row>
    <row r="95" spans="1:8" x14ac:dyDescent="0.25">
      <c r="A95" s="8" t="s">
        <v>151</v>
      </c>
      <c r="B95" s="9" t="s">
        <v>277</v>
      </c>
      <c r="C95" s="8"/>
      <c r="D95" s="8"/>
      <c r="E95" s="8"/>
      <c r="F95" s="8">
        <v>1</v>
      </c>
      <c r="G95" s="8" t="s">
        <v>10</v>
      </c>
      <c r="H95" s="8">
        <v>2</v>
      </c>
    </row>
    <row r="96" spans="1:8" x14ac:dyDescent="0.25">
      <c r="A96" s="8" t="s">
        <v>174</v>
      </c>
      <c r="B96" s="9" t="s">
        <v>175</v>
      </c>
      <c r="C96" s="8" t="s">
        <v>176</v>
      </c>
      <c r="D96" s="8" t="s">
        <v>177</v>
      </c>
      <c r="E96" s="8"/>
      <c r="F96" s="8">
        <v>2</v>
      </c>
      <c r="G96" s="8" t="s">
        <v>10</v>
      </c>
      <c r="H96" s="8">
        <v>3</v>
      </c>
    </row>
    <row r="97" spans="1:8" x14ac:dyDescent="0.25">
      <c r="A97" s="8" t="s">
        <v>174</v>
      </c>
      <c r="B97" s="9" t="s">
        <v>178</v>
      </c>
      <c r="C97" s="8" t="s">
        <v>176</v>
      </c>
      <c r="D97" s="8" t="s">
        <v>177</v>
      </c>
      <c r="E97" s="8"/>
      <c r="F97" s="8">
        <v>1</v>
      </c>
      <c r="G97" s="8" t="s">
        <v>10</v>
      </c>
      <c r="H97" s="8">
        <v>3</v>
      </c>
    </row>
    <row r="98" spans="1:8" x14ac:dyDescent="0.25">
      <c r="A98" s="8" t="s">
        <v>170</v>
      </c>
      <c r="B98" s="9" t="s">
        <v>171</v>
      </c>
      <c r="C98" s="8" t="s">
        <v>172</v>
      </c>
      <c r="D98" s="8"/>
      <c r="E98" s="8"/>
      <c r="F98" s="8">
        <v>1</v>
      </c>
      <c r="G98" s="8" t="s">
        <v>10</v>
      </c>
      <c r="H98" s="8">
        <v>3</v>
      </c>
    </row>
    <row r="99" spans="1:8" x14ac:dyDescent="0.25">
      <c r="A99" s="8" t="s">
        <v>170</v>
      </c>
      <c r="B99" s="9" t="s">
        <v>171</v>
      </c>
      <c r="C99" s="8" t="s">
        <v>275</v>
      </c>
      <c r="D99" s="8"/>
      <c r="E99" s="8"/>
      <c r="F99" s="8">
        <v>1</v>
      </c>
      <c r="G99" s="8" t="s">
        <v>10</v>
      </c>
      <c r="H99" s="8">
        <v>3</v>
      </c>
    </row>
    <row r="100" spans="1:8" x14ac:dyDescent="0.25">
      <c r="A100" s="8" t="s">
        <v>170</v>
      </c>
      <c r="B100" s="9" t="s">
        <v>274</v>
      </c>
      <c r="C100" s="8"/>
      <c r="D100" s="8"/>
      <c r="E100" s="8"/>
      <c r="F100" s="8">
        <v>1</v>
      </c>
      <c r="G100" s="8" t="s">
        <v>10</v>
      </c>
      <c r="H100" s="8">
        <v>3</v>
      </c>
    </row>
    <row r="101" spans="1:8" x14ac:dyDescent="0.25">
      <c r="A101" s="8" t="s">
        <v>170</v>
      </c>
      <c r="B101" s="9" t="s">
        <v>173</v>
      </c>
      <c r="C101" s="8"/>
      <c r="D101" s="8"/>
      <c r="E101" s="8"/>
      <c r="F101" s="8">
        <v>1</v>
      </c>
      <c r="G101" s="8" t="s">
        <v>10</v>
      </c>
      <c r="H101" s="8">
        <v>3</v>
      </c>
    </row>
    <row r="102" spans="1:8" x14ac:dyDescent="0.25">
      <c r="A102" s="8" t="s">
        <v>210</v>
      </c>
      <c r="B102" s="9"/>
      <c r="C102" s="8"/>
      <c r="D102" s="8"/>
      <c r="E102" s="8"/>
      <c r="F102" s="8">
        <v>2</v>
      </c>
      <c r="G102" s="8" t="s">
        <v>7</v>
      </c>
      <c r="H102" s="8" t="s">
        <v>257</v>
      </c>
    </row>
    <row r="103" spans="1:8" x14ac:dyDescent="0.25">
      <c r="A103" s="8" t="s">
        <v>170</v>
      </c>
      <c r="B103" s="9" t="s">
        <v>242</v>
      </c>
      <c r="C103" s="8"/>
      <c r="D103" s="8"/>
      <c r="E103" s="8"/>
      <c r="F103" s="8">
        <v>1</v>
      </c>
      <c r="G103" s="8" t="s">
        <v>7</v>
      </c>
      <c r="H103" s="8" t="s">
        <v>257</v>
      </c>
    </row>
    <row r="104" spans="1:8" x14ac:dyDescent="0.25">
      <c r="A104" s="8" t="s">
        <v>244</v>
      </c>
      <c r="B104" s="9" t="s">
        <v>245</v>
      </c>
      <c r="C104" s="8"/>
      <c r="D104" s="8"/>
      <c r="E104" s="8"/>
      <c r="F104" s="8">
        <v>1</v>
      </c>
      <c r="G104" s="8" t="s">
        <v>7</v>
      </c>
      <c r="H104" s="8" t="s">
        <v>257</v>
      </c>
    </row>
    <row r="105" spans="1:8" x14ac:dyDescent="0.25">
      <c r="A105" s="8" t="s">
        <v>32</v>
      </c>
      <c r="B105" s="9" t="s">
        <v>248</v>
      </c>
      <c r="C105" s="8" t="s">
        <v>73</v>
      </c>
      <c r="D105" s="8"/>
      <c r="E105" s="8"/>
      <c r="F105" s="8">
        <v>1</v>
      </c>
      <c r="G105" s="8" t="s">
        <v>7</v>
      </c>
      <c r="H105" s="8" t="s">
        <v>257</v>
      </c>
    </row>
    <row r="106" spans="1:8" x14ac:dyDescent="0.25">
      <c r="A106" s="8" t="s">
        <v>32</v>
      </c>
      <c r="B106" s="9" t="s">
        <v>248</v>
      </c>
      <c r="C106" s="8" t="s">
        <v>249</v>
      </c>
      <c r="D106" s="8"/>
      <c r="E106" s="8"/>
      <c r="F106" s="8">
        <v>1</v>
      </c>
      <c r="G106" s="8" t="s">
        <v>7</v>
      </c>
      <c r="H106" s="8" t="s">
        <v>257</v>
      </c>
    </row>
    <row r="107" spans="1:8" ht="30" x14ac:dyDescent="0.25">
      <c r="A107" s="8" t="s">
        <v>59</v>
      </c>
      <c r="B107" s="9" t="s">
        <v>278</v>
      </c>
      <c r="C107" s="8"/>
      <c r="D107" s="8"/>
      <c r="E107" s="8"/>
      <c r="F107" s="8">
        <v>1</v>
      </c>
      <c r="G107" s="8" t="s">
        <v>7</v>
      </c>
      <c r="H107" s="8" t="s">
        <v>257</v>
      </c>
    </row>
    <row r="108" spans="1:8" x14ac:dyDescent="0.25">
      <c r="A108" s="8" t="s">
        <v>59</v>
      </c>
      <c r="B108" s="9" t="s">
        <v>243</v>
      </c>
      <c r="C108" s="8"/>
      <c r="D108" s="8"/>
      <c r="E108" s="8"/>
      <c r="F108" s="8">
        <v>1</v>
      </c>
      <c r="G108" s="8" t="s">
        <v>7</v>
      </c>
      <c r="H108" s="8" t="s">
        <v>257</v>
      </c>
    </row>
    <row r="109" spans="1:8" x14ac:dyDescent="0.25">
      <c r="A109" s="8" t="s">
        <v>11</v>
      </c>
      <c r="B109" s="9" t="s">
        <v>246</v>
      </c>
      <c r="C109" s="8" t="s">
        <v>80</v>
      </c>
      <c r="D109" s="8"/>
      <c r="E109" s="8"/>
      <c r="F109" s="8">
        <v>5</v>
      </c>
      <c r="G109" s="8" t="s">
        <v>7</v>
      </c>
      <c r="H109" s="8" t="s">
        <v>257</v>
      </c>
    </row>
    <row r="110" spans="1:8" x14ac:dyDescent="0.25">
      <c r="A110" s="8" t="s">
        <v>11</v>
      </c>
      <c r="B110" s="9" t="s">
        <v>247</v>
      </c>
      <c r="C110" s="8" t="s">
        <v>126</v>
      </c>
      <c r="D110" s="8"/>
      <c r="E110" s="8"/>
      <c r="F110" s="8">
        <v>1</v>
      </c>
      <c r="G110" s="8" t="s">
        <v>7</v>
      </c>
      <c r="H110" s="8" t="s">
        <v>257</v>
      </c>
    </row>
    <row r="111" spans="1:8" x14ac:dyDescent="0.25">
      <c r="A111" s="8" t="s">
        <v>279</v>
      </c>
      <c r="B111" s="9"/>
      <c r="C111" s="8"/>
      <c r="D111" s="8"/>
      <c r="E111" s="8"/>
      <c r="F111" s="8">
        <v>5</v>
      </c>
      <c r="G111" s="8" t="s">
        <v>7</v>
      </c>
      <c r="H111" s="8" t="s">
        <v>257</v>
      </c>
    </row>
    <row r="112" spans="1:8" x14ac:dyDescent="0.25">
      <c r="A112" s="8" t="s">
        <v>211</v>
      </c>
      <c r="B112" s="9"/>
      <c r="C112" s="8"/>
      <c r="D112" s="8"/>
      <c r="E112" s="8"/>
      <c r="F112" s="8">
        <v>2</v>
      </c>
      <c r="G112" s="8" t="s">
        <v>7</v>
      </c>
      <c r="H112" s="8" t="s">
        <v>258</v>
      </c>
    </row>
    <row r="113" spans="1:8" x14ac:dyDescent="0.25">
      <c r="A113" s="8" t="s">
        <v>250</v>
      </c>
      <c r="B113" s="9"/>
      <c r="C113" s="8"/>
      <c r="D113" s="8"/>
      <c r="E113" s="8"/>
      <c r="F113" s="8">
        <v>1</v>
      </c>
      <c r="G113" s="8" t="s">
        <v>7</v>
      </c>
      <c r="H113" s="8" t="s">
        <v>258</v>
      </c>
    </row>
    <row r="114" spans="1:8" x14ac:dyDescent="0.25">
      <c r="A114" s="8" t="s">
        <v>170</v>
      </c>
      <c r="B114" s="9" t="s">
        <v>251</v>
      </c>
      <c r="C114" s="8"/>
      <c r="D114" s="8"/>
      <c r="E114" s="8"/>
      <c r="F114" s="8">
        <v>1</v>
      </c>
      <c r="G114" s="8" t="s">
        <v>7</v>
      </c>
      <c r="H114" s="8" t="s">
        <v>258</v>
      </c>
    </row>
    <row r="115" spans="1:8" x14ac:dyDescent="0.25">
      <c r="A115" s="8" t="s">
        <v>170</v>
      </c>
      <c r="B115" s="9" t="s">
        <v>252</v>
      </c>
      <c r="C115" s="8"/>
      <c r="D115" s="8"/>
      <c r="E115" s="8"/>
      <c r="F115" s="8">
        <v>1</v>
      </c>
      <c r="G115" s="8" t="s">
        <v>7</v>
      </c>
      <c r="H115" s="8" t="s">
        <v>258</v>
      </c>
    </row>
    <row r="116" spans="1:8" x14ac:dyDescent="0.25">
      <c r="A116" s="8" t="s">
        <v>170</v>
      </c>
      <c r="B116" s="9" t="s">
        <v>263</v>
      </c>
      <c r="C116" s="8"/>
      <c r="D116" s="8"/>
      <c r="E116" s="8"/>
      <c r="F116" s="8">
        <v>1</v>
      </c>
      <c r="G116" s="8" t="s">
        <v>7</v>
      </c>
      <c r="H116" s="8" t="s">
        <v>258</v>
      </c>
    </row>
    <row r="117" spans="1:8" x14ac:dyDescent="0.25">
      <c r="A117" s="8" t="s">
        <v>170</v>
      </c>
      <c r="B117" s="9" t="s">
        <v>253</v>
      </c>
      <c r="C117" s="8"/>
      <c r="D117" s="8"/>
      <c r="E117" s="8"/>
      <c r="F117" s="8">
        <v>1</v>
      </c>
      <c r="G117" s="8" t="s">
        <v>7</v>
      </c>
      <c r="H117" s="8" t="s">
        <v>258</v>
      </c>
    </row>
    <row r="118" spans="1:8" ht="60" x14ac:dyDescent="0.25">
      <c r="A118" s="8" t="s">
        <v>95</v>
      </c>
      <c r="B118" s="9" t="str">
        <f>bolso("Bolso para cadaveres",Table6[])</f>
        <v xml:space="preserve">Bolso para cadaveres Contiene:  Traje de aproximacion C x3,  Guantes para cadaveres x2,  Lentes para proteccion ocular x1, </v>
      </c>
      <c r="C118" s="8"/>
      <c r="D118" s="8"/>
      <c r="E118" s="8"/>
      <c r="F118" s="8">
        <v>1</v>
      </c>
      <c r="G118" s="8" t="s">
        <v>7</v>
      </c>
      <c r="H118" s="8" t="s">
        <v>259</v>
      </c>
    </row>
    <row r="119" spans="1:8" ht="165" x14ac:dyDescent="0.25">
      <c r="A119" s="8" t="s">
        <v>95</v>
      </c>
      <c r="B119" s="9" t="str">
        <f>bolso("Bolso de corte",Table6[])</f>
        <v xml:space="preserve">Bolso de corte Contiene:  Guantes dielectricos x1,  Alfombra dielectrica x1,  Martillo de goma x1,  Pinza de punta dielectrica x2,  Cuña de madera para gas x4,  Pinza dielectrica x1,  Alicate dielectrico x1,  Llave union x1,  Destornillador x4,  Llave cruz para ascensor x1,  Cutter x1,  juego de llaves alem x1,  Extractor de fusibles NH x1,  saca bujia x2,  Llave fija 9/16 x1,  Corta cinturon x1, </v>
      </c>
      <c r="C119" s="8"/>
      <c r="D119" s="8"/>
      <c r="E119" s="8"/>
      <c r="F119" s="8">
        <v>1</v>
      </c>
      <c r="G119" s="8" t="s">
        <v>7</v>
      </c>
      <c r="H119" s="8" t="s">
        <v>259</v>
      </c>
    </row>
    <row r="120" spans="1:8" x14ac:dyDescent="0.25">
      <c r="A120" s="8" t="s">
        <v>237</v>
      </c>
      <c r="B120" s="9"/>
      <c r="C120" s="8"/>
      <c r="D120" s="8" t="s">
        <v>238</v>
      </c>
      <c r="E120" s="8">
        <v>8321127</v>
      </c>
      <c r="F120" s="8">
        <v>1</v>
      </c>
      <c r="G120" s="8" t="s">
        <v>7</v>
      </c>
      <c r="H120" s="8" t="s">
        <v>259</v>
      </c>
    </row>
    <row r="121" spans="1:8" x14ac:dyDescent="0.25">
      <c r="A121" s="8" t="s">
        <v>210</v>
      </c>
      <c r="B121" s="9"/>
      <c r="C121" s="8"/>
      <c r="D121" s="8"/>
      <c r="E121" s="8"/>
      <c r="F121" s="8">
        <v>6</v>
      </c>
      <c r="G121" s="8" t="s">
        <v>7</v>
      </c>
      <c r="H121" s="8" t="s">
        <v>259</v>
      </c>
    </row>
    <row r="122" spans="1:8" ht="30" x14ac:dyDescent="0.25">
      <c r="A122" s="8" t="s">
        <v>210</v>
      </c>
      <c r="B122" s="9" t="s">
        <v>265</v>
      </c>
      <c r="C122" s="8"/>
      <c r="D122" s="8"/>
      <c r="E122" s="8"/>
      <c r="F122" s="8">
        <v>1</v>
      </c>
      <c r="G122" s="8" t="s">
        <v>7</v>
      </c>
      <c r="H122" s="8" t="s">
        <v>259</v>
      </c>
    </row>
    <row r="123" spans="1:8" ht="45" x14ac:dyDescent="0.25">
      <c r="A123" s="8" t="s">
        <v>267</v>
      </c>
      <c r="B123" s="9"/>
      <c r="C123" s="8"/>
      <c r="D123" s="9" t="s">
        <v>240</v>
      </c>
      <c r="E123" s="8"/>
      <c r="F123" s="8">
        <v>3</v>
      </c>
      <c r="G123" s="8" t="s">
        <v>7</v>
      </c>
      <c r="H123" s="8" t="s">
        <v>259</v>
      </c>
    </row>
    <row r="124" spans="1:8" x14ac:dyDescent="0.25">
      <c r="A124" s="8" t="s">
        <v>212</v>
      </c>
      <c r="B124" s="9"/>
      <c r="C124" s="8"/>
      <c r="D124" s="8"/>
      <c r="E124" s="8"/>
      <c r="F124" s="8">
        <v>1</v>
      </c>
      <c r="G124" s="8" t="s">
        <v>7</v>
      </c>
      <c r="H124" s="8" t="s">
        <v>259</v>
      </c>
    </row>
    <row r="125" spans="1:8" x14ac:dyDescent="0.25">
      <c r="A125" s="8" t="s">
        <v>208</v>
      </c>
      <c r="B125" s="9" t="s">
        <v>209</v>
      </c>
      <c r="C125" s="8"/>
      <c r="D125" s="8" t="s">
        <v>48</v>
      </c>
      <c r="E125" s="8"/>
      <c r="F125" s="8">
        <v>6</v>
      </c>
      <c r="G125" s="8" t="s">
        <v>7</v>
      </c>
      <c r="H125" s="8" t="s">
        <v>259</v>
      </c>
    </row>
    <row r="126" spans="1:8" x14ac:dyDescent="0.25">
      <c r="A126" s="8" t="s">
        <v>232</v>
      </c>
      <c r="B126" s="9" t="s">
        <v>280</v>
      </c>
      <c r="C126" s="8"/>
      <c r="D126" s="8"/>
      <c r="E126" s="8"/>
      <c r="F126" s="8">
        <v>1</v>
      </c>
      <c r="G126" s="8" t="s">
        <v>7</v>
      </c>
      <c r="H126" s="8" t="s">
        <v>259</v>
      </c>
    </row>
    <row r="127" spans="1:8" x14ac:dyDescent="0.25">
      <c r="A127" s="8" t="s">
        <v>234</v>
      </c>
      <c r="B127" s="9" t="s">
        <v>180</v>
      </c>
      <c r="C127" s="8"/>
      <c r="D127" s="8" t="s">
        <v>235</v>
      </c>
      <c r="E127" s="8"/>
      <c r="F127" s="8">
        <v>1</v>
      </c>
      <c r="G127" s="8" t="s">
        <v>7</v>
      </c>
      <c r="H127" s="8" t="s">
        <v>259</v>
      </c>
    </row>
    <row r="128" spans="1:8" x14ac:dyDescent="0.25">
      <c r="A128" s="8" t="s">
        <v>234</v>
      </c>
      <c r="B128" s="9" t="s">
        <v>172</v>
      </c>
      <c r="C128" s="8"/>
      <c r="D128" s="8" t="s">
        <v>236</v>
      </c>
      <c r="E128" s="8"/>
      <c r="F128" s="8">
        <v>1</v>
      </c>
      <c r="G128" s="8" t="s">
        <v>7</v>
      </c>
      <c r="H128" s="8" t="s">
        <v>259</v>
      </c>
    </row>
    <row r="129" spans="1:8" x14ac:dyDescent="0.25">
      <c r="A129" s="8" t="s">
        <v>217</v>
      </c>
      <c r="B129" s="9"/>
      <c r="C129" s="9"/>
      <c r="D129" s="8"/>
      <c r="E129" s="8"/>
      <c r="F129" s="8">
        <v>2</v>
      </c>
      <c r="G129" s="8" t="s">
        <v>7</v>
      </c>
      <c r="H129" s="8" t="s">
        <v>259</v>
      </c>
    </row>
    <row r="130" spans="1:8" x14ac:dyDescent="0.25">
      <c r="A130" s="8" t="s">
        <v>239</v>
      </c>
      <c r="B130" s="9"/>
      <c r="C130" s="8"/>
      <c r="D130" s="8" t="s">
        <v>241</v>
      </c>
      <c r="E130" s="8"/>
      <c r="F130" s="8">
        <v>2</v>
      </c>
      <c r="G130" s="8" t="s">
        <v>7</v>
      </c>
      <c r="H130" s="8" t="s">
        <v>259</v>
      </c>
    </row>
    <row r="131" spans="1:8" ht="30" x14ac:dyDescent="0.25">
      <c r="A131" s="8" t="s">
        <v>213</v>
      </c>
      <c r="B131" s="9" t="s">
        <v>214</v>
      </c>
      <c r="C131" s="8"/>
      <c r="D131" s="8" t="s">
        <v>215</v>
      </c>
      <c r="E131" s="8"/>
      <c r="F131" s="8">
        <v>1</v>
      </c>
      <c r="G131" s="8" t="s">
        <v>7</v>
      </c>
      <c r="H131" s="8" t="s">
        <v>259</v>
      </c>
    </row>
    <row r="132" spans="1:8" ht="30" x14ac:dyDescent="0.25">
      <c r="A132" s="8" t="s">
        <v>213</v>
      </c>
      <c r="B132" s="9" t="s">
        <v>216</v>
      </c>
      <c r="C132" s="8"/>
      <c r="D132" s="8"/>
      <c r="E132" s="8"/>
      <c r="F132" s="8">
        <v>1</v>
      </c>
      <c r="G132" s="8" t="s">
        <v>7</v>
      </c>
      <c r="H132" s="8" t="s">
        <v>259</v>
      </c>
    </row>
    <row r="133" spans="1:8" x14ac:dyDescent="0.25">
      <c r="A133" s="8" t="s">
        <v>35</v>
      </c>
      <c r="B133" s="9" t="s">
        <v>39</v>
      </c>
      <c r="C133" s="8" t="s">
        <v>37</v>
      </c>
      <c r="D133" s="8" t="s">
        <v>27</v>
      </c>
      <c r="E133" s="8" t="s">
        <v>27</v>
      </c>
      <c r="F133" s="8">
        <v>1</v>
      </c>
      <c r="G133" s="8" t="s">
        <v>36</v>
      </c>
      <c r="H133" s="8" t="s">
        <v>36</v>
      </c>
    </row>
    <row r="134" spans="1:8" x14ac:dyDescent="0.25">
      <c r="A134" s="8" t="s">
        <v>35</v>
      </c>
      <c r="B134" s="9" t="s">
        <v>39</v>
      </c>
      <c r="C134" s="8" t="s">
        <v>38</v>
      </c>
      <c r="D134" s="8" t="s">
        <v>27</v>
      </c>
      <c r="E134" s="8" t="s">
        <v>27</v>
      </c>
      <c r="F134" s="8">
        <v>1</v>
      </c>
      <c r="G134" s="8" t="s">
        <v>36</v>
      </c>
      <c r="H134" s="8" t="s">
        <v>36</v>
      </c>
    </row>
    <row r="135" spans="1:8" x14ac:dyDescent="0.25">
      <c r="A135" s="8" t="s">
        <v>40</v>
      </c>
      <c r="B135" s="9" t="s">
        <v>42</v>
      </c>
      <c r="C135" s="8" t="s">
        <v>41</v>
      </c>
      <c r="D135" s="8" t="s">
        <v>27</v>
      </c>
      <c r="E135" s="8" t="s">
        <v>27</v>
      </c>
      <c r="F135" s="8">
        <v>2</v>
      </c>
      <c r="G135" s="8" t="s">
        <v>36</v>
      </c>
      <c r="H135" s="8" t="s">
        <v>36</v>
      </c>
    </row>
    <row r="136" spans="1:8" x14ac:dyDescent="0.25">
      <c r="A136" s="8" t="s">
        <v>40</v>
      </c>
      <c r="B136" s="9" t="s">
        <v>281</v>
      </c>
      <c r="C136" s="8" t="s">
        <v>282</v>
      </c>
      <c r="D136" s="8" t="s">
        <v>27</v>
      </c>
      <c r="E136" s="8" t="s">
        <v>27</v>
      </c>
      <c r="F136" s="8">
        <v>1</v>
      </c>
      <c r="G136" s="8" t="s">
        <v>36</v>
      </c>
      <c r="H136" s="8" t="s">
        <v>36</v>
      </c>
    </row>
  </sheetData>
  <mergeCells count="1">
    <mergeCell ref="P3:U3"/>
  </mergeCells>
  <dataValidations count="5">
    <dataValidation type="list" allowBlank="1" showInputMessage="1" showErrorMessage="1" sqref="A1:A99 A101 A105:A108 A112:A117 A119:A128 A130:A133 A135:A1048576" xr:uid="{00000000-0002-0000-0000-000000000000}">
      <formula1>categorias</formula1>
    </dataValidation>
    <dataValidation type="list" allowBlank="1" showInputMessage="1" showErrorMessage="1" sqref="C1 C7:C8 C11 C14:C15" xr:uid="{00000000-0002-0000-0000-000001000000}">
      <formula1>Medidas</formula1>
    </dataValidation>
    <dataValidation type="list" allowBlank="1" showInputMessage="1" showErrorMessage="1" sqref="L4:L46" xr:uid="{B42A14F1-F620-4535-8278-9BE3E2D91DD1}">
      <formula1>Bolsos</formula1>
    </dataValidation>
    <dataValidation type="list" allowBlank="1" showInputMessage="1" showErrorMessage="1" sqref="G1:G1048576 H136" xr:uid="{BE90CED2-C975-4E7D-82E9-3A42B0777B45}">
      <formula1>Cajoneras</formula1>
    </dataValidation>
    <dataValidation type="list" allowBlank="1" showInputMessage="1" showErrorMessage="1" sqref="H1:H135 H137:H1048576" xr:uid="{F2DC22E0-CF8D-439B-BECD-43669397755E}">
      <formula1>INDEX(Compartimientos,0,MATCH(OFFSET(INDIRECT(ADDRESS(ROW(), COLUMN())),0,-1),Cajoneras,0))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5">
        <x14:dataValidation type="list" allowBlank="1" showInputMessage="1" showErrorMessage="1" xr:uid="{B8E31177-2A12-49ED-98E6-1D4326E95F43}">
          <x14:formula1>
            <xm:f>Configuracion!$G$2:$G$3</xm:f>
          </x14:formula1>
          <xm:sqref>C27 C31 C127:C128</xm:sqref>
        </x14:dataValidation>
        <x14:dataValidation type="list" allowBlank="1" showInputMessage="1" showErrorMessage="1" xr:uid="{063FE316-2FCE-4EF0-9B6A-ACD523F3FCFB}">
          <x14:formula1>
            <xm:f>Configuracion!$F$2:$F$5</xm:f>
          </x14:formula1>
          <xm:sqref>C13 C28:C29</xm:sqref>
        </x14:dataValidation>
        <x14:dataValidation type="list" allowBlank="1" showInputMessage="1" showErrorMessage="1" xr:uid="{D75B5B5C-1EA7-4193-9C88-D415C9A5EC93}">
          <x14:formula1>
            <xm:f>Configuracion!$F$2:$F$3</xm:f>
          </x14:formula1>
          <xm:sqref>C17</xm:sqref>
        </x14:dataValidation>
        <x14:dataValidation type="list" allowBlank="1" showInputMessage="1" showErrorMessage="1" xr:uid="{BF4C76C1-F386-4FB9-857F-F8D7EC4600A6}">
          <x14:formula1>
            <xm:f>Configuracion!$M$2:$M$6</xm:f>
          </x14:formula1>
          <xm:sqref>C18</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38E3EAE-F895-4B47-9AAB-FAC660AFCCB9}">
          <x14:formula1>
            <xm:f>Configuracion!$F$2:$F$6</xm:f>
          </x14:formula1>
          <xm:sqref>C30</xm:sqref>
        </x14:dataValidation>
        <x14:dataValidation type="list" allowBlank="1" showInputMessage="1" showErrorMessage="1" xr:uid="{6457681C-60DB-4D20-AED2-86506039851F}">
          <x14:formula1>
            <xm:f>Configuracion!$F$2:$F$7</xm:f>
          </x14:formula1>
          <xm:sqref>C32</xm:sqref>
        </x14:dataValidation>
        <x14:dataValidation type="list" allowBlank="1" showInputMessage="1" showErrorMessage="1" xr:uid="{D92F6585-F7E1-409D-BFF5-6A89DACAE715}">
          <x14:formula1>
            <xm:f>Configuracion!$O$2:$O$7</xm:f>
          </x14:formula1>
          <xm:sqref>C38 C41</xm:sqref>
        </x14:dataValidation>
        <x14:dataValidation type="list" allowBlank="1" showInputMessage="1" showErrorMessage="1" xr:uid="{8F00840D-84C8-4945-BB5B-E263E512F830}">
          <x14:formula1>
            <xm:f>Configuracion!$F$2:$F$8</xm:f>
          </x14:formula1>
          <xm:sqref>C61:C62</xm:sqref>
        </x14:dataValidation>
        <x14:dataValidation type="list" allowBlank="1" showInputMessage="1" showErrorMessage="1" xr:uid="{ABB2D4F2-A513-4C3D-92C4-E645855FB826}">
          <x14:formula1>
            <xm:f>Configuracion!$F$2:$F$9</xm:f>
          </x14:formula1>
          <xm:sqref>C63</xm:sqref>
        </x14:dataValidation>
        <x14:dataValidation type="list" allowBlank="1" showInputMessage="1" showErrorMessage="1" xr:uid="{405E54D2-8B73-410C-B54C-5DDE41FB3F8F}">
          <x14:formula1>
            <xm:f>Configuracion!$F$2:$F$10</xm:f>
          </x14:formula1>
          <xm:sqref>C64:C65 C125:C126</xm:sqref>
        </x14:dataValidation>
        <x14:dataValidation type="list" allowBlank="1" showInputMessage="1" showErrorMessage="1" xr:uid="{6B2E7A2D-8245-4AF7-B53E-38C704284527}">
          <x14:formula1>
            <xm:f>Configuracion!$Q$2:$Q$7</xm:f>
          </x14:formula1>
          <xm:sqref>C66:C67 C53 C70</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C21</xm:sqref>
        </x14:dataValidation>
        <x14:dataValidation type="list" allowBlank="1" showInputMessage="1" showErrorMessage="1" xr:uid="{29DE0CFE-FC07-4A52-8CAB-D24FC28E61BB}">
          <x14:formula1>
            <xm:f>Configuracion!$J$2:$J$3</xm:f>
          </x14:formula1>
          <xm:sqref>C23</xm:sqref>
        </x14:dataValidation>
        <x14:dataValidation type="list" allowBlank="1" showInputMessage="1" showErrorMessage="1" xr:uid="{292BC257-E625-47CE-8892-ED8AD328A8D8}">
          <x14:formula1>
            <xm:f>Configuracion!$J$2:$J$5</xm:f>
          </x14:formula1>
          <xm:sqref>C25 C19:C20 C9:C10</xm:sqref>
        </x14:dataValidation>
        <x14:dataValidation type="list" allowBlank="1" showInputMessage="1" showErrorMessage="1" xr:uid="{D355E91B-2C0A-4F51-9345-C3A03C47CA45}">
          <x14:formula1>
            <xm:f>Configuracion!$S$2:$S$10</xm:f>
          </x14:formula1>
          <xm:sqref>C96 C100:C101 C105</xm:sqref>
        </x14:dataValidation>
        <x14:dataValidation type="list" allowBlank="1" showInputMessage="1" showErrorMessage="1" xr:uid="{A102BC78-8C56-4C8B-9D58-2B988B7443BF}">
          <x14:formula1>
            <xm:f>Configuracion!$N$2:$N$9</xm:f>
          </x14:formula1>
          <xm:sqref>C120 C122</xm:sqref>
        </x14:dataValidation>
        <x14:dataValidation type="list" allowBlank="1" showInputMessage="1" showErrorMessage="1" xr:uid="{0294B67D-E469-4692-B763-863A19A1C2D6}">
          <x14:formula1>
            <xm:f>Configuracion!$I$2:$I$7</xm:f>
          </x14:formula1>
          <xm:sqref>C136</xm:sqref>
        </x14:dataValidation>
        <x14:dataValidation type="list" allowBlank="1" showInputMessage="1" showErrorMessage="1" xr:uid="{004357AF-9047-4B55-A787-377A96505853}">
          <x14:formula1>
            <xm:f>Configuracion!$G$2:$G$5</xm:f>
          </x14:formula1>
          <xm:sqref>C12 C26</xm:sqref>
        </x14:dataValidation>
        <x14:dataValidation type="list" allowBlank="1" showInputMessage="1" showErrorMessage="1" xr:uid="{D5F4CC4D-2109-41B3-99B4-CA98ED423092}">
          <x14:formula1>
            <xm:f>Configuracion!$K$2:$K$2</xm:f>
          </x14:formula1>
          <xm:sqref>C6</xm:sqref>
        </x14:dataValidation>
        <x14:dataValidation type="list" allowBlank="1" showInputMessage="1" showErrorMessage="1" xr:uid="{E76FA077-0797-43A6-B34D-1D7D6A28CE28}">
          <x14:formula1>
            <xm:f>Configuracion!$K$2:$K$3</xm:f>
          </x14:formula1>
          <xm:sqref>C22</xm:sqref>
        </x14:dataValidation>
        <x14:dataValidation type="list" allowBlank="1" showInputMessage="1" showErrorMessage="1" xr:uid="{1D081A75-6EF4-4D4E-9A53-FA2DE8B0F5F6}">
          <x14:formula1>
            <xm:f>Configuracion!$K$2:$K$4</xm:f>
          </x14:formula1>
          <xm:sqref>C16 C24 C4</xm:sqref>
        </x14:dataValidation>
        <x14:dataValidation type="list" allowBlank="1" showInputMessage="1" showErrorMessage="1" xr:uid="{2BDD8E02-40A9-4FF6-94A7-8AC67B507BC8}">
          <x14:formula1>
            <xm:f>Configuracion!$P$2:$P$4</xm:f>
          </x14:formula1>
          <xm:sqref>C52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69C6C-0DC1-4AB4-ACD4-20C4B5A1127C}">
  <sheetPr codeName="Sheet4"/>
  <dimension ref="A1:V136"/>
  <sheetViews>
    <sheetView tabSelected="1" topLeftCell="A91" workbookViewId="0">
      <selection activeCell="A108" sqref="A108"/>
    </sheetView>
  </sheetViews>
  <sheetFormatPr defaultRowHeight="15" x14ac:dyDescent="0.25"/>
  <cols>
    <col min="1" max="1" width="26.42578125" bestFit="1" customWidth="1"/>
    <col min="2" max="2" width="37.42578125" style="10"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2" max="12" width="26.85546875" bestFit="1" customWidth="1"/>
    <col min="14" max="14" width="26.85546875" bestFit="1" customWidth="1"/>
    <col min="16" max="21" width="12.5703125" bestFit="1" customWidth="1"/>
  </cols>
  <sheetData>
    <row r="1" spans="1:22" x14ac:dyDescent="0.25">
      <c r="A1" s="6" t="s">
        <v>0</v>
      </c>
      <c r="B1" s="7" t="s">
        <v>1</v>
      </c>
      <c r="C1" s="6" t="s">
        <v>2</v>
      </c>
      <c r="D1" s="6" t="s">
        <v>3</v>
      </c>
      <c r="E1" s="6" t="s">
        <v>4</v>
      </c>
      <c r="F1" s="6" t="s">
        <v>264</v>
      </c>
      <c r="G1" s="6" t="s">
        <v>13</v>
      </c>
      <c r="H1" s="6" t="s">
        <v>256</v>
      </c>
    </row>
    <row r="2" spans="1:22" ht="30" x14ac:dyDescent="0.25">
      <c r="A2" s="8" t="s">
        <v>123</v>
      </c>
      <c r="B2" s="9"/>
      <c r="C2" s="8" t="s">
        <v>425</v>
      </c>
      <c r="D2" s="8"/>
      <c r="E2" s="8"/>
      <c r="F2" s="8">
        <v>1</v>
      </c>
      <c r="G2" s="8" t="s">
        <v>8</v>
      </c>
      <c r="H2" s="8">
        <v>1</v>
      </c>
    </row>
    <row r="3" spans="1:22" x14ac:dyDescent="0.25">
      <c r="A3" s="8" t="s">
        <v>409</v>
      </c>
      <c r="B3" s="9" t="s">
        <v>410</v>
      </c>
      <c r="C3" s="8"/>
      <c r="D3" s="8"/>
      <c r="E3" s="8"/>
      <c r="F3" s="8">
        <v>4</v>
      </c>
      <c r="G3" s="8" t="s">
        <v>8</v>
      </c>
      <c r="H3" s="8">
        <v>1</v>
      </c>
      <c r="J3" t="s">
        <v>16</v>
      </c>
      <c r="K3" t="s">
        <v>18</v>
      </c>
      <c r="L3" t="s">
        <v>14</v>
      </c>
      <c r="N3" t="s">
        <v>28</v>
      </c>
      <c r="P3" s="12" t="s">
        <v>254</v>
      </c>
      <c r="Q3" s="12"/>
      <c r="R3" s="12"/>
      <c r="S3" s="12"/>
      <c r="T3" s="12"/>
      <c r="U3" s="12"/>
    </row>
    <row r="4" spans="1:22" ht="45" x14ac:dyDescent="0.25">
      <c r="A4" s="8" t="s">
        <v>409</v>
      </c>
      <c r="B4" s="9" t="s">
        <v>411</v>
      </c>
      <c r="C4" s="8"/>
      <c r="D4" s="8"/>
      <c r="E4" s="8"/>
      <c r="F4" s="8">
        <v>1</v>
      </c>
      <c r="G4" s="8" t="s">
        <v>8</v>
      </c>
      <c r="H4" s="8">
        <v>1</v>
      </c>
      <c r="J4" t="s">
        <v>288</v>
      </c>
      <c r="K4">
        <v>1</v>
      </c>
      <c r="L4" t="s">
        <v>287</v>
      </c>
      <c r="N4" t="s">
        <v>296</v>
      </c>
      <c r="P4" t="s">
        <v>8</v>
      </c>
      <c r="Q4" t="s">
        <v>5</v>
      </c>
      <c r="R4" t="s">
        <v>6</v>
      </c>
      <c r="S4" t="s">
        <v>9</v>
      </c>
      <c r="T4" t="s">
        <v>10</v>
      </c>
      <c r="U4" t="s">
        <v>283</v>
      </c>
      <c r="V4" t="s">
        <v>7</v>
      </c>
    </row>
    <row r="5" spans="1:22" ht="45" x14ac:dyDescent="0.25">
      <c r="A5" s="8" t="s">
        <v>412</v>
      </c>
      <c r="B5" s="9" t="s">
        <v>413</v>
      </c>
      <c r="C5" s="8"/>
      <c r="D5" s="8"/>
      <c r="E5" s="8"/>
      <c r="F5" s="8">
        <v>7</v>
      </c>
      <c r="G5" s="8" t="s">
        <v>8</v>
      </c>
      <c r="H5" s="8">
        <v>1</v>
      </c>
      <c r="J5" t="s">
        <v>289</v>
      </c>
      <c r="K5">
        <v>2</v>
      </c>
      <c r="L5" t="s">
        <v>287</v>
      </c>
      <c r="N5" t="s">
        <v>304</v>
      </c>
      <c r="P5">
        <v>1</v>
      </c>
      <c r="Q5">
        <v>1</v>
      </c>
      <c r="R5">
        <v>1</v>
      </c>
      <c r="S5">
        <v>1</v>
      </c>
      <c r="T5">
        <v>1</v>
      </c>
      <c r="U5">
        <v>1</v>
      </c>
      <c r="V5">
        <v>1</v>
      </c>
    </row>
    <row r="6" spans="1:22" x14ac:dyDescent="0.25">
      <c r="A6" s="8" t="s">
        <v>168</v>
      </c>
      <c r="B6" s="9" t="s">
        <v>169</v>
      </c>
      <c r="C6" s="8"/>
      <c r="D6" s="8"/>
      <c r="E6" s="8"/>
      <c r="F6" s="8">
        <v>1</v>
      </c>
      <c r="G6" s="8" t="s">
        <v>8</v>
      </c>
      <c r="H6" s="8">
        <v>1</v>
      </c>
      <c r="J6" t="s">
        <v>291</v>
      </c>
      <c r="K6">
        <v>1</v>
      </c>
      <c r="L6" t="s">
        <v>290</v>
      </c>
      <c r="N6" t="s">
        <v>306</v>
      </c>
      <c r="P6">
        <v>2</v>
      </c>
      <c r="Q6">
        <v>2</v>
      </c>
      <c r="T6" t="s">
        <v>436</v>
      </c>
    </row>
    <row r="7" spans="1:22" ht="90" x14ac:dyDescent="0.25">
      <c r="A7" s="8" t="s">
        <v>53</v>
      </c>
      <c r="B7" s="9" t="s">
        <v>262</v>
      </c>
      <c r="C7" s="8"/>
      <c r="D7" s="8"/>
      <c r="E7" s="8"/>
      <c r="F7" s="8">
        <v>8</v>
      </c>
      <c r="G7" s="8" t="s">
        <v>8</v>
      </c>
      <c r="H7" s="8">
        <v>2</v>
      </c>
      <c r="J7" t="s">
        <v>292</v>
      </c>
      <c r="K7">
        <v>2</v>
      </c>
      <c r="L7" t="s">
        <v>290</v>
      </c>
      <c r="N7" t="s">
        <v>384</v>
      </c>
      <c r="P7">
        <v>3</v>
      </c>
    </row>
    <row r="8" spans="1:22" ht="90" x14ac:dyDescent="0.25">
      <c r="A8" s="8" t="s">
        <v>415</v>
      </c>
      <c r="B8" s="9" t="s">
        <v>416</v>
      </c>
      <c r="C8" s="8"/>
      <c r="D8" s="8"/>
      <c r="E8" s="8">
        <v>10023961</v>
      </c>
      <c r="F8" s="8">
        <v>1</v>
      </c>
      <c r="G8" s="8" t="s">
        <v>8</v>
      </c>
      <c r="H8" s="8">
        <v>2</v>
      </c>
      <c r="J8" t="s">
        <v>289</v>
      </c>
      <c r="K8">
        <v>2</v>
      </c>
      <c r="L8" t="s">
        <v>290</v>
      </c>
      <c r="N8" t="s">
        <v>385</v>
      </c>
    </row>
    <row r="9" spans="1:22" x14ac:dyDescent="0.25">
      <c r="A9" s="8" t="s">
        <v>429</v>
      </c>
      <c r="B9" s="9"/>
      <c r="C9" s="8"/>
      <c r="D9" s="8"/>
      <c r="E9" s="8"/>
      <c r="F9" s="8">
        <v>1</v>
      </c>
      <c r="G9" s="8" t="s">
        <v>8</v>
      </c>
      <c r="H9" s="8">
        <v>2</v>
      </c>
      <c r="J9" t="s">
        <v>297</v>
      </c>
      <c r="K9">
        <v>1</v>
      </c>
      <c r="L9" t="s">
        <v>296</v>
      </c>
      <c r="N9" t="s">
        <v>380</v>
      </c>
    </row>
    <row r="10" spans="1:22" ht="30" x14ac:dyDescent="0.25">
      <c r="A10" s="8" t="s">
        <v>95</v>
      </c>
      <c r="B10" s="9" t="str">
        <f>bolso("Cajon de hazmat 1",Table69[] )</f>
        <v xml:space="preserve">Cajon de hazmat 1 Contiene:  Traje de aproximacion clase "C" x8,  Traje de aproximacion clase "A" x3, </v>
      </c>
      <c r="C10" s="8"/>
      <c r="D10" s="8"/>
      <c r="E10" s="8"/>
      <c r="F10" s="8">
        <v>1</v>
      </c>
      <c r="G10" s="8" t="s">
        <v>8</v>
      </c>
      <c r="H10" s="8">
        <v>3</v>
      </c>
      <c r="J10" t="s">
        <v>298</v>
      </c>
      <c r="K10">
        <v>2</v>
      </c>
      <c r="L10" t="s">
        <v>296</v>
      </c>
      <c r="N10" t="s">
        <v>287</v>
      </c>
    </row>
    <row r="11" spans="1:22" ht="30" x14ac:dyDescent="0.25">
      <c r="A11" s="8" t="s">
        <v>95</v>
      </c>
      <c r="B11" s="9" t="str">
        <f>bolso("Cajon de hazmat 2",Table69[] )</f>
        <v xml:space="preserve">Cajon de hazmat 2 Contiene:  Traje de aproximacion clase "A" x1,  Bolsa para cadaveres x3,  Traje de aproximacion clase "C" x2, </v>
      </c>
      <c r="C11" s="8"/>
      <c r="D11" s="8"/>
      <c r="E11" s="8"/>
      <c r="F11" s="8">
        <v>1</v>
      </c>
      <c r="G11" s="8" t="s">
        <v>8</v>
      </c>
      <c r="H11" s="8">
        <v>3</v>
      </c>
      <c r="J11" t="s">
        <v>299</v>
      </c>
      <c r="K11">
        <v>2</v>
      </c>
      <c r="L11" t="s">
        <v>296</v>
      </c>
      <c r="N11" t="s">
        <v>290</v>
      </c>
    </row>
    <row r="12" spans="1:22" ht="60" x14ac:dyDescent="0.25">
      <c r="A12" s="8" t="s">
        <v>95</v>
      </c>
      <c r="B12" s="9" t="str">
        <f>bolso("Cajon de hazmat 3",Table69[] )</f>
        <v xml:space="preserve">Cajon de hazmat 3 Contiene:  Traje de aproximacion clase "A" x1, </v>
      </c>
      <c r="C12" s="8"/>
      <c r="D12" s="8"/>
      <c r="E12" s="8"/>
      <c r="F12" s="8">
        <v>1</v>
      </c>
      <c r="G12" s="8" t="s">
        <v>8</v>
      </c>
      <c r="H12" s="8">
        <v>3</v>
      </c>
      <c r="J12" t="s">
        <v>300</v>
      </c>
      <c r="K12">
        <v>2</v>
      </c>
      <c r="L12" t="s">
        <v>296</v>
      </c>
      <c r="N12" t="s">
        <v>301</v>
      </c>
    </row>
    <row r="13" spans="1:22" ht="90" x14ac:dyDescent="0.25">
      <c r="A13" s="8" t="s">
        <v>427</v>
      </c>
      <c r="B13" s="9" t="s">
        <v>428</v>
      </c>
      <c r="C13" s="8"/>
      <c r="D13" s="8"/>
      <c r="E13" s="8"/>
      <c r="F13" s="8">
        <v>1</v>
      </c>
      <c r="G13" s="8" t="s">
        <v>8</v>
      </c>
      <c r="H13" s="8">
        <v>3</v>
      </c>
      <c r="J13" t="s">
        <v>302</v>
      </c>
      <c r="K13">
        <v>1</v>
      </c>
      <c r="L13" t="s">
        <v>301</v>
      </c>
      <c r="N13" t="s">
        <v>389</v>
      </c>
    </row>
    <row r="14" spans="1:22" ht="90" x14ac:dyDescent="0.25">
      <c r="A14" s="8" t="s">
        <v>427</v>
      </c>
      <c r="B14" s="9"/>
      <c r="C14" s="8"/>
      <c r="D14" s="8"/>
      <c r="E14" s="8"/>
      <c r="F14" s="8">
        <v>2</v>
      </c>
      <c r="G14" s="8" t="s">
        <v>8</v>
      </c>
      <c r="H14" s="8">
        <v>3</v>
      </c>
      <c r="J14" t="s">
        <v>298</v>
      </c>
      <c r="K14">
        <v>1</v>
      </c>
      <c r="L14" t="s">
        <v>301</v>
      </c>
      <c r="N14" t="s">
        <v>307</v>
      </c>
    </row>
    <row r="15" spans="1:22" ht="30" x14ac:dyDescent="0.25">
      <c r="A15" t="s">
        <v>420</v>
      </c>
      <c r="B15" s="9"/>
      <c r="C15" s="8"/>
      <c r="D15" s="8"/>
      <c r="E15" s="8"/>
      <c r="F15" s="8">
        <v>2</v>
      </c>
      <c r="G15" s="8" t="s">
        <v>8</v>
      </c>
      <c r="H15" s="8">
        <v>3</v>
      </c>
      <c r="J15" t="s">
        <v>19</v>
      </c>
      <c r="K15">
        <v>1</v>
      </c>
      <c r="L15" t="s">
        <v>304</v>
      </c>
      <c r="N15" t="s">
        <v>312</v>
      </c>
    </row>
    <row r="16" spans="1:22" ht="30" x14ac:dyDescent="0.25">
      <c r="A16" t="s">
        <v>93</v>
      </c>
      <c r="B16" s="9" t="s">
        <v>419</v>
      </c>
      <c r="C16" s="8"/>
      <c r="D16" s="8"/>
      <c r="E16" s="8"/>
      <c r="F16" s="8">
        <v>2</v>
      </c>
      <c r="G16" s="8" t="s">
        <v>8</v>
      </c>
      <c r="H16" s="8">
        <v>3</v>
      </c>
      <c r="J16" t="s">
        <v>305</v>
      </c>
      <c r="K16">
        <v>1</v>
      </c>
      <c r="L16" t="s">
        <v>304</v>
      </c>
      <c r="N16" t="s">
        <v>399</v>
      </c>
    </row>
    <row r="17" spans="1:14" ht="45" x14ac:dyDescent="0.25">
      <c r="A17" s="8" t="s">
        <v>453</v>
      </c>
      <c r="B17" s="9" t="s">
        <v>455</v>
      </c>
      <c r="C17" s="8"/>
      <c r="D17" s="8"/>
      <c r="E17" s="8" t="s">
        <v>454</v>
      </c>
      <c r="F17" s="8">
        <v>1</v>
      </c>
      <c r="G17" s="8" t="s">
        <v>9</v>
      </c>
      <c r="H17" s="8">
        <v>1</v>
      </c>
      <c r="J17" t="s">
        <v>20</v>
      </c>
      <c r="K17">
        <v>1</v>
      </c>
      <c r="L17" t="s">
        <v>304</v>
      </c>
      <c r="N17" t="s">
        <v>421</v>
      </c>
    </row>
    <row r="18" spans="1:14" ht="30" x14ac:dyDescent="0.25">
      <c r="A18" s="8" t="s">
        <v>165</v>
      </c>
      <c r="B18" s="9" t="s">
        <v>362</v>
      </c>
      <c r="C18" s="8" t="s">
        <v>364</v>
      </c>
      <c r="D18" s="8"/>
      <c r="E18" s="8"/>
      <c r="F18" s="8">
        <v>1</v>
      </c>
      <c r="G18" s="8" t="s">
        <v>9</v>
      </c>
      <c r="H18" s="8">
        <v>1</v>
      </c>
      <c r="J18" t="s">
        <v>19</v>
      </c>
      <c r="K18">
        <v>1</v>
      </c>
      <c r="L18" t="s">
        <v>306</v>
      </c>
      <c r="N18" t="s">
        <v>422</v>
      </c>
    </row>
    <row r="19" spans="1:14" ht="30" x14ac:dyDescent="0.25">
      <c r="A19" s="8" t="s">
        <v>165</v>
      </c>
      <c r="B19" s="9" t="s">
        <v>363</v>
      </c>
      <c r="C19" s="8" t="s">
        <v>365</v>
      </c>
      <c r="D19" s="8"/>
      <c r="E19" s="8"/>
      <c r="F19" s="8">
        <v>1</v>
      </c>
      <c r="G19" s="8" t="s">
        <v>9</v>
      </c>
      <c r="H19" s="8">
        <v>1</v>
      </c>
      <c r="J19" t="s">
        <v>20</v>
      </c>
      <c r="K19">
        <v>1</v>
      </c>
      <c r="L19" t="s">
        <v>306</v>
      </c>
      <c r="N19" t="s">
        <v>424</v>
      </c>
    </row>
    <row r="20" spans="1:14" ht="45" x14ac:dyDescent="0.25">
      <c r="A20" s="8" t="s">
        <v>165</v>
      </c>
      <c r="B20" s="9" t="s">
        <v>366</v>
      </c>
      <c r="C20" s="8" t="s">
        <v>367</v>
      </c>
      <c r="D20" s="8"/>
      <c r="E20" s="8"/>
      <c r="F20" s="8">
        <v>1</v>
      </c>
      <c r="G20" s="8" t="s">
        <v>9</v>
      </c>
      <c r="H20" s="8">
        <v>1</v>
      </c>
      <c r="J20" t="s">
        <v>308</v>
      </c>
      <c r="K20">
        <v>1</v>
      </c>
      <c r="L20" t="s">
        <v>307</v>
      </c>
      <c r="N20" t="s">
        <v>402</v>
      </c>
    </row>
    <row r="21" spans="1:14" ht="30" x14ac:dyDescent="0.25">
      <c r="A21" s="8" t="s">
        <v>165</v>
      </c>
      <c r="B21" s="9" t="s">
        <v>368</v>
      </c>
      <c r="C21" s="8" t="s">
        <v>369</v>
      </c>
      <c r="D21" s="8"/>
      <c r="E21" s="8"/>
      <c r="F21" s="8">
        <v>1</v>
      </c>
      <c r="G21" s="8" t="s">
        <v>9</v>
      </c>
      <c r="H21" s="8">
        <v>1</v>
      </c>
      <c r="J21" t="s">
        <v>309</v>
      </c>
      <c r="K21">
        <v>1</v>
      </c>
      <c r="L21" t="s">
        <v>307</v>
      </c>
      <c r="N21" t="s">
        <v>404</v>
      </c>
    </row>
    <row r="22" spans="1:14" ht="30" x14ac:dyDescent="0.25">
      <c r="A22" s="8" t="s">
        <v>165</v>
      </c>
      <c r="B22" s="9" t="s">
        <v>370</v>
      </c>
      <c r="C22" s="8" t="s">
        <v>371</v>
      </c>
      <c r="D22" s="8"/>
      <c r="E22" s="8"/>
      <c r="F22" s="8">
        <v>1</v>
      </c>
      <c r="G22" s="8" t="s">
        <v>9</v>
      </c>
      <c r="H22" s="8">
        <v>1</v>
      </c>
      <c r="J22" t="s">
        <v>310</v>
      </c>
      <c r="K22">
        <v>1</v>
      </c>
      <c r="L22" t="s">
        <v>307</v>
      </c>
      <c r="N22" t="s">
        <v>439</v>
      </c>
    </row>
    <row r="23" spans="1:14" ht="45" x14ac:dyDescent="0.25">
      <c r="A23" s="8" t="s">
        <v>165</v>
      </c>
      <c r="B23" s="9" t="s">
        <v>372</v>
      </c>
      <c r="C23" s="8" t="s">
        <v>373</v>
      </c>
      <c r="D23" s="8"/>
      <c r="E23" s="8"/>
      <c r="F23" s="8">
        <v>1</v>
      </c>
      <c r="G23" s="8" t="s">
        <v>9</v>
      </c>
      <c r="H23" s="8">
        <v>1</v>
      </c>
      <c r="J23" t="s">
        <v>311</v>
      </c>
      <c r="K23">
        <v>1</v>
      </c>
      <c r="L23" t="s">
        <v>307</v>
      </c>
      <c r="N23" t="s">
        <v>465</v>
      </c>
    </row>
    <row r="24" spans="1:14" x14ac:dyDescent="0.25">
      <c r="A24" s="8" t="s">
        <v>165</v>
      </c>
      <c r="B24" s="9" t="s">
        <v>376</v>
      </c>
      <c r="C24" s="8" t="s">
        <v>377</v>
      </c>
      <c r="D24" s="8"/>
      <c r="E24" s="8"/>
      <c r="F24" s="8">
        <v>1</v>
      </c>
      <c r="G24" s="8" t="s">
        <v>9</v>
      </c>
      <c r="H24" s="8">
        <v>1</v>
      </c>
      <c r="J24" t="s">
        <v>313</v>
      </c>
      <c r="K24">
        <v>1</v>
      </c>
      <c r="L24" t="s">
        <v>312</v>
      </c>
      <c r="N24" t="s">
        <v>467</v>
      </c>
    </row>
    <row r="25" spans="1:14" x14ac:dyDescent="0.25">
      <c r="A25" s="8" t="s">
        <v>11</v>
      </c>
      <c r="B25" s="9" t="s">
        <v>452</v>
      </c>
      <c r="C25" s="8" t="s">
        <v>130</v>
      </c>
      <c r="D25" s="8"/>
      <c r="E25" s="8"/>
      <c r="F25" s="8">
        <v>2</v>
      </c>
      <c r="G25" s="8" t="s">
        <v>9</v>
      </c>
      <c r="H25" s="8">
        <v>1</v>
      </c>
      <c r="J25" t="s">
        <v>314</v>
      </c>
      <c r="K25">
        <v>1</v>
      </c>
      <c r="L25" t="s">
        <v>312</v>
      </c>
      <c r="N25" t="s">
        <v>470</v>
      </c>
    </row>
    <row r="26" spans="1:14" ht="30" x14ac:dyDescent="0.25">
      <c r="A26" s="8" t="s">
        <v>165</v>
      </c>
      <c r="B26" s="9" t="s">
        <v>374</v>
      </c>
      <c r="C26" s="8"/>
      <c r="D26" s="8"/>
      <c r="E26" s="8"/>
      <c r="F26" s="8">
        <v>1</v>
      </c>
      <c r="G26" s="8" t="s">
        <v>9</v>
      </c>
      <c r="H26" s="8">
        <v>2</v>
      </c>
      <c r="J26" t="s">
        <v>315</v>
      </c>
      <c r="K26">
        <v>2</v>
      </c>
      <c r="L26" t="s">
        <v>312</v>
      </c>
      <c r="N26" t="s">
        <v>472</v>
      </c>
    </row>
    <row r="27" spans="1:14" x14ac:dyDescent="0.25">
      <c r="A27" s="8" t="s">
        <v>165</v>
      </c>
      <c r="B27" s="9" t="s">
        <v>375</v>
      </c>
      <c r="C27" s="8"/>
      <c r="D27" s="8"/>
      <c r="E27" s="8"/>
      <c r="F27" s="8">
        <v>1</v>
      </c>
      <c r="G27" s="8" t="s">
        <v>9</v>
      </c>
      <c r="H27" s="8">
        <v>2</v>
      </c>
      <c r="J27" t="s">
        <v>316</v>
      </c>
      <c r="K27">
        <v>1</v>
      </c>
      <c r="L27" t="s">
        <v>312</v>
      </c>
      <c r="N27" t="s">
        <v>475</v>
      </c>
    </row>
    <row r="28" spans="1:14" ht="60" x14ac:dyDescent="0.25">
      <c r="A28" s="8" t="s">
        <v>415</v>
      </c>
      <c r="B28" s="9" t="s">
        <v>457</v>
      </c>
      <c r="C28" s="8"/>
      <c r="D28" s="8" t="s">
        <v>456</v>
      </c>
      <c r="E28" s="8">
        <v>1043</v>
      </c>
      <c r="F28" s="8">
        <v>1</v>
      </c>
      <c r="G28" s="8" t="s">
        <v>9</v>
      </c>
      <c r="H28" s="8">
        <v>1</v>
      </c>
      <c r="J28" t="s">
        <v>317</v>
      </c>
      <c r="K28">
        <v>5</v>
      </c>
      <c r="L28" t="s">
        <v>312</v>
      </c>
      <c r="N28" t="s">
        <v>29</v>
      </c>
    </row>
    <row r="29" spans="1:14" x14ac:dyDescent="0.25">
      <c r="A29" s="8" t="s">
        <v>415</v>
      </c>
      <c r="B29" s="9" t="s">
        <v>457</v>
      </c>
      <c r="C29" s="8"/>
      <c r="D29" s="8" t="s">
        <v>456</v>
      </c>
      <c r="E29" s="8">
        <v>4100</v>
      </c>
      <c r="F29" s="8">
        <v>1</v>
      </c>
      <c r="G29" s="8" t="s">
        <v>9</v>
      </c>
      <c r="H29" s="8">
        <v>1</v>
      </c>
      <c r="J29" t="s">
        <v>318</v>
      </c>
      <c r="K29">
        <v>2</v>
      </c>
      <c r="L29" t="s">
        <v>312</v>
      </c>
    </row>
    <row r="30" spans="1:14" ht="30" x14ac:dyDescent="0.25">
      <c r="A30" s="8" t="s">
        <v>415</v>
      </c>
      <c r="B30" s="9" t="s">
        <v>458</v>
      </c>
      <c r="C30" s="8"/>
      <c r="D30" s="8"/>
      <c r="E30" s="8"/>
      <c r="F30" s="8">
        <v>2</v>
      </c>
      <c r="G30" s="8" t="s">
        <v>9</v>
      </c>
      <c r="H30" s="8">
        <v>1</v>
      </c>
      <c r="J30" t="s">
        <v>319</v>
      </c>
      <c r="K30">
        <v>1</v>
      </c>
      <c r="L30" t="s">
        <v>312</v>
      </c>
    </row>
    <row r="31" spans="1:14" x14ac:dyDescent="0.25">
      <c r="A31" s="8" t="s">
        <v>415</v>
      </c>
      <c r="B31" s="9" t="s">
        <v>459</v>
      </c>
      <c r="C31" s="8"/>
      <c r="D31" s="8" t="s">
        <v>386</v>
      </c>
      <c r="E31" s="8"/>
      <c r="F31" s="8">
        <v>2</v>
      </c>
      <c r="G31" s="8" t="s">
        <v>9</v>
      </c>
      <c r="H31" s="8">
        <v>1</v>
      </c>
      <c r="J31" t="s">
        <v>358</v>
      </c>
      <c r="K31">
        <v>1</v>
      </c>
      <c r="L31" t="s">
        <v>384</v>
      </c>
    </row>
    <row r="32" spans="1:14" ht="60" x14ac:dyDescent="0.25">
      <c r="A32" s="8" t="s">
        <v>415</v>
      </c>
      <c r="B32" s="9" t="s">
        <v>460</v>
      </c>
      <c r="C32" s="8"/>
      <c r="D32" s="8"/>
      <c r="E32" s="8"/>
      <c r="F32" s="8">
        <v>2</v>
      </c>
      <c r="G32" s="8" t="s">
        <v>9</v>
      </c>
      <c r="H32" s="8">
        <v>1</v>
      </c>
      <c r="J32" t="s">
        <v>359</v>
      </c>
      <c r="K32">
        <v>1</v>
      </c>
      <c r="L32" t="s">
        <v>384</v>
      </c>
    </row>
    <row r="33" spans="1:12" x14ac:dyDescent="0.25">
      <c r="A33" s="8" t="s">
        <v>107</v>
      </c>
      <c r="B33" s="9" t="s">
        <v>392</v>
      </c>
      <c r="C33" s="8"/>
      <c r="D33" s="8" t="s">
        <v>386</v>
      </c>
      <c r="E33" s="8"/>
      <c r="F33" s="8">
        <v>3</v>
      </c>
      <c r="G33" s="8" t="s">
        <v>10</v>
      </c>
      <c r="H33" s="8">
        <v>1</v>
      </c>
      <c r="J33" t="s">
        <v>360</v>
      </c>
      <c r="K33">
        <v>2</v>
      </c>
      <c r="L33" t="s">
        <v>384</v>
      </c>
    </row>
    <row r="34" spans="1:12" x14ac:dyDescent="0.25">
      <c r="A34" s="8" t="s">
        <v>95</v>
      </c>
      <c r="B34" s="9" t="str">
        <f>bolso("Bolso de corta vidrios",Table69[])</f>
        <v xml:space="preserve">Bolso de corta vidrios Contiene:  Corta vidrios holmatro x1,  Corta cinturones x2, </v>
      </c>
      <c r="C34" s="8"/>
      <c r="D34" s="8"/>
      <c r="E34" s="8"/>
      <c r="F34" s="8">
        <v>1</v>
      </c>
      <c r="G34" s="8" t="s">
        <v>10</v>
      </c>
      <c r="H34" s="8">
        <v>1</v>
      </c>
      <c r="J34" t="s">
        <v>361</v>
      </c>
      <c r="K34">
        <v>2</v>
      </c>
      <c r="L34" t="s">
        <v>384</v>
      </c>
    </row>
    <row r="35" spans="1:12" ht="45" x14ac:dyDescent="0.25">
      <c r="A35" s="8" t="s">
        <v>95</v>
      </c>
      <c r="B35" s="9" t="str">
        <f>bolso("Bolso de comando de minicojines 2",Table69[])</f>
        <v xml:space="preserve">Bolso de comando de minicojines 2 Contiene:  Comando de minicojines x1,  Reductor de presion para minicojines x1, </v>
      </c>
      <c r="C35" s="8"/>
      <c r="D35" s="8"/>
      <c r="E35" s="8"/>
      <c r="F35" s="8">
        <v>1</v>
      </c>
      <c r="G35" s="8" t="s">
        <v>10</v>
      </c>
      <c r="H35" s="8">
        <v>1</v>
      </c>
      <c r="J35" t="s">
        <v>381</v>
      </c>
      <c r="K35">
        <v>1</v>
      </c>
      <c r="L35" t="s">
        <v>380</v>
      </c>
    </row>
    <row r="36" spans="1:12" x14ac:dyDescent="0.25">
      <c r="A36" s="8" t="s">
        <v>95</v>
      </c>
      <c r="B36" s="9" t="s">
        <v>387</v>
      </c>
      <c r="C36" s="8"/>
      <c r="D36" s="8"/>
      <c r="E36" s="8"/>
      <c r="F36" s="8">
        <v>1</v>
      </c>
      <c r="G36" s="8" t="s">
        <v>10</v>
      </c>
      <c r="H36" s="8">
        <v>1</v>
      </c>
      <c r="J36" t="s">
        <v>382</v>
      </c>
      <c r="K36">
        <v>2</v>
      </c>
      <c r="L36" t="s">
        <v>380</v>
      </c>
    </row>
    <row r="37" spans="1:12" x14ac:dyDescent="0.25">
      <c r="A37" s="8" t="s">
        <v>95</v>
      </c>
      <c r="B37" s="9" t="str">
        <f>bolso("Caja de cubre parantes",Table69[])</f>
        <v xml:space="preserve">Caja de cubre parantes Contiene:  Cubre parantes chico x6,  Cubre parantes grande x6, </v>
      </c>
      <c r="C37" s="8"/>
      <c r="D37" s="8" t="s">
        <v>386</v>
      </c>
      <c r="E37" s="8"/>
      <c r="F37" s="8">
        <v>1</v>
      </c>
      <c r="G37" s="8" t="s">
        <v>10</v>
      </c>
      <c r="H37" s="8">
        <v>1</v>
      </c>
      <c r="J37" t="s">
        <v>358</v>
      </c>
      <c r="K37">
        <v>1</v>
      </c>
      <c r="L37" t="s">
        <v>385</v>
      </c>
    </row>
    <row r="38" spans="1:12" x14ac:dyDescent="0.25">
      <c r="A38" s="8" t="s">
        <v>95</v>
      </c>
      <c r="B38" s="9" t="str">
        <f>bolso("Caja de seguridad en la escena",Table69[])</f>
        <v xml:space="preserve">Caja de seguridad en la escena Contiene:  lampara vial marca signalite x4,  Lampara vial marca tildawn x1, </v>
      </c>
      <c r="C38" s="8"/>
      <c r="D38" s="8"/>
      <c r="E38" s="8"/>
      <c r="F38" s="8">
        <v>1</v>
      </c>
      <c r="G38" s="8" t="s">
        <v>10</v>
      </c>
      <c r="H38" s="8">
        <v>1</v>
      </c>
      <c r="J38" t="s">
        <v>359</v>
      </c>
      <c r="K38">
        <v>1</v>
      </c>
      <c r="L38" t="s">
        <v>385</v>
      </c>
    </row>
    <row r="39" spans="1:12" ht="30" x14ac:dyDescent="0.25">
      <c r="A39" s="8" t="s">
        <v>95</v>
      </c>
      <c r="B39" s="9" t="str">
        <f>bolso("Cajon de tacos 1",Table69[])</f>
        <v xml:space="preserve">Cajon de tacos 1 Contiene:  Tacos varios de madera x12, </v>
      </c>
      <c r="C39" s="8"/>
      <c r="D39" s="8"/>
      <c r="E39" s="8"/>
      <c r="F39" s="8">
        <v>1</v>
      </c>
      <c r="G39" s="8" t="s">
        <v>10</v>
      </c>
      <c r="H39" s="8">
        <v>1</v>
      </c>
      <c r="J39" t="s">
        <v>390</v>
      </c>
      <c r="K39">
        <v>6</v>
      </c>
      <c r="L39" t="s">
        <v>389</v>
      </c>
    </row>
    <row r="40" spans="1:12" ht="45" x14ac:dyDescent="0.25">
      <c r="A40" s="8" t="s">
        <v>95</v>
      </c>
      <c r="B40" s="9" t="str">
        <f>bolso("Cajon de tacos 2",Table69[])</f>
        <v xml:space="preserve">Cajon de tacos 2 Contiene:  Cuña plastica x11,  Taco plastico fino x5,  Taco plastico ancho x6, </v>
      </c>
      <c r="C40" s="8"/>
      <c r="D40" s="8"/>
      <c r="E40" s="8"/>
      <c r="F40" s="8">
        <v>1</v>
      </c>
      <c r="G40" s="8" t="s">
        <v>10</v>
      </c>
      <c r="H40" s="8">
        <v>1</v>
      </c>
      <c r="J40" t="s">
        <v>391</v>
      </c>
      <c r="K40">
        <v>6</v>
      </c>
      <c r="L40" t="s">
        <v>389</v>
      </c>
    </row>
    <row r="41" spans="1:12" x14ac:dyDescent="0.25">
      <c r="A41" s="8" t="s">
        <v>394</v>
      </c>
      <c r="B41" s="9" t="s">
        <v>395</v>
      </c>
      <c r="C41" s="8"/>
      <c r="D41" s="8" t="s">
        <v>386</v>
      </c>
      <c r="E41" s="8">
        <v>58115</v>
      </c>
      <c r="F41" s="8">
        <v>1</v>
      </c>
      <c r="G41" s="8" t="s">
        <v>10</v>
      </c>
      <c r="H41" s="8">
        <v>1</v>
      </c>
      <c r="J41" t="s">
        <v>400</v>
      </c>
      <c r="K41">
        <v>4</v>
      </c>
      <c r="L41" t="s">
        <v>399</v>
      </c>
    </row>
    <row r="42" spans="1:12" ht="45" x14ac:dyDescent="0.25">
      <c r="A42" s="8" t="s">
        <v>84</v>
      </c>
      <c r="B42" s="9" t="s">
        <v>395</v>
      </c>
      <c r="C42" s="8"/>
      <c r="D42" s="8" t="s">
        <v>386</v>
      </c>
      <c r="E42" s="8">
        <v>114947</v>
      </c>
      <c r="F42" s="8">
        <v>1</v>
      </c>
      <c r="G42" s="8" t="s">
        <v>10</v>
      </c>
      <c r="H42" s="8">
        <v>1</v>
      </c>
      <c r="J42" t="s">
        <v>401</v>
      </c>
      <c r="K42">
        <v>1</v>
      </c>
      <c r="L42" t="s">
        <v>399</v>
      </c>
    </row>
    <row r="43" spans="1:12" ht="30" x14ac:dyDescent="0.25">
      <c r="A43" s="8" t="s">
        <v>267</v>
      </c>
      <c r="B43" s="9"/>
      <c r="C43" s="8"/>
      <c r="D43" s="8" t="s">
        <v>386</v>
      </c>
      <c r="E43" s="8"/>
      <c r="F43" s="8">
        <v>2</v>
      </c>
      <c r="G43" s="8" t="s">
        <v>10</v>
      </c>
      <c r="H43" s="8">
        <v>1</v>
      </c>
      <c r="J43" t="s">
        <v>403</v>
      </c>
      <c r="K43">
        <v>12</v>
      </c>
      <c r="L43" t="s">
        <v>402</v>
      </c>
    </row>
    <row r="44" spans="1:12" x14ac:dyDescent="0.25">
      <c r="A44" s="8" t="s">
        <v>267</v>
      </c>
      <c r="B44" s="9"/>
      <c r="C44" s="8"/>
      <c r="D44" s="8" t="s">
        <v>388</v>
      </c>
      <c r="E44" s="8"/>
      <c r="F44" s="8">
        <v>2</v>
      </c>
      <c r="G44" s="8" t="s">
        <v>10</v>
      </c>
      <c r="H44" s="8">
        <v>1</v>
      </c>
      <c r="J44" t="s">
        <v>405</v>
      </c>
      <c r="K44">
        <v>11</v>
      </c>
      <c r="L44" t="s">
        <v>404</v>
      </c>
    </row>
    <row r="45" spans="1:12" x14ac:dyDescent="0.25">
      <c r="A45" s="8" t="s">
        <v>267</v>
      </c>
      <c r="B45" s="9"/>
      <c r="C45" s="8"/>
      <c r="D45" s="8"/>
      <c r="E45" s="8"/>
      <c r="F45" s="8">
        <v>1</v>
      </c>
      <c r="G45" s="8" t="s">
        <v>10</v>
      </c>
      <c r="H45" s="8">
        <v>1</v>
      </c>
      <c r="J45" t="s">
        <v>406</v>
      </c>
      <c r="K45">
        <v>5</v>
      </c>
      <c r="L45" t="s">
        <v>404</v>
      </c>
    </row>
    <row r="46" spans="1:12" x14ac:dyDescent="0.25">
      <c r="A46" s="8" t="s">
        <v>81</v>
      </c>
      <c r="B46" s="9" t="s">
        <v>398</v>
      </c>
      <c r="C46" s="8"/>
      <c r="D46" s="8" t="s">
        <v>386</v>
      </c>
      <c r="E46" s="8">
        <v>122054</v>
      </c>
      <c r="F46" s="8">
        <v>1</v>
      </c>
      <c r="G46" s="8" t="s">
        <v>10</v>
      </c>
      <c r="H46" s="8">
        <v>1</v>
      </c>
      <c r="J46" t="s">
        <v>407</v>
      </c>
      <c r="K46">
        <v>6</v>
      </c>
      <c r="L46" t="s">
        <v>404</v>
      </c>
    </row>
    <row r="47" spans="1:12" x14ac:dyDescent="0.25">
      <c r="A47" s="8" t="s">
        <v>378</v>
      </c>
      <c r="B47" s="9" t="s">
        <v>379</v>
      </c>
      <c r="C47" s="8"/>
      <c r="D47" s="8"/>
      <c r="E47" s="8"/>
      <c r="F47" s="8">
        <v>4</v>
      </c>
      <c r="G47" s="8" t="s">
        <v>10</v>
      </c>
      <c r="H47" s="8">
        <v>1</v>
      </c>
      <c r="J47" t="s">
        <v>417</v>
      </c>
      <c r="K47">
        <v>8</v>
      </c>
      <c r="L47" t="s">
        <v>421</v>
      </c>
    </row>
    <row r="48" spans="1:12" x14ac:dyDescent="0.25">
      <c r="A48" s="8" t="s">
        <v>397</v>
      </c>
      <c r="B48" s="9" t="s">
        <v>395</v>
      </c>
      <c r="C48" s="8"/>
      <c r="D48" s="8" t="s">
        <v>386</v>
      </c>
      <c r="E48" s="8">
        <v>57523</v>
      </c>
      <c r="F48" s="8">
        <v>1</v>
      </c>
      <c r="G48" s="8" t="s">
        <v>10</v>
      </c>
      <c r="H48" s="8">
        <v>1</v>
      </c>
      <c r="J48" t="s">
        <v>418</v>
      </c>
      <c r="K48">
        <v>3</v>
      </c>
      <c r="L48" t="s">
        <v>421</v>
      </c>
    </row>
    <row r="49" spans="1:12" ht="45" x14ac:dyDescent="0.25">
      <c r="A49" s="8" t="s">
        <v>284</v>
      </c>
      <c r="B49" s="9" t="s">
        <v>383</v>
      </c>
      <c r="C49" s="8"/>
      <c r="D49" s="8"/>
      <c r="E49" s="8"/>
      <c r="F49" s="8">
        <v>1</v>
      </c>
      <c r="G49" s="8" t="s">
        <v>10</v>
      </c>
      <c r="H49" s="8">
        <v>1</v>
      </c>
      <c r="J49" t="s">
        <v>418</v>
      </c>
      <c r="K49">
        <v>1</v>
      </c>
      <c r="L49" t="s">
        <v>422</v>
      </c>
    </row>
    <row r="50" spans="1:12" x14ac:dyDescent="0.25">
      <c r="A50" s="8" t="s">
        <v>102</v>
      </c>
      <c r="B50" s="9" t="s">
        <v>396</v>
      </c>
      <c r="C50" s="8"/>
      <c r="D50" s="8" t="s">
        <v>386</v>
      </c>
      <c r="E50" s="8" t="s">
        <v>393</v>
      </c>
      <c r="F50" s="8">
        <v>1</v>
      </c>
      <c r="G50" s="8" t="s">
        <v>10</v>
      </c>
      <c r="H50" s="8">
        <v>1</v>
      </c>
      <c r="J50" t="s">
        <v>423</v>
      </c>
      <c r="K50">
        <v>3</v>
      </c>
      <c r="L50" t="s">
        <v>422</v>
      </c>
    </row>
    <row r="51" spans="1:12" x14ac:dyDescent="0.25">
      <c r="A51" s="8" t="s">
        <v>102</v>
      </c>
      <c r="B51" s="9" t="s">
        <v>395</v>
      </c>
      <c r="C51" s="8"/>
      <c r="D51" s="8" t="s">
        <v>386</v>
      </c>
      <c r="E51" s="8">
        <v>54864</v>
      </c>
      <c r="F51" s="8">
        <v>1</v>
      </c>
      <c r="G51" s="8" t="s">
        <v>10</v>
      </c>
      <c r="H51" s="8">
        <v>1</v>
      </c>
      <c r="J51" t="s">
        <v>417</v>
      </c>
      <c r="K51">
        <v>2</v>
      </c>
      <c r="L51" t="s">
        <v>422</v>
      </c>
    </row>
    <row r="52" spans="1:12" x14ac:dyDescent="0.25">
      <c r="A52" s="8" t="s">
        <v>102</v>
      </c>
      <c r="B52" s="9" t="s">
        <v>395</v>
      </c>
      <c r="C52" s="8"/>
      <c r="D52" s="8" t="s">
        <v>386</v>
      </c>
      <c r="E52" s="8">
        <v>88310</v>
      </c>
      <c r="F52" s="8">
        <v>1</v>
      </c>
      <c r="G52" s="8" t="s">
        <v>10</v>
      </c>
      <c r="H52" s="8">
        <v>1</v>
      </c>
      <c r="J52" t="s">
        <v>418</v>
      </c>
      <c r="K52">
        <v>1</v>
      </c>
      <c r="L52" t="s">
        <v>424</v>
      </c>
    </row>
    <row r="53" spans="1:12" ht="45" x14ac:dyDescent="0.25">
      <c r="A53" s="8" t="s">
        <v>107</v>
      </c>
      <c r="B53" s="9" t="s">
        <v>449</v>
      </c>
      <c r="C53" s="8"/>
      <c r="D53" s="8"/>
      <c r="E53" s="8"/>
      <c r="F53" s="8">
        <v>1</v>
      </c>
      <c r="G53" s="8" t="s">
        <v>10</v>
      </c>
      <c r="H53" t="s">
        <v>436</v>
      </c>
      <c r="J53" t="s">
        <v>440</v>
      </c>
      <c r="K53">
        <v>9</v>
      </c>
      <c r="L53" t="s">
        <v>439</v>
      </c>
    </row>
    <row r="54" spans="1:12" ht="45" x14ac:dyDescent="0.25">
      <c r="A54" s="8" t="s">
        <v>438</v>
      </c>
      <c r="B54" s="9" t="str">
        <f>bolso("Cajon de tacos 3",Table69[] )</f>
        <v xml:space="preserve">Cajon de tacos 3 Contiene:  Tacos grandes cuadrados x9,  Cuñas grandes x4,  Cuñas chicas x5, </v>
      </c>
      <c r="C54" s="8"/>
      <c r="D54" s="8"/>
      <c r="E54" s="8"/>
      <c r="F54" s="8">
        <v>1</v>
      </c>
      <c r="G54" s="8" t="s">
        <v>10</v>
      </c>
      <c r="H54" t="s">
        <v>436</v>
      </c>
      <c r="J54" t="s">
        <v>441</v>
      </c>
      <c r="K54">
        <v>4</v>
      </c>
      <c r="L54" t="s">
        <v>439</v>
      </c>
    </row>
    <row r="55" spans="1:12" x14ac:dyDescent="0.25">
      <c r="A55" s="8" t="s">
        <v>378</v>
      </c>
      <c r="B55" s="9" t="s">
        <v>443</v>
      </c>
      <c r="C55" s="8"/>
      <c r="D55" s="8"/>
      <c r="E55" s="8"/>
      <c r="F55" s="8">
        <v>5</v>
      </c>
      <c r="G55" s="8" t="s">
        <v>10</v>
      </c>
      <c r="H55" t="s">
        <v>436</v>
      </c>
      <c r="J55" t="s">
        <v>442</v>
      </c>
      <c r="K55">
        <v>5</v>
      </c>
      <c r="L55" t="s">
        <v>439</v>
      </c>
    </row>
    <row r="56" spans="1:12" x14ac:dyDescent="0.25">
      <c r="A56" s="8" t="s">
        <v>250</v>
      </c>
      <c r="B56" s="9" t="s">
        <v>444</v>
      </c>
      <c r="C56" s="8"/>
      <c r="D56" s="8" t="s">
        <v>445</v>
      </c>
      <c r="E56" s="8" t="s">
        <v>446</v>
      </c>
      <c r="F56" s="8">
        <v>1</v>
      </c>
      <c r="G56" s="8" t="s">
        <v>10</v>
      </c>
      <c r="H56" t="s">
        <v>436</v>
      </c>
      <c r="J56" t="s">
        <v>466</v>
      </c>
      <c r="K56">
        <v>2</v>
      </c>
      <c r="L56" t="s">
        <v>465</v>
      </c>
    </row>
    <row r="57" spans="1:12" x14ac:dyDescent="0.25">
      <c r="A57" s="8" t="s">
        <v>250</v>
      </c>
      <c r="B57" s="9" t="s">
        <v>444</v>
      </c>
      <c r="C57" s="8"/>
      <c r="D57" s="8" t="s">
        <v>447</v>
      </c>
      <c r="E57" s="8" t="s">
        <v>448</v>
      </c>
      <c r="F57" s="8">
        <v>1</v>
      </c>
      <c r="G57" s="8" t="s">
        <v>10</v>
      </c>
      <c r="H57" t="s">
        <v>436</v>
      </c>
      <c r="J57" t="s">
        <v>468</v>
      </c>
      <c r="K57">
        <v>1</v>
      </c>
      <c r="L57" t="s">
        <v>467</v>
      </c>
    </row>
    <row r="58" spans="1:12" x14ac:dyDescent="0.25">
      <c r="A58" s="8" t="s">
        <v>118</v>
      </c>
      <c r="B58" s="9" t="s">
        <v>437</v>
      </c>
      <c r="C58" s="8"/>
      <c r="D58" s="8"/>
      <c r="E58" s="8"/>
      <c r="F58" s="8">
        <v>4</v>
      </c>
      <c r="G58" s="8" t="s">
        <v>10</v>
      </c>
      <c r="H58" t="s">
        <v>436</v>
      </c>
      <c r="J58" t="s">
        <v>469</v>
      </c>
      <c r="K58">
        <v>1</v>
      </c>
      <c r="L58" t="s">
        <v>467</v>
      </c>
    </row>
    <row r="59" spans="1:12" x14ac:dyDescent="0.25">
      <c r="A59" s="8" t="s">
        <v>95</v>
      </c>
      <c r="B59" s="9" t="str">
        <f>bolso("Bolso de martillo demoledor",Table69[])</f>
        <v xml:space="preserve">Bolso de martillo demoledor Contiene:  Martillo demoledor 220v grande BOSCH D70745 x1,  Mecha x2, </v>
      </c>
      <c r="C59" s="8"/>
      <c r="D59" s="8"/>
      <c r="E59" s="8"/>
      <c r="F59" s="8">
        <v>1</v>
      </c>
      <c r="G59" s="8" t="s">
        <v>283</v>
      </c>
      <c r="H59" s="8">
        <v>1</v>
      </c>
      <c r="J59" t="s">
        <v>471</v>
      </c>
      <c r="K59">
        <v>2</v>
      </c>
      <c r="L59" t="s">
        <v>470</v>
      </c>
    </row>
    <row r="60" spans="1:12" ht="60" x14ac:dyDescent="0.25">
      <c r="A60" s="8" t="s">
        <v>95</v>
      </c>
      <c r="B60" s="9" t="str">
        <f>bolso("Bolso de rotomartillo",Table69[])</f>
        <v xml:space="preserve">Bolso de rotomartillo Contiene:  Rotomartillo 220v BOSCH GBH5470DCE x1,  Mecha sincel x2,  Mecha x2, </v>
      </c>
      <c r="C60" s="8"/>
      <c r="D60" s="8"/>
      <c r="E60" s="8"/>
      <c r="F60" s="8">
        <v>1</v>
      </c>
      <c r="G60" s="8" t="s">
        <v>283</v>
      </c>
      <c r="H60" s="8">
        <v>1</v>
      </c>
      <c r="J60" t="s">
        <v>474</v>
      </c>
      <c r="K60">
        <v>1</v>
      </c>
      <c r="L60" t="s">
        <v>473</v>
      </c>
    </row>
    <row r="61" spans="1:12" ht="90" x14ac:dyDescent="0.25">
      <c r="A61" s="8" t="s">
        <v>95</v>
      </c>
      <c r="B61" s="9" t="str">
        <f>bolso("Bolso de amoladora",Table69[])</f>
        <v xml:space="preserve">Bolso de amoladora Contiene:  Amoladora Dewalt electrica a bateria s/n 580426 x1,  Bateria DeWalt x2,  Cargador de bateria DeWalt DW911-6AR x2,  Herramienta para cambio de disco de amoladora x2, </v>
      </c>
      <c r="C61" s="8"/>
      <c r="D61" s="8" t="s">
        <v>294</v>
      </c>
      <c r="E61" s="8"/>
      <c r="F61" s="8">
        <v>1</v>
      </c>
      <c r="G61" s="8" t="s">
        <v>283</v>
      </c>
      <c r="H61" s="8">
        <v>1</v>
      </c>
      <c r="J61" t="s">
        <v>476</v>
      </c>
      <c r="K61">
        <v>4</v>
      </c>
      <c r="L61" t="s">
        <v>475</v>
      </c>
    </row>
    <row r="62" spans="1:12" x14ac:dyDescent="0.25">
      <c r="A62" s="8" t="s">
        <v>95</v>
      </c>
      <c r="B62" s="9" t="str">
        <f>bolso("Bolso de sierra sable",Table69[])</f>
        <v xml:space="preserve">Bolso de sierra sable Contiene:  Sierra sable Dewalt s/n 959421  x1,  Bateria DeWalt x1, </v>
      </c>
      <c r="C62" s="8"/>
      <c r="D62" s="8" t="s">
        <v>294</v>
      </c>
      <c r="E62" s="8"/>
      <c r="F62" s="8">
        <v>1</v>
      </c>
      <c r="G62" s="8" t="s">
        <v>283</v>
      </c>
      <c r="H62" s="8">
        <v>1</v>
      </c>
      <c r="J62" t="s">
        <v>477</v>
      </c>
      <c r="K62">
        <v>1</v>
      </c>
      <c r="L62" t="s">
        <v>29</v>
      </c>
    </row>
    <row r="63" spans="1:12" x14ac:dyDescent="0.25">
      <c r="A63" s="8" t="s">
        <v>95</v>
      </c>
      <c r="B63" s="9" t="str">
        <f>bolso("Bolso de carpintero 1",Table69[])</f>
        <v xml:space="preserve">Bolso de carpintero 1 Contiene:  Martillo x1,  Pinza x1,  Alicate x1, </v>
      </c>
      <c r="C63" s="8"/>
      <c r="D63" s="8"/>
      <c r="E63" s="8"/>
      <c r="F63" s="8">
        <v>1</v>
      </c>
      <c r="G63" s="8" t="s">
        <v>283</v>
      </c>
      <c r="H63" s="8">
        <v>1</v>
      </c>
      <c r="J63" t="s">
        <v>222</v>
      </c>
      <c r="K63">
        <v>1</v>
      </c>
      <c r="L63" t="s">
        <v>29</v>
      </c>
    </row>
    <row r="64" spans="1:12" x14ac:dyDescent="0.25">
      <c r="A64" s="8" t="s">
        <v>95</v>
      </c>
      <c r="B64" s="9" t="str">
        <f>bolso("Bolso de carpintero 2",Table69[])</f>
        <v xml:space="preserve">Bolso de carpintero 2 Contiene:  Martillo x1,  Alicate x1, </v>
      </c>
      <c r="C64" s="8"/>
      <c r="D64" s="8"/>
      <c r="E64" s="8"/>
      <c r="F64" s="8">
        <v>1</v>
      </c>
      <c r="G64" s="8" t="s">
        <v>283</v>
      </c>
      <c r="H64" s="8">
        <v>1</v>
      </c>
      <c r="J64" t="s">
        <v>478</v>
      </c>
      <c r="K64">
        <v>2</v>
      </c>
      <c r="L64" t="s">
        <v>29</v>
      </c>
    </row>
    <row r="65" spans="1:12" ht="60" x14ac:dyDescent="0.25">
      <c r="A65" s="8" t="s">
        <v>95</v>
      </c>
      <c r="B65" s="9" t="str">
        <f>bolso("Caja de eslingas 1",Table69[])</f>
        <v xml:space="preserve">Caja de eslingas 1 Contiene:  Eslinga 3tn año 01/2011 x1,  Eslinga 3tn año 01/2012 x1,  Eslinga 6tn año 11/2010 x1,  Eslinga 6tn Sin año x1, </v>
      </c>
      <c r="C65" s="8"/>
      <c r="D65" s="8"/>
      <c r="E65" s="8"/>
      <c r="F65" s="8">
        <v>1</v>
      </c>
      <c r="G65" s="8" t="s">
        <v>283</v>
      </c>
      <c r="H65" s="8">
        <v>1</v>
      </c>
      <c r="J65" t="s">
        <v>479</v>
      </c>
      <c r="K65">
        <v>2</v>
      </c>
      <c r="L65" t="s">
        <v>29</v>
      </c>
    </row>
    <row r="66" spans="1:12" ht="90" x14ac:dyDescent="0.25">
      <c r="A66" s="8" t="s">
        <v>95</v>
      </c>
      <c r="B66" s="9" t="str">
        <f>bolso("Caja de eslingas 2",Table69[])</f>
        <v xml:space="preserve">Caja de eslingas 2 Contiene:  Eslinga fina x1,  Eslinga will 1tn año 02/2013 x1,  Eslinga grande 6TN año 02/2015 x2,  Grillete chico x1,  Grillete mediano x5,  Grillete grande x2,  Grillete muy grande x1, </v>
      </c>
      <c r="C66" s="8"/>
      <c r="D66" s="8"/>
      <c r="E66" s="8"/>
      <c r="F66" s="8">
        <v>1</v>
      </c>
      <c r="G66" s="8" t="s">
        <v>283</v>
      </c>
      <c r="H66" s="8">
        <v>1</v>
      </c>
      <c r="J66" t="s">
        <v>19</v>
      </c>
      <c r="K66">
        <v>1</v>
      </c>
      <c r="L66" t="s">
        <v>29</v>
      </c>
    </row>
    <row r="67" spans="1:12" ht="45" x14ac:dyDescent="0.25">
      <c r="A67" s="8" t="s">
        <v>95</v>
      </c>
      <c r="B67" s="9" t="str">
        <f>bolso("Bolso de comando de minicojines 1",Table69[])</f>
        <v xml:space="preserve">Bolso de comando de minicojines 1 Contiene:  Comando de minicojines x1,  Reductor de presion para minicojines x1,  Mangueras de aire comprimido para minicojines x2,  Valvula de presion con manometro x2, </v>
      </c>
      <c r="C67" s="8"/>
      <c r="D67" s="8"/>
      <c r="E67" s="8"/>
      <c r="F67" s="8">
        <v>1</v>
      </c>
      <c r="G67" s="8" t="s">
        <v>283</v>
      </c>
      <c r="H67" s="8">
        <v>1</v>
      </c>
      <c r="J67" t="s">
        <v>480</v>
      </c>
      <c r="K67">
        <v>1</v>
      </c>
      <c r="L67" t="s">
        <v>29</v>
      </c>
    </row>
    <row r="68" spans="1:12" x14ac:dyDescent="0.25">
      <c r="A68" s="8" t="s">
        <v>170</v>
      </c>
      <c r="B68" s="9" t="s">
        <v>450</v>
      </c>
      <c r="C68" s="8" t="s">
        <v>172</v>
      </c>
      <c r="D68" s="8"/>
      <c r="E68" s="8"/>
      <c r="F68" s="8">
        <v>3</v>
      </c>
      <c r="G68" s="8" t="s">
        <v>283</v>
      </c>
      <c r="H68" s="8">
        <v>1</v>
      </c>
      <c r="J68" t="s">
        <v>481</v>
      </c>
      <c r="K68">
        <v>3</v>
      </c>
      <c r="L68" t="s">
        <v>29</v>
      </c>
    </row>
    <row r="69" spans="1:12" x14ac:dyDescent="0.25">
      <c r="A69" s="8" t="s">
        <v>170</v>
      </c>
      <c r="B69" s="9" t="s">
        <v>451</v>
      </c>
      <c r="C69" s="8" t="s">
        <v>172</v>
      </c>
      <c r="D69" s="8"/>
      <c r="E69" s="8"/>
      <c r="F69" s="8">
        <v>1</v>
      </c>
      <c r="G69" s="8" t="s">
        <v>283</v>
      </c>
      <c r="H69" s="8">
        <v>1</v>
      </c>
      <c r="J69" t="s">
        <v>482</v>
      </c>
      <c r="K69">
        <v>1</v>
      </c>
      <c r="L69" t="s">
        <v>29</v>
      </c>
    </row>
    <row r="70" spans="1:12" x14ac:dyDescent="0.25">
      <c r="A70" s="8" t="s">
        <v>12</v>
      </c>
      <c r="B70" s="9" t="s">
        <v>293</v>
      </c>
      <c r="C70" s="8"/>
      <c r="D70" s="8" t="s">
        <v>294</v>
      </c>
      <c r="E70" s="11" t="s">
        <v>295</v>
      </c>
      <c r="F70" s="8">
        <v>1</v>
      </c>
      <c r="G70" s="8" t="s">
        <v>283</v>
      </c>
      <c r="H70" s="8">
        <v>1</v>
      </c>
      <c r="J70" t="s">
        <v>483</v>
      </c>
      <c r="K70">
        <v>1</v>
      </c>
      <c r="L70" t="s">
        <v>29</v>
      </c>
    </row>
    <row r="71" spans="1:12" x14ac:dyDescent="0.25">
      <c r="A71" t="s">
        <v>284</v>
      </c>
      <c r="B71" s="9" t="s">
        <v>285</v>
      </c>
      <c r="C71" s="8"/>
      <c r="D71" s="8"/>
      <c r="E71" s="8"/>
      <c r="F71" s="8">
        <v>3</v>
      </c>
      <c r="G71" s="8" t="s">
        <v>283</v>
      </c>
      <c r="H71" s="8">
        <v>1</v>
      </c>
      <c r="J71" t="s">
        <v>484</v>
      </c>
      <c r="K71">
        <v>1</v>
      </c>
      <c r="L71" t="s">
        <v>29</v>
      </c>
    </row>
    <row r="72" spans="1:12" x14ac:dyDescent="0.25">
      <c r="A72" s="8" t="s">
        <v>88</v>
      </c>
      <c r="B72" s="9" t="s">
        <v>286</v>
      </c>
      <c r="C72" s="8"/>
      <c r="D72" s="8"/>
      <c r="E72" s="8"/>
      <c r="F72" s="8">
        <v>9</v>
      </c>
      <c r="G72" s="8" t="s">
        <v>283</v>
      </c>
      <c r="H72" s="8">
        <v>1</v>
      </c>
      <c r="J72" t="s">
        <v>485</v>
      </c>
      <c r="K72">
        <v>1</v>
      </c>
      <c r="L72" t="s">
        <v>29</v>
      </c>
    </row>
    <row r="73" spans="1:12" x14ac:dyDescent="0.25">
      <c r="A73" s="8" t="s">
        <v>88</v>
      </c>
      <c r="B73" s="9" t="s">
        <v>303</v>
      </c>
      <c r="C73" s="8"/>
      <c r="D73" s="8"/>
      <c r="E73" s="8"/>
      <c r="F73" s="8">
        <v>2</v>
      </c>
      <c r="G73" s="8" t="s">
        <v>283</v>
      </c>
      <c r="H73" s="8">
        <v>1</v>
      </c>
      <c r="J73" t="s">
        <v>486</v>
      </c>
      <c r="K73">
        <v>1</v>
      </c>
      <c r="L73" t="s">
        <v>29</v>
      </c>
    </row>
    <row r="74" spans="1:12" x14ac:dyDescent="0.25">
      <c r="A74" s="8" t="s">
        <v>435</v>
      </c>
      <c r="B74" s="9"/>
      <c r="C74" s="8"/>
      <c r="D74" s="8"/>
      <c r="E74" s="8"/>
      <c r="F74" s="8">
        <v>4</v>
      </c>
      <c r="G74" s="8" t="s">
        <v>7</v>
      </c>
      <c r="H74" s="8">
        <v>1</v>
      </c>
      <c r="J74" t="s">
        <v>487</v>
      </c>
      <c r="K74">
        <v>1</v>
      </c>
      <c r="L74" t="s">
        <v>29</v>
      </c>
    </row>
    <row r="75" spans="1:12" x14ac:dyDescent="0.25">
      <c r="A75" s="8" t="s">
        <v>430</v>
      </c>
      <c r="B75" s="9"/>
      <c r="C75" s="8" t="s">
        <v>431</v>
      </c>
      <c r="D75" s="8"/>
      <c r="E75" s="8"/>
      <c r="F75" s="8">
        <v>1</v>
      </c>
      <c r="G75" s="8" t="s">
        <v>7</v>
      </c>
      <c r="H75" s="8">
        <v>1</v>
      </c>
      <c r="J75" t="s">
        <v>488</v>
      </c>
      <c r="K75">
        <v>1</v>
      </c>
      <c r="L75" t="s">
        <v>29</v>
      </c>
    </row>
    <row r="76" spans="1:12" x14ac:dyDescent="0.25">
      <c r="A76" s="8" t="s">
        <v>430</v>
      </c>
      <c r="B76" s="9"/>
      <c r="C76" s="8" t="s">
        <v>432</v>
      </c>
      <c r="D76" s="8"/>
      <c r="E76" s="8"/>
      <c r="F76" s="8">
        <v>1</v>
      </c>
      <c r="G76" s="8" t="s">
        <v>7</v>
      </c>
      <c r="H76" s="8">
        <v>1</v>
      </c>
    </row>
    <row r="77" spans="1:12" x14ac:dyDescent="0.25">
      <c r="A77" s="8" t="s">
        <v>208</v>
      </c>
      <c r="B77" s="9" t="s">
        <v>434</v>
      </c>
      <c r="C77" s="8"/>
      <c r="D77" s="8"/>
      <c r="E77" s="8"/>
      <c r="F77" s="8">
        <v>1</v>
      </c>
      <c r="G77" s="8" t="s">
        <v>7</v>
      </c>
      <c r="H77" s="8">
        <v>1</v>
      </c>
    </row>
    <row r="78" spans="1:12" x14ac:dyDescent="0.25">
      <c r="A78" s="8" t="s">
        <v>234</v>
      </c>
      <c r="B78" s="9"/>
      <c r="C78" s="8"/>
      <c r="D78" s="8"/>
      <c r="E78" s="8"/>
      <c r="F78" s="8">
        <v>1</v>
      </c>
      <c r="G78" s="8" t="s">
        <v>7</v>
      </c>
      <c r="H78" s="8">
        <v>1</v>
      </c>
    </row>
    <row r="79" spans="1:12" x14ac:dyDescent="0.25">
      <c r="A79" s="8" t="s">
        <v>284</v>
      </c>
      <c r="B79" s="9" t="s">
        <v>433</v>
      </c>
      <c r="C79" s="8"/>
      <c r="D79" s="8"/>
      <c r="E79" s="8"/>
      <c r="F79" s="8">
        <v>1</v>
      </c>
      <c r="G79" s="8" t="s">
        <v>7</v>
      </c>
      <c r="H79" s="8">
        <v>1</v>
      </c>
    </row>
    <row r="80" spans="1:12" x14ac:dyDescent="0.25">
      <c r="A80" s="8" t="s">
        <v>174</v>
      </c>
      <c r="B80" s="9" t="s">
        <v>461</v>
      </c>
      <c r="C80" s="8"/>
      <c r="D80" s="8"/>
      <c r="E80" s="8"/>
      <c r="F80" s="8">
        <v>2</v>
      </c>
      <c r="G80" s="8" t="s">
        <v>5</v>
      </c>
      <c r="H80" s="8">
        <v>1</v>
      </c>
    </row>
    <row r="81" spans="1:8" x14ac:dyDescent="0.25">
      <c r="A81" s="8" t="s">
        <v>174</v>
      </c>
      <c r="B81" s="9" t="s">
        <v>178</v>
      </c>
      <c r="C81" s="8"/>
      <c r="D81" s="8"/>
      <c r="E81" s="8"/>
      <c r="F81" s="8">
        <v>2</v>
      </c>
      <c r="G81" s="8" t="s">
        <v>5</v>
      </c>
      <c r="H81" s="8">
        <v>1</v>
      </c>
    </row>
    <row r="82" spans="1:8" x14ac:dyDescent="0.25">
      <c r="A82" s="8" t="s">
        <v>46</v>
      </c>
      <c r="B82" s="9"/>
      <c r="C82" s="8"/>
      <c r="D82" s="8"/>
      <c r="E82" s="8"/>
      <c r="F82" s="8">
        <v>3</v>
      </c>
      <c r="G82" s="8" t="s">
        <v>5</v>
      </c>
      <c r="H82" s="8">
        <v>1</v>
      </c>
    </row>
    <row r="83" spans="1:8" x14ac:dyDescent="0.25">
      <c r="A83" s="8" t="s">
        <v>462</v>
      </c>
      <c r="B83" s="9"/>
      <c r="C83" s="8"/>
      <c r="D83" s="8"/>
      <c r="E83" s="8"/>
      <c r="F83" s="8">
        <v>1</v>
      </c>
      <c r="G83" s="8" t="s">
        <v>5</v>
      </c>
      <c r="H83" s="8">
        <v>1</v>
      </c>
    </row>
    <row r="84" spans="1:8" x14ac:dyDescent="0.25">
      <c r="A84" s="8" t="s">
        <v>269</v>
      </c>
      <c r="B84" s="9" t="s">
        <v>463</v>
      </c>
      <c r="C84" s="8"/>
      <c r="D84" s="8" t="s">
        <v>464</v>
      </c>
      <c r="E84" s="8"/>
      <c r="F84" s="8">
        <v>1</v>
      </c>
      <c r="G84" s="8" t="s">
        <v>5</v>
      </c>
      <c r="H84" s="8">
        <v>1</v>
      </c>
    </row>
    <row r="85" spans="1:8" ht="30" x14ac:dyDescent="0.25">
      <c r="A85" s="8" t="s">
        <v>95</v>
      </c>
      <c r="B85" s="9" t="str">
        <f>bolso("Cajon de cuerdas trenzadas",Table69[])</f>
        <v xml:space="preserve">Cajon de cuerdas trenzadas Contiene:  Cuerda naranja de salvamento naval x2, </v>
      </c>
      <c r="C85" s="8"/>
      <c r="D85" s="8"/>
      <c r="E85" s="8"/>
      <c r="F85" s="8">
        <v>1</v>
      </c>
      <c r="G85" s="8" t="s">
        <v>5</v>
      </c>
      <c r="H85" s="8">
        <v>1</v>
      </c>
    </row>
    <row r="86" spans="1:8" x14ac:dyDescent="0.25">
      <c r="A86" s="8" t="s">
        <v>95</v>
      </c>
      <c r="B86" s="9" t="str">
        <f>bolso("Cajon de poda",Table69[])</f>
        <v xml:space="preserve">Cajon de poda Contiene:  Mameluco de seguridad para motosierras x1,  Casco de poda x1, </v>
      </c>
      <c r="C86" s="8"/>
      <c r="D86" s="8"/>
      <c r="E86" s="8"/>
      <c r="F86" s="8">
        <v>1</v>
      </c>
      <c r="G86" s="8" t="s">
        <v>5</v>
      </c>
      <c r="H86" s="8">
        <v>1</v>
      </c>
    </row>
    <row r="87" spans="1:8" ht="30" x14ac:dyDescent="0.25">
      <c r="A87" s="8" t="s">
        <v>95</v>
      </c>
      <c r="B87" s="9" t="str">
        <f>bolso("Cajon de botas wader",Table69[])</f>
        <v xml:space="preserve">Cajon de botas wader Contiene:  Botas wader x2, </v>
      </c>
      <c r="C87" s="8"/>
      <c r="D87" s="8"/>
      <c r="E87" s="8"/>
      <c r="F87" s="8">
        <v>1</v>
      </c>
      <c r="G87" s="8" t="s">
        <v>5</v>
      </c>
      <c r="H87" s="8">
        <v>1</v>
      </c>
    </row>
    <row r="88" spans="1:8" x14ac:dyDescent="0.25">
      <c r="A88" s="8" t="s">
        <v>95</v>
      </c>
      <c r="B88" s="8" t="str">
        <f>bolso("Cajon de guantes",Table69[])</f>
        <v xml:space="preserve">Cajon de guantes Contiene:  Guantes varios x1, </v>
      </c>
      <c r="C88" s="8"/>
      <c r="D88" s="8"/>
      <c r="E88" s="8"/>
      <c r="F88" s="8">
        <v>1</v>
      </c>
      <c r="G88" s="8" t="s">
        <v>5</v>
      </c>
      <c r="H88" s="8">
        <v>1</v>
      </c>
    </row>
    <row r="89" spans="1:8" x14ac:dyDescent="0.25">
      <c r="A89" s="8" t="s">
        <v>95</v>
      </c>
      <c r="B89" s="8" t="str">
        <f>bolso("Cajon de reservorios de agua",Table69[])</f>
        <v xml:space="preserve">Cajon de reservorios de agua Contiene:  Reservorios de auga x4, </v>
      </c>
      <c r="C89" s="8"/>
      <c r="D89" s="8"/>
      <c r="E89" s="8"/>
      <c r="F89" s="8">
        <v>1</v>
      </c>
      <c r="G89" s="8" t="s">
        <v>5</v>
      </c>
      <c r="H89" s="8">
        <v>1</v>
      </c>
    </row>
    <row r="90" spans="1:8" ht="120" x14ac:dyDescent="0.25">
      <c r="A90" s="8" t="s">
        <v>95</v>
      </c>
      <c r="B90" s="9" t="str">
        <f>bolso("Bolso de corte",Table69[])</f>
        <v xml:space="preserve">Bolso de corte Contiene:  Extractor NH  x1,  Pinza dielectrica x1,  Destornillador plano x2,  Destornillador phillips x2,  Martillo x1,  pinza de punta dielectrica x1,  Juego de llaves alem x3,  llave 19mm x1,  Llave 17mm x1,  llave 19 y 17mm x1,  llave 32mm x1,  llave 12mm x1,  llave 13mm x1,  llave 11 mm x1, </v>
      </c>
      <c r="C90" s="8"/>
      <c r="D90" s="8"/>
      <c r="E90" s="8"/>
      <c r="F90" s="8">
        <v>1</v>
      </c>
      <c r="G90" s="8" t="s">
        <v>5</v>
      </c>
      <c r="H90" s="8">
        <v>1</v>
      </c>
    </row>
    <row r="91" spans="1:8" x14ac:dyDescent="0.25">
      <c r="A91" s="8" t="s">
        <v>170</v>
      </c>
      <c r="B91" s="9" t="s">
        <v>489</v>
      </c>
      <c r="C91" s="8"/>
      <c r="D91" s="8"/>
      <c r="E91" s="8"/>
      <c r="F91" s="8">
        <v>1</v>
      </c>
      <c r="G91" s="8" t="s">
        <v>6</v>
      </c>
      <c r="H91" s="8">
        <v>1</v>
      </c>
    </row>
    <row r="92" spans="1:8" x14ac:dyDescent="0.25">
      <c r="A92" s="8" t="s">
        <v>170</v>
      </c>
      <c r="B92" s="9" t="s">
        <v>490</v>
      </c>
      <c r="C92" s="8"/>
      <c r="D92" s="8"/>
      <c r="E92" s="8"/>
      <c r="F92" s="8">
        <v>1</v>
      </c>
      <c r="G92" s="8" t="s">
        <v>6</v>
      </c>
      <c r="H92" s="8">
        <v>1</v>
      </c>
    </row>
    <row r="93" spans="1:8" x14ac:dyDescent="0.25">
      <c r="A93" s="8" t="s">
        <v>170</v>
      </c>
      <c r="B93" s="9" t="s">
        <v>491</v>
      </c>
      <c r="C93" s="8" t="s">
        <v>115</v>
      </c>
      <c r="D93" s="8"/>
      <c r="E93" s="8"/>
      <c r="F93" s="8">
        <v>1</v>
      </c>
      <c r="G93" s="8" t="s">
        <v>6</v>
      </c>
      <c r="H93" s="8">
        <v>1</v>
      </c>
    </row>
    <row r="94" spans="1:8" x14ac:dyDescent="0.25">
      <c r="A94" s="8" t="s">
        <v>269</v>
      </c>
      <c r="B94" s="9"/>
      <c r="C94" s="8"/>
      <c r="D94" s="8" t="s">
        <v>492</v>
      </c>
      <c r="E94" s="8"/>
      <c r="F94" s="8">
        <v>1</v>
      </c>
      <c r="G94" s="8" t="s">
        <v>6</v>
      </c>
      <c r="H94" s="8">
        <v>1</v>
      </c>
    </row>
    <row r="95" spans="1:8" x14ac:dyDescent="0.25">
      <c r="A95" s="8" t="s">
        <v>170</v>
      </c>
      <c r="B95" s="9" t="s">
        <v>493</v>
      </c>
      <c r="C95" s="8" t="s">
        <v>115</v>
      </c>
      <c r="D95" s="8"/>
      <c r="E95" s="8"/>
      <c r="F95" s="8">
        <v>1</v>
      </c>
      <c r="G95" s="8" t="s">
        <v>6</v>
      </c>
      <c r="H95" s="8">
        <v>2</v>
      </c>
    </row>
    <row r="96" spans="1:8" x14ac:dyDescent="0.25">
      <c r="A96" s="8" t="s">
        <v>170</v>
      </c>
      <c r="B96" s="9" t="s">
        <v>494</v>
      </c>
      <c r="C96" s="8"/>
      <c r="D96" s="8"/>
      <c r="E96" s="8"/>
      <c r="F96" s="8">
        <v>1</v>
      </c>
      <c r="G96" s="8" t="s">
        <v>6</v>
      </c>
      <c r="H96" s="8">
        <v>2</v>
      </c>
    </row>
    <row r="97" spans="1:8" x14ac:dyDescent="0.25">
      <c r="A97" s="8" t="s">
        <v>170</v>
      </c>
      <c r="B97" s="9" t="s">
        <v>495</v>
      </c>
      <c r="C97" s="8" t="s">
        <v>496</v>
      </c>
      <c r="D97" s="8"/>
      <c r="E97" s="8"/>
      <c r="F97" s="8">
        <v>3</v>
      </c>
      <c r="G97" s="8" t="s">
        <v>6</v>
      </c>
      <c r="H97" s="8">
        <v>2</v>
      </c>
    </row>
    <row r="98" spans="1:8" x14ac:dyDescent="0.25">
      <c r="A98" s="8" t="s">
        <v>170</v>
      </c>
      <c r="B98" s="9" t="s">
        <v>192</v>
      </c>
      <c r="C98" s="8"/>
      <c r="D98" s="8"/>
      <c r="E98" s="8"/>
      <c r="F98" s="8">
        <v>3</v>
      </c>
      <c r="G98" s="8" t="s">
        <v>6</v>
      </c>
      <c r="H98" s="8">
        <v>2</v>
      </c>
    </row>
    <row r="99" spans="1:8" x14ac:dyDescent="0.25">
      <c r="A99" s="8" t="s">
        <v>170</v>
      </c>
      <c r="B99" s="9" t="s">
        <v>497</v>
      </c>
      <c r="C99" s="8"/>
      <c r="D99" s="8"/>
      <c r="E99" s="8"/>
      <c r="F99" s="8">
        <v>1</v>
      </c>
      <c r="G99" s="8" t="s">
        <v>6</v>
      </c>
      <c r="H99" s="8">
        <v>2</v>
      </c>
    </row>
    <row r="100" spans="1:8" x14ac:dyDescent="0.25">
      <c r="A100" s="8" t="s">
        <v>170</v>
      </c>
      <c r="B100" s="9" t="s">
        <v>182</v>
      </c>
      <c r="C100" s="8"/>
      <c r="D100" s="8"/>
      <c r="E100" s="8"/>
      <c r="F100" s="8">
        <v>1</v>
      </c>
      <c r="G100" s="8" t="s">
        <v>6</v>
      </c>
      <c r="H100" s="8">
        <v>2</v>
      </c>
    </row>
    <row r="101" spans="1:8" x14ac:dyDescent="0.25">
      <c r="A101" s="8" t="s">
        <v>93</v>
      </c>
      <c r="B101" s="9" t="s">
        <v>498</v>
      </c>
      <c r="C101" s="8"/>
      <c r="D101" s="8"/>
      <c r="E101" s="8"/>
      <c r="F101" s="8">
        <v>1</v>
      </c>
      <c r="G101" s="8" t="s">
        <v>6</v>
      </c>
      <c r="H101" s="8">
        <v>2</v>
      </c>
    </row>
    <row r="102" spans="1:8" x14ac:dyDescent="0.25">
      <c r="A102" s="8" t="s">
        <v>170</v>
      </c>
      <c r="B102" s="9" t="s">
        <v>499</v>
      </c>
      <c r="C102" s="8"/>
      <c r="D102" s="8"/>
      <c r="E102" s="8"/>
      <c r="F102" s="8">
        <v>1</v>
      </c>
      <c r="G102" s="8" t="s">
        <v>6</v>
      </c>
      <c r="H102" s="8">
        <v>2</v>
      </c>
    </row>
    <row r="103" spans="1:8" x14ac:dyDescent="0.25">
      <c r="A103" s="8" t="s">
        <v>500</v>
      </c>
      <c r="B103" s="9"/>
      <c r="C103" s="8"/>
      <c r="D103" s="8"/>
      <c r="E103" s="8"/>
      <c r="F103" s="8">
        <v>2</v>
      </c>
      <c r="G103" s="8" t="s">
        <v>6</v>
      </c>
      <c r="H103" s="8">
        <v>2</v>
      </c>
    </row>
    <row r="104" spans="1:8" x14ac:dyDescent="0.25">
      <c r="A104" s="8" t="s">
        <v>501</v>
      </c>
      <c r="B104" s="9"/>
      <c r="C104" s="8"/>
      <c r="D104" s="8"/>
      <c r="E104" s="8"/>
      <c r="F104" s="8">
        <v>2</v>
      </c>
      <c r="G104" s="8" t="s">
        <v>6</v>
      </c>
      <c r="H104" s="8">
        <v>2</v>
      </c>
    </row>
    <row r="105" spans="1:8" x14ac:dyDescent="0.25">
      <c r="A105" s="8" t="s">
        <v>502</v>
      </c>
      <c r="B105" s="9"/>
      <c r="C105" s="8"/>
      <c r="D105" s="8"/>
      <c r="E105" s="8"/>
      <c r="F105" s="8">
        <v>1</v>
      </c>
      <c r="G105" s="8" t="s">
        <v>6</v>
      </c>
      <c r="H105" s="8">
        <v>2</v>
      </c>
    </row>
    <row r="106" spans="1:8" x14ac:dyDescent="0.25">
      <c r="A106" s="8" t="s">
        <v>112</v>
      </c>
      <c r="B106" s="9"/>
      <c r="C106" s="8" t="s">
        <v>115</v>
      </c>
      <c r="D106" s="8"/>
      <c r="E106" s="8"/>
      <c r="F106" s="8">
        <v>9</v>
      </c>
      <c r="G106" s="8" t="s">
        <v>6</v>
      </c>
      <c r="H106" s="8">
        <v>3</v>
      </c>
    </row>
    <row r="107" spans="1:8" x14ac:dyDescent="0.25">
      <c r="A107" s="8" t="s">
        <v>112</v>
      </c>
      <c r="B107" s="9"/>
      <c r="C107" s="8" t="s">
        <v>503</v>
      </c>
      <c r="D107" s="8"/>
      <c r="E107" s="8"/>
      <c r="F107" s="8">
        <v>1</v>
      </c>
      <c r="G107" s="8" t="s">
        <v>6</v>
      </c>
      <c r="H107" s="8">
        <v>3</v>
      </c>
    </row>
    <row r="108" spans="1:8" x14ac:dyDescent="0.25">
      <c r="A108" s="8" t="s">
        <v>112</v>
      </c>
      <c r="B108" s="9"/>
      <c r="C108" s="8" t="s">
        <v>114</v>
      </c>
      <c r="D108" s="8"/>
      <c r="E108" s="8"/>
      <c r="F108" s="8">
        <v>1</v>
      </c>
      <c r="G108" s="8" t="s">
        <v>6</v>
      </c>
      <c r="H108" s="8">
        <v>3</v>
      </c>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P3:U3"/>
  </mergeCells>
  <dataValidations count="5">
    <dataValidation type="list" allowBlank="1" showInputMessage="1" showErrorMessage="1" sqref="C1 C7:C8 C11 C14:C15" xr:uid="{6488A263-FF48-4FEC-80AE-35972CA5F9FC}">
      <formula1>Medidas</formula1>
    </dataValidation>
    <dataValidation type="list" allowBlank="1" showInputMessage="1" showErrorMessage="1" sqref="A135:A136 A71:A102 A112:A117 A119:A128 A130:A133 A1 A3:A5 A7:A23 A25:A35 A37 A39:A50 A53:A55 A57:A58 A60 A63:A64 A66:A67 A105:A108" xr:uid="{249731DF-BADE-46D9-B5A8-B3EC2C698D09}">
      <formula1>categorias</formula1>
    </dataValidation>
    <dataValidation type="list" allowBlank="1" showInputMessage="1" showErrorMessage="1" sqref="G1:G1048576" xr:uid="{EAE55E3E-F157-4ACD-9F01-0379DB70EB22}">
      <formula1>CajonerasM41</formula1>
    </dataValidation>
    <dataValidation type="list" allowBlank="1" showInputMessage="1" showErrorMessage="1" sqref="H1:H65 H72:H1048576" xr:uid="{8D07CF95-E038-4BE1-B6BC-565113CE26F8}">
      <formula1>INDEX(CompartimientosM41,0,MATCH(OFFSET(INDIRECT(ADDRESS(ROW(), COLUMN())),0,-1),CajonerasM41,0))</formula1>
    </dataValidation>
    <dataValidation type="list" allowBlank="1" showInputMessage="1" showErrorMessage="1" sqref="L1:L8 L13:L14 L18:L19 L60:L1048576" xr:uid="{3501184E-8C21-4DF3-96BD-848BE0E51833}">
      <formula1>BolsosM41</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23">
        <x14:dataValidation type="list" allowBlank="1" showInputMessage="1" showErrorMessage="1" xr:uid="{67854B83-72E2-45DA-9537-3BF59273EE52}">
          <x14:formula1>
            <xm:f>Configuracion!$I$2:$I$7</xm:f>
          </x14:formula1>
          <xm:sqref>C136</xm:sqref>
        </x14:dataValidation>
        <x14:dataValidation type="list" allowBlank="1" showInputMessage="1" showErrorMessage="1" xr:uid="{0AAD383A-03C3-4E13-9B24-0444E0D14AD0}">
          <x14:formula1>
            <xm:f>Configuracion!$N$2:$N$9</xm:f>
          </x14:formula1>
          <xm:sqref>C120 C122</xm:sqref>
        </x14:dataValidation>
        <x14:dataValidation type="list" allowBlank="1" showInputMessage="1" showErrorMessage="1" xr:uid="{20157323-4604-4339-B969-E099A9C4E516}">
          <x14:formula1>
            <xm:f>Configuracion!$S$2:$S$10</xm:f>
          </x14:formula1>
          <xm:sqref>C96 C100:C101 C105 C6</xm:sqref>
        </x14:dataValidation>
        <x14:dataValidation type="list" allowBlank="1" showInputMessage="1" showErrorMessage="1" xr:uid="{348463CC-A3D8-448B-A233-5B714E9220AA}">
          <x14:formula1>
            <xm:f>Configuracion!$J$2:$J$5</xm:f>
          </x14:formula1>
          <xm:sqref>C25 C9:C10</xm:sqref>
        </x14:dataValidation>
        <x14:dataValidation type="list" allowBlank="1" showInputMessage="1" showErrorMessage="1" xr:uid="{7CF9AAF4-F6D4-4201-A507-D1FA1BD400B1}">
          <x14:formula1>
            <xm:f>Configuracion!$H$2:$H$6</xm:f>
          </x14:formula1>
          <xm:sqref>C21</xm:sqref>
        </x14:dataValidation>
        <x14:dataValidation type="list" allowBlank="1" showInputMessage="1" showErrorMessage="1" xr:uid="{74D6D946-EE5D-4B5F-9B13-A84781F0439B}">
          <x14:formula1>
            <xm:f>Configuracion!$H$2:$H$5</xm:f>
          </x14:formula1>
          <xm:sqref>C2</xm:sqref>
        </x14:dataValidation>
        <x14:dataValidation type="list" allowBlank="1" showInputMessage="1" showErrorMessage="1" xr:uid="{A0D77706-37A9-473C-89C7-A50B74CFECB3}">
          <x14:formula1>
            <xm:f>Configuracion!$Q$2:$Q$7</xm:f>
          </x14:formula1>
          <xm:sqref>C66:C67 C53 C70</xm:sqref>
        </x14:dataValidation>
        <x14:dataValidation type="list" allowBlank="1" showInputMessage="1" showErrorMessage="1" xr:uid="{9DD0FA53-D1D4-4A18-BC09-3B50E1E5518A}">
          <x14:formula1>
            <xm:f>Configuracion!$F$2:$F$10</xm:f>
          </x14:formula1>
          <xm:sqref>C64:C65 C125:C126</xm:sqref>
        </x14:dataValidation>
        <x14:dataValidation type="list" allowBlank="1" showInputMessage="1" showErrorMessage="1" xr:uid="{F1A00B96-EC87-4348-BB58-05A8B9CFC5FC}">
          <x14:formula1>
            <xm:f>Configuracion!$F$2:$F$9</xm:f>
          </x14:formula1>
          <xm:sqref>C63</xm:sqref>
        </x14:dataValidation>
        <x14:dataValidation type="list" allowBlank="1" showInputMessage="1" showErrorMessage="1" xr:uid="{75F0A6A2-119A-407D-BEAC-509EA9493C15}">
          <x14:formula1>
            <xm:f>Configuracion!$O$2:$O$7</xm:f>
          </x14:formula1>
          <xm:sqref>C38</xm:sqref>
        </x14:dataValidation>
        <x14:dataValidation type="list" allowBlank="1" showInputMessage="1" showErrorMessage="1" xr:uid="{C9D009DD-D1F8-4D64-B39F-C804C97124A3}">
          <x14:formula1>
            <xm:f>Configuracion!$F$2:$F$7</xm:f>
          </x14:formula1>
          <xm:sqref>C32</xm:sqref>
        </x14:dataValidation>
        <x14:dataValidation type="list" allowBlank="1" showInputMessage="1" showErrorMessage="1" xr:uid="{A51727B2-9D46-4E8B-B66F-93A64453285F}">
          <x14:formula1>
            <xm:f>Configuracion!$F$2:$F$6</xm:f>
          </x14:formula1>
          <xm:sqref>C30</xm:sqref>
        </x14:dataValidation>
        <x14:dataValidation type="list" allowBlank="1" showInputMessage="1" showErrorMessage="1" xr:uid="{53B4B296-9EBD-47C0-BB68-C57FA44A3C14}">
          <x14:formula1>
            <xm:f>Configuracion!$N$2:$N$6</xm:f>
          </x14:formula1>
          <xm:sqref>C5</xm:sqref>
        </x14:dataValidation>
        <x14:dataValidation type="list" allowBlank="1" showInputMessage="1" showErrorMessage="1" xr:uid="{E79B9A48-09A9-4697-8A22-965963A355E4}">
          <x14:formula1>
            <xm:f>Configuracion!$I$2:$I$5</xm:f>
          </x14:formula1>
          <xm:sqref>C3</xm:sqref>
        </x14:dataValidation>
        <x14:dataValidation type="list" allowBlank="1" showInputMessage="1" showErrorMessage="1" xr:uid="{22FADA56-8558-4B6E-BC89-7BD142B04764}">
          <x14:formula1>
            <xm:f>Configuracion!$F$2:$F$5</xm:f>
          </x14:formula1>
          <xm:sqref>C13 C28:C29</xm:sqref>
        </x14:dataValidation>
        <x14:dataValidation type="list" allowBlank="1" showInputMessage="1" showErrorMessage="1" xr:uid="{E17386E0-AC06-42F7-9A03-1A1C5C5C8C58}">
          <x14:formula1>
            <xm:f>Configuracion!$G$2:$G$3</xm:f>
          </x14:formula1>
          <xm:sqref>C27 C31 C127:C128</xm:sqref>
        </x14:dataValidation>
        <x14:dataValidation type="list" allowBlank="1" showInputMessage="1" showErrorMessage="1" xr:uid="{660548EC-BEBB-4E79-9559-1077CB028D8F}">
          <x14:formula1>
            <xm:f>Configuracion!$G$2:$G$5</xm:f>
          </x14:formula1>
          <xm:sqref>C12 C26</xm:sqref>
        </x14:dataValidation>
        <x14:dataValidation type="list" allowBlank="1" showInputMessage="1" showErrorMessage="1" xr:uid="{D1A81AEF-EA65-4688-8784-3C98A5D3FA5A}">
          <x14:formula1>
            <xm:f>Configuracion!$K$2:$K$4</xm:f>
          </x14:formula1>
          <xm:sqref>C4 C24</xm:sqref>
        </x14:dataValidation>
        <x14:dataValidation type="list" allowBlank="1" showInputMessage="1" showErrorMessage="1" xr:uid="{C6C77D14-28E4-4A53-8FAE-67503382FDFB}">
          <x14:formula1>
            <xm:f>Configuracion!$S$2:$S$11</xm:f>
          </x14:formula1>
          <xm:sqref>C22 C33 C35 C49 C80 C85 C94</xm:sqref>
        </x14:dataValidation>
        <x14:dataValidation type="list" allowBlank="1" showInputMessage="1" showErrorMessage="1" xr:uid="{2D2E3327-F058-4626-936F-59F63D72BAD9}">
          <x14:formula1>
            <xm:f>Configuracion!$F$2:$F$11</xm:f>
          </x14:formula1>
          <xm:sqref>C74</xm:sqref>
        </x14:dataValidation>
        <x14:dataValidation type="list" allowBlank="1" showInputMessage="1" showErrorMessage="1" xr:uid="{BB7F13D5-A9C9-4FC6-A2EA-0B6B3BCE317D}">
          <x14:formula1>
            <xm:f>Configuracion!$P$2:$P$3</xm:f>
          </x14:formula1>
          <xm:sqref>C106</xm:sqref>
        </x14:dataValidation>
        <x14:dataValidation type="list" allowBlank="1" showInputMessage="1" showErrorMessage="1" xr:uid="{908242DD-9C82-4F6E-A71A-A09229CBA672}">
          <x14:formula1>
            <xm:f>Configuracion!$P$2:$P$4</xm:f>
          </x14:formula1>
          <xm:sqref>C52</xm:sqref>
        </x14:dataValidation>
        <x14:dataValidation type="list" allowBlank="1" showInputMessage="1" showErrorMessage="1" xr:uid="{9C350AA2-1100-474A-8CAE-31E54BA6A034}">
          <x14:formula1>
            <xm:f>Configuracion!$P$2:$P$5</xm:f>
          </x14:formula1>
          <xm:sqref>C107:C108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86B45-9186-4236-84A3-0FC2BCA17883}">
  <sheetPr codeName="Sheet5"/>
  <dimension ref="A1:U136"/>
  <sheetViews>
    <sheetView topLeftCell="J1" workbookViewId="0">
      <selection activeCell="G8" sqref="G8"/>
    </sheetView>
  </sheetViews>
  <sheetFormatPr defaultRowHeight="15" x14ac:dyDescent="0.25"/>
  <cols>
    <col min="1" max="1" width="26.42578125" bestFit="1" customWidth="1"/>
    <col min="2" max="2" width="37.42578125" style="10"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2" max="12" width="26.85546875" bestFit="1" customWidth="1"/>
    <col min="14" max="14" width="26.85546875" bestFit="1" customWidth="1"/>
    <col min="16" max="21" width="12.5703125" bestFit="1" customWidth="1"/>
  </cols>
  <sheetData>
    <row r="1" spans="1:21" x14ac:dyDescent="0.25">
      <c r="A1" s="6" t="s">
        <v>0</v>
      </c>
      <c r="B1" s="7" t="s">
        <v>1</v>
      </c>
      <c r="C1" s="6" t="s">
        <v>2</v>
      </c>
      <c r="D1" s="6" t="s">
        <v>3</v>
      </c>
      <c r="E1" s="6" t="s">
        <v>4</v>
      </c>
      <c r="F1" s="6" t="s">
        <v>264</v>
      </c>
      <c r="G1" s="6" t="s">
        <v>13</v>
      </c>
      <c r="H1" s="6" t="s">
        <v>256</v>
      </c>
    </row>
    <row r="2" spans="1:21" x14ac:dyDescent="0.25">
      <c r="A2" t="s">
        <v>32</v>
      </c>
      <c r="B2" s="9"/>
      <c r="C2" t="s">
        <v>320</v>
      </c>
      <c r="D2" s="8"/>
      <c r="E2" s="8" t="s">
        <v>321</v>
      </c>
      <c r="F2" s="8">
        <v>1</v>
      </c>
      <c r="G2" s="8" t="s">
        <v>8</v>
      </c>
      <c r="H2" s="8">
        <v>1</v>
      </c>
    </row>
    <row r="3" spans="1:21" x14ac:dyDescent="0.25">
      <c r="A3" s="8" t="s">
        <v>11</v>
      </c>
      <c r="B3" s="9"/>
      <c r="C3" t="s">
        <v>322</v>
      </c>
      <c r="D3" s="8"/>
      <c r="E3" s="8"/>
      <c r="F3" s="8">
        <v>5</v>
      </c>
      <c r="G3" s="8" t="s">
        <v>8</v>
      </c>
      <c r="H3" s="8">
        <v>1</v>
      </c>
      <c r="J3" t="s">
        <v>16</v>
      </c>
      <c r="K3" t="s">
        <v>18</v>
      </c>
      <c r="L3" t="s">
        <v>14</v>
      </c>
      <c r="N3" t="s">
        <v>28</v>
      </c>
      <c r="P3" s="12" t="s">
        <v>254</v>
      </c>
      <c r="Q3" s="12"/>
      <c r="R3" s="12"/>
      <c r="S3" s="12"/>
      <c r="T3" s="12"/>
      <c r="U3" s="12"/>
    </row>
    <row r="4" spans="1:21" x14ac:dyDescent="0.25">
      <c r="A4" s="8" t="s">
        <v>187</v>
      </c>
      <c r="B4" s="9"/>
      <c r="C4" s="8" t="s">
        <v>323</v>
      </c>
      <c r="D4" s="8"/>
      <c r="E4" s="8"/>
      <c r="F4" s="8">
        <v>1</v>
      </c>
      <c r="G4" s="8" t="s">
        <v>324</v>
      </c>
      <c r="H4" s="8">
        <v>1</v>
      </c>
      <c r="P4" t="s">
        <v>8</v>
      </c>
      <c r="Q4" t="s">
        <v>5</v>
      </c>
      <c r="R4" t="s">
        <v>324</v>
      </c>
      <c r="S4" t="s">
        <v>36</v>
      </c>
      <c r="T4" t="s">
        <v>7</v>
      </c>
    </row>
    <row r="5" spans="1:21" x14ac:dyDescent="0.25">
      <c r="A5" s="8" t="s">
        <v>35</v>
      </c>
      <c r="B5" s="9" t="s">
        <v>325</v>
      </c>
      <c r="C5" s="8" t="s">
        <v>326</v>
      </c>
      <c r="D5" s="8"/>
      <c r="E5" s="8"/>
      <c r="F5" s="8">
        <v>1</v>
      </c>
      <c r="G5" s="8" t="s">
        <v>36</v>
      </c>
      <c r="H5" s="8">
        <v>1</v>
      </c>
      <c r="P5">
        <v>1</v>
      </c>
      <c r="Q5">
        <v>1</v>
      </c>
      <c r="R5">
        <v>1</v>
      </c>
      <c r="S5">
        <v>1</v>
      </c>
      <c r="T5">
        <v>1</v>
      </c>
    </row>
    <row r="6" spans="1:21" x14ac:dyDescent="0.25">
      <c r="A6" s="8" t="s">
        <v>40</v>
      </c>
      <c r="B6" s="9" t="s">
        <v>327</v>
      </c>
      <c r="C6" s="8" t="s">
        <v>41</v>
      </c>
      <c r="D6" s="8"/>
      <c r="E6" s="11"/>
      <c r="F6" s="8">
        <v>1</v>
      </c>
      <c r="G6" s="8" t="s">
        <v>36</v>
      </c>
      <c r="H6" s="8">
        <v>1</v>
      </c>
    </row>
    <row r="7" spans="1:21" x14ac:dyDescent="0.25">
      <c r="A7" s="8" t="s">
        <v>146</v>
      </c>
      <c r="B7" s="9"/>
      <c r="C7" s="8"/>
      <c r="D7" s="8"/>
      <c r="E7" s="8"/>
      <c r="F7" s="8">
        <v>2</v>
      </c>
      <c r="G7" s="8" t="s">
        <v>36</v>
      </c>
      <c r="H7" s="8">
        <v>1</v>
      </c>
    </row>
    <row r="8" spans="1:21" x14ac:dyDescent="0.25">
      <c r="A8" s="8" t="s">
        <v>32</v>
      </c>
      <c r="B8" s="9"/>
      <c r="C8" s="8" t="s">
        <v>52</v>
      </c>
      <c r="D8" s="8" t="s">
        <v>328</v>
      </c>
      <c r="E8" s="8"/>
      <c r="F8" s="8">
        <v>1</v>
      </c>
      <c r="G8" s="8" t="s">
        <v>5</v>
      </c>
      <c r="H8" s="8">
        <v>1</v>
      </c>
    </row>
    <row r="9" spans="1:21" x14ac:dyDescent="0.25">
      <c r="A9" s="8" t="s">
        <v>11</v>
      </c>
      <c r="B9" s="9" t="s">
        <v>329</v>
      </c>
      <c r="C9" s="8" t="s">
        <v>130</v>
      </c>
      <c r="D9" s="8"/>
      <c r="E9" s="8"/>
      <c r="F9" s="8">
        <v>2</v>
      </c>
      <c r="G9" s="8" t="s">
        <v>5</v>
      </c>
      <c r="H9" s="8">
        <v>1</v>
      </c>
    </row>
    <row r="10" spans="1:21" x14ac:dyDescent="0.25">
      <c r="A10" s="8" t="s">
        <v>32</v>
      </c>
      <c r="B10" s="9" t="s">
        <v>331</v>
      </c>
      <c r="C10" s="8" t="s">
        <v>52</v>
      </c>
      <c r="D10" s="8" t="s">
        <v>330</v>
      </c>
      <c r="E10" s="8"/>
      <c r="F10" s="8">
        <v>2</v>
      </c>
      <c r="G10" s="8" t="s">
        <v>7</v>
      </c>
      <c r="H10" s="8">
        <v>1</v>
      </c>
    </row>
    <row r="11" spans="1:21" x14ac:dyDescent="0.25">
      <c r="A11" s="8" t="s">
        <v>170</v>
      </c>
      <c r="B11" s="9" t="s">
        <v>26</v>
      </c>
      <c r="C11" s="8"/>
      <c r="D11" s="8"/>
      <c r="E11" s="8"/>
      <c r="F11" s="8">
        <v>1</v>
      </c>
      <c r="G11" s="8" t="s">
        <v>7</v>
      </c>
      <c r="H11" s="8">
        <v>1</v>
      </c>
    </row>
    <row r="12" spans="1:21" x14ac:dyDescent="0.25">
      <c r="A12" s="8" t="s">
        <v>232</v>
      </c>
      <c r="B12" s="9" t="s">
        <v>332</v>
      </c>
      <c r="C12" s="8"/>
      <c r="D12" s="8"/>
      <c r="E12" s="8"/>
      <c r="F12" s="8">
        <v>1</v>
      </c>
      <c r="G12" s="8" t="s">
        <v>7</v>
      </c>
      <c r="H12" s="8">
        <v>1</v>
      </c>
    </row>
    <row r="13" spans="1:21" x14ac:dyDescent="0.25">
      <c r="A13" s="8" t="s">
        <v>44</v>
      </c>
      <c r="B13" s="9"/>
      <c r="C13" s="8" t="s">
        <v>68</v>
      </c>
      <c r="D13" s="8"/>
      <c r="E13" s="8"/>
      <c r="F13" s="8">
        <v>1</v>
      </c>
      <c r="G13" s="8" t="s">
        <v>7</v>
      </c>
      <c r="H13" s="8">
        <v>1</v>
      </c>
    </row>
    <row r="14" spans="1:21" x14ac:dyDescent="0.25">
      <c r="A14" s="8" t="s">
        <v>43</v>
      </c>
      <c r="B14" s="9" t="s">
        <v>69</v>
      </c>
      <c r="C14" s="8" t="s">
        <v>67</v>
      </c>
      <c r="D14" s="8"/>
      <c r="E14" s="8"/>
      <c r="F14" s="8">
        <v>2</v>
      </c>
      <c r="G14" s="8" t="s">
        <v>7</v>
      </c>
      <c r="H14" s="8">
        <v>1</v>
      </c>
    </row>
    <row r="15" spans="1:21" x14ac:dyDescent="0.25">
      <c r="A15" s="8" t="s">
        <v>44</v>
      </c>
      <c r="B15" s="9" t="s">
        <v>334</v>
      </c>
      <c r="C15" s="8" t="s">
        <v>333</v>
      </c>
      <c r="D15" s="8"/>
      <c r="E15" s="8"/>
      <c r="F15" s="8">
        <v>1</v>
      </c>
      <c r="G15" s="8" t="s">
        <v>7</v>
      </c>
      <c r="H15" s="8">
        <v>1</v>
      </c>
    </row>
    <row r="16" spans="1:21" x14ac:dyDescent="0.25">
      <c r="A16" s="8" t="s">
        <v>43</v>
      </c>
      <c r="B16" s="9" t="s">
        <v>273</v>
      </c>
      <c r="C16" s="8" t="s">
        <v>67</v>
      </c>
      <c r="D16" s="8"/>
      <c r="E16" s="8"/>
      <c r="F16" s="8">
        <v>2</v>
      </c>
      <c r="G16" s="8" t="s">
        <v>7</v>
      </c>
      <c r="H16" s="8">
        <v>1</v>
      </c>
    </row>
    <row r="17" spans="1:8" x14ac:dyDescent="0.25">
      <c r="A17" s="8"/>
      <c r="B17" s="9"/>
      <c r="C17" s="8"/>
      <c r="D17" s="8"/>
      <c r="E17" s="8"/>
      <c r="F17" s="8"/>
      <c r="G17" s="8"/>
      <c r="H17" s="8"/>
    </row>
    <row r="18" spans="1:8" x14ac:dyDescent="0.25">
      <c r="A18" s="8"/>
      <c r="B18" s="9"/>
      <c r="C18" s="8"/>
      <c r="D18" s="8"/>
      <c r="E18" s="8"/>
      <c r="F18" s="8"/>
      <c r="G18" s="8"/>
      <c r="H18" s="8"/>
    </row>
    <row r="19" spans="1:8" x14ac:dyDescent="0.25">
      <c r="A19" s="8"/>
      <c r="B19" s="9"/>
      <c r="C19" s="8"/>
      <c r="D19" s="8"/>
      <c r="E19" s="8"/>
      <c r="F19" s="8"/>
      <c r="G19" s="8"/>
      <c r="H19" s="8"/>
    </row>
    <row r="20" spans="1:8" x14ac:dyDescent="0.25">
      <c r="A20" s="8"/>
      <c r="B20" s="9"/>
      <c r="C20" s="8"/>
      <c r="D20" s="8"/>
      <c r="E20" s="8"/>
      <c r="F20" s="8"/>
      <c r="G20" s="8"/>
      <c r="H20" s="8"/>
    </row>
    <row r="21" spans="1:8" x14ac:dyDescent="0.25">
      <c r="A21" s="8"/>
      <c r="B21" s="9"/>
      <c r="C21" s="8"/>
      <c r="D21" s="8"/>
      <c r="E21" s="8"/>
      <c r="F21" s="8"/>
      <c r="G21" s="8"/>
      <c r="H21" s="8"/>
    </row>
    <row r="22" spans="1:8" x14ac:dyDescent="0.25">
      <c r="A22" s="8"/>
      <c r="B22" s="9"/>
      <c r="C22" s="8"/>
      <c r="D22" s="8"/>
      <c r="E22" s="8"/>
      <c r="F22" s="8"/>
      <c r="G22" s="8"/>
      <c r="H22" s="8"/>
    </row>
    <row r="23" spans="1:8" x14ac:dyDescent="0.25">
      <c r="A23" s="8"/>
      <c r="B23" s="9"/>
      <c r="C23" s="8"/>
      <c r="D23" s="8"/>
      <c r="E23" s="8"/>
      <c r="F23" s="8"/>
      <c r="G23" s="8"/>
      <c r="H23" s="8"/>
    </row>
    <row r="24" spans="1:8" x14ac:dyDescent="0.25">
      <c r="A24" s="8"/>
      <c r="B24" s="9"/>
      <c r="C24" s="8"/>
      <c r="D24" s="8"/>
      <c r="E24" s="8"/>
      <c r="F24" s="8"/>
      <c r="G24" s="8"/>
      <c r="H24" s="8"/>
    </row>
    <row r="25" spans="1:8" x14ac:dyDescent="0.25">
      <c r="A25" s="8"/>
      <c r="B25" s="9"/>
      <c r="C25" s="8"/>
      <c r="D25" s="8"/>
      <c r="E25" s="8"/>
      <c r="F25" s="8"/>
      <c r="G25" s="8"/>
      <c r="H25" s="8"/>
    </row>
    <row r="26" spans="1:8" x14ac:dyDescent="0.25">
      <c r="A26" s="8"/>
      <c r="B26" s="9"/>
      <c r="C26" s="8"/>
      <c r="D26" s="8"/>
      <c r="E26" s="8"/>
      <c r="F26" s="8"/>
      <c r="G26" s="8"/>
      <c r="H26" s="8"/>
    </row>
    <row r="27" spans="1:8" x14ac:dyDescent="0.25">
      <c r="A27" s="8"/>
      <c r="B27" s="9"/>
      <c r="C27" s="8"/>
      <c r="D27" s="8"/>
      <c r="E27" s="8"/>
      <c r="F27" s="8"/>
      <c r="G27" s="8"/>
      <c r="H27" s="8"/>
    </row>
    <row r="28" spans="1:8" x14ac:dyDescent="0.25">
      <c r="A28" s="8"/>
      <c r="B28" s="9"/>
      <c r="C28" s="8"/>
      <c r="D28" s="8"/>
      <c r="E28" s="8"/>
      <c r="F28" s="8"/>
      <c r="G28" s="8"/>
      <c r="H28" s="8"/>
    </row>
    <row r="29" spans="1:8" x14ac:dyDescent="0.25">
      <c r="A29" s="8"/>
      <c r="B29" s="9"/>
      <c r="C29" s="8"/>
      <c r="D29" s="8"/>
      <c r="E29" s="8"/>
      <c r="F29" s="8"/>
      <c r="G29" s="8"/>
      <c r="H29" s="8"/>
    </row>
    <row r="30" spans="1:8" x14ac:dyDescent="0.25">
      <c r="A30" s="8"/>
      <c r="B30" s="9"/>
      <c r="C30" s="8"/>
      <c r="D30" s="8"/>
      <c r="E30" s="8"/>
      <c r="F30" s="8"/>
      <c r="G30" s="8"/>
      <c r="H30" s="8"/>
    </row>
    <row r="31" spans="1:8" x14ac:dyDescent="0.25">
      <c r="A31" s="8"/>
      <c r="B31" s="9"/>
      <c r="C31" s="8"/>
      <c r="D31" s="8"/>
      <c r="E31" s="8"/>
      <c r="F31" s="8"/>
      <c r="G31" s="8"/>
      <c r="H31" s="8"/>
    </row>
    <row r="32" spans="1:8" x14ac:dyDescent="0.25">
      <c r="A32" s="8"/>
      <c r="B32" s="9"/>
      <c r="C32" s="8"/>
      <c r="D32" s="8"/>
      <c r="E32" s="8"/>
      <c r="F32" s="8"/>
      <c r="G32" s="8"/>
      <c r="H32" s="8"/>
    </row>
    <row r="33" spans="1:8" x14ac:dyDescent="0.25">
      <c r="A33" s="8"/>
      <c r="B33" s="9"/>
      <c r="C33" s="8"/>
      <c r="D33" s="8"/>
      <c r="E33" s="8"/>
      <c r="F33" s="8"/>
      <c r="G33" s="8"/>
      <c r="H33" s="8"/>
    </row>
    <row r="34" spans="1:8" x14ac:dyDescent="0.25">
      <c r="A34" s="8"/>
      <c r="B34" s="9"/>
      <c r="C34" s="8"/>
      <c r="D34" s="8"/>
      <c r="E34" s="8"/>
      <c r="F34" s="8"/>
      <c r="G34" s="8"/>
      <c r="H34" s="8"/>
    </row>
    <row r="35" spans="1:8" x14ac:dyDescent="0.25">
      <c r="A35" s="8"/>
      <c r="B35" s="9"/>
      <c r="C35" s="8"/>
      <c r="D35" s="8"/>
      <c r="E35" s="8"/>
      <c r="F35" s="8"/>
      <c r="G35" s="8"/>
      <c r="H35" s="8"/>
    </row>
    <row r="36" spans="1:8" x14ac:dyDescent="0.25">
      <c r="A36" s="8"/>
      <c r="B36" s="9"/>
      <c r="C36" s="8"/>
      <c r="D36" s="8"/>
      <c r="E36" s="8"/>
      <c r="F36" s="8"/>
      <c r="G36" s="8"/>
      <c r="H36" s="8"/>
    </row>
    <row r="37" spans="1:8" x14ac:dyDescent="0.25">
      <c r="A37" s="8"/>
      <c r="B37" s="9"/>
      <c r="C37" s="8"/>
      <c r="D37" s="8"/>
      <c r="E37" s="8"/>
      <c r="F37" s="8"/>
      <c r="G37" s="8"/>
      <c r="H37" s="8"/>
    </row>
    <row r="38" spans="1:8" x14ac:dyDescent="0.25">
      <c r="A38" s="8"/>
      <c r="B38" s="9"/>
      <c r="C38" s="8"/>
      <c r="D38" s="8"/>
      <c r="E38" s="8"/>
      <c r="F38" s="8"/>
      <c r="G38" s="8"/>
      <c r="H38" s="8"/>
    </row>
    <row r="39" spans="1:8" x14ac:dyDescent="0.25">
      <c r="A39" s="8"/>
      <c r="B39" s="9"/>
      <c r="C39" s="8"/>
      <c r="D39" s="8"/>
      <c r="E39" s="8"/>
      <c r="F39" s="8"/>
      <c r="G39" s="8"/>
      <c r="H39" s="8"/>
    </row>
    <row r="40" spans="1:8" x14ac:dyDescent="0.25">
      <c r="A40" s="8"/>
      <c r="B40" s="9"/>
      <c r="C40" s="8"/>
      <c r="D40" s="8"/>
      <c r="E40" s="8"/>
      <c r="F40" s="8"/>
      <c r="G40" s="8"/>
      <c r="H40" s="8"/>
    </row>
    <row r="41" spans="1:8" x14ac:dyDescent="0.25">
      <c r="A41" s="8"/>
      <c r="B41" s="9"/>
      <c r="C41" s="8"/>
      <c r="D41" s="8"/>
      <c r="E41" s="8"/>
      <c r="F41" s="8"/>
      <c r="G41" s="8"/>
      <c r="H41" s="8"/>
    </row>
    <row r="42" spans="1:8" x14ac:dyDescent="0.25">
      <c r="A42" s="8"/>
      <c r="B42" s="9"/>
      <c r="C42" s="8"/>
      <c r="D42" s="8"/>
      <c r="E42" s="8"/>
      <c r="F42" s="8"/>
      <c r="G42" s="8"/>
      <c r="H42" s="8"/>
    </row>
    <row r="43" spans="1:8" x14ac:dyDescent="0.25">
      <c r="A43" s="8"/>
      <c r="B43" s="9"/>
      <c r="C43" s="8"/>
      <c r="D43" s="8"/>
      <c r="E43" s="8"/>
      <c r="F43" s="8"/>
      <c r="G43" s="8"/>
      <c r="H43" s="8"/>
    </row>
    <row r="44" spans="1:8" x14ac:dyDescent="0.25">
      <c r="A44" s="8"/>
      <c r="B44" s="9"/>
      <c r="C44" s="8"/>
      <c r="D44" s="8"/>
      <c r="E44" s="8"/>
      <c r="F44" s="8"/>
      <c r="G44" s="8"/>
      <c r="H44" s="8"/>
    </row>
    <row r="45" spans="1:8" x14ac:dyDescent="0.25">
      <c r="A45" s="8"/>
      <c r="B45" s="9"/>
      <c r="C45" s="8"/>
      <c r="D45" s="8"/>
      <c r="E45" s="8"/>
      <c r="F45" s="8"/>
      <c r="G45" s="8"/>
      <c r="H45" s="8"/>
    </row>
    <row r="46" spans="1:8" x14ac:dyDescent="0.25">
      <c r="A46" s="8"/>
      <c r="B46" s="9"/>
      <c r="C46" s="8"/>
      <c r="D46" s="8"/>
      <c r="E46" s="8"/>
      <c r="F46" s="8"/>
      <c r="G46" s="8"/>
      <c r="H46" s="8"/>
    </row>
    <row r="47" spans="1:8" x14ac:dyDescent="0.25">
      <c r="A47" s="8"/>
      <c r="B47" s="9"/>
      <c r="C47" s="8"/>
      <c r="D47" s="8"/>
      <c r="E47" s="8"/>
      <c r="F47" s="8"/>
      <c r="G47" s="8"/>
      <c r="H47" s="8"/>
    </row>
    <row r="48" spans="1:8" x14ac:dyDescent="0.25">
      <c r="A48" s="8"/>
      <c r="B48" s="9"/>
      <c r="C48" s="8"/>
      <c r="D48" s="8"/>
      <c r="E48" s="8"/>
      <c r="F48" s="8"/>
      <c r="G48" s="8"/>
      <c r="H48" s="8"/>
    </row>
    <row r="49" spans="1:8" x14ac:dyDescent="0.25">
      <c r="A49" s="8"/>
      <c r="B49" s="9"/>
      <c r="C49" s="8"/>
      <c r="D49" s="8"/>
      <c r="E49" s="8"/>
      <c r="F49" s="8"/>
      <c r="G49" s="8"/>
      <c r="H49" s="8"/>
    </row>
    <row r="50" spans="1:8" x14ac:dyDescent="0.25">
      <c r="A50" s="8"/>
      <c r="B50" s="9"/>
      <c r="C50" s="8"/>
      <c r="D50" s="8"/>
      <c r="E50" s="8"/>
      <c r="F50" s="8"/>
      <c r="G50" s="8"/>
      <c r="H50" s="8"/>
    </row>
    <row r="51" spans="1:8" x14ac:dyDescent="0.25">
      <c r="A51" s="8"/>
      <c r="B51" s="9"/>
      <c r="C51" s="8"/>
      <c r="D51" s="8"/>
      <c r="E51" s="8"/>
      <c r="F51" s="8"/>
      <c r="G51" s="8"/>
      <c r="H51" s="8"/>
    </row>
    <row r="52" spans="1:8" x14ac:dyDescent="0.25">
      <c r="A52" s="8"/>
      <c r="B52" s="9"/>
      <c r="C52" s="8"/>
      <c r="D52" s="8"/>
      <c r="E52" s="8"/>
      <c r="F52" s="8"/>
      <c r="G52" s="8"/>
      <c r="H52" s="8"/>
    </row>
    <row r="53" spans="1:8" x14ac:dyDescent="0.25">
      <c r="A53" s="8"/>
      <c r="B53" s="9"/>
      <c r="C53" s="8"/>
      <c r="D53" s="8"/>
      <c r="E53" s="8"/>
      <c r="F53" s="8"/>
      <c r="G53" s="8"/>
      <c r="H53" s="8"/>
    </row>
    <row r="54" spans="1:8" x14ac:dyDescent="0.25">
      <c r="A54" s="8"/>
      <c r="B54" s="9"/>
      <c r="C54" s="8"/>
      <c r="D54" s="8"/>
      <c r="E54" s="8"/>
      <c r="F54" s="8"/>
      <c r="G54" s="8"/>
      <c r="H54" s="8"/>
    </row>
    <row r="55" spans="1:8" x14ac:dyDescent="0.25">
      <c r="A55" s="8"/>
      <c r="B55" s="9"/>
      <c r="C55" s="8"/>
      <c r="D55" s="8"/>
      <c r="E55" s="8"/>
      <c r="F55" s="8"/>
      <c r="G55" s="8"/>
      <c r="H55" s="8"/>
    </row>
    <row r="56" spans="1:8" x14ac:dyDescent="0.25">
      <c r="A56" s="8"/>
      <c r="B56" s="9"/>
      <c r="C56" s="8"/>
      <c r="D56" s="8"/>
      <c r="E56" s="8"/>
      <c r="F56" s="8"/>
      <c r="G56" s="8"/>
      <c r="H56" s="8"/>
    </row>
    <row r="57" spans="1:8" x14ac:dyDescent="0.25">
      <c r="A57" s="8"/>
      <c r="B57" s="9"/>
      <c r="C57" s="8"/>
      <c r="D57" s="8"/>
      <c r="E57" s="8"/>
      <c r="F57" s="8"/>
      <c r="G57" s="8"/>
      <c r="H57" s="8"/>
    </row>
    <row r="58" spans="1:8" x14ac:dyDescent="0.25">
      <c r="A58" s="8"/>
      <c r="B58" s="9"/>
      <c r="C58" s="8"/>
      <c r="D58" s="8"/>
      <c r="E58" s="8"/>
      <c r="F58" s="8"/>
      <c r="G58" s="8"/>
      <c r="H58" s="8"/>
    </row>
    <row r="59" spans="1:8" x14ac:dyDescent="0.25">
      <c r="A59" s="8"/>
      <c r="B59" s="9"/>
      <c r="C59" s="8"/>
      <c r="D59" s="8"/>
      <c r="E59" s="8"/>
      <c r="F59" s="8"/>
      <c r="G59" s="8"/>
      <c r="H59" s="8"/>
    </row>
    <row r="60" spans="1:8" x14ac:dyDescent="0.25">
      <c r="A60" s="6"/>
      <c r="B60" s="9"/>
      <c r="C60" s="8"/>
      <c r="D60" s="8"/>
      <c r="E60" s="8"/>
      <c r="F60" s="8"/>
      <c r="G60" s="8"/>
      <c r="H60" s="8"/>
    </row>
    <row r="61" spans="1:8" x14ac:dyDescent="0.25">
      <c r="A61" s="8"/>
      <c r="B61" s="9"/>
      <c r="C61" s="8"/>
      <c r="D61" s="8"/>
      <c r="E61" s="8"/>
      <c r="F61" s="8"/>
      <c r="G61" s="8"/>
      <c r="H61" s="8"/>
    </row>
    <row r="62" spans="1:8" x14ac:dyDescent="0.25">
      <c r="A62" s="8"/>
      <c r="B62" s="9"/>
      <c r="C62" s="8"/>
      <c r="D62" s="8"/>
      <c r="E62" s="8"/>
      <c r="F62" s="8"/>
      <c r="G62" s="8"/>
      <c r="H62" s="8"/>
    </row>
    <row r="63" spans="1:8" x14ac:dyDescent="0.25">
      <c r="A63" s="8"/>
      <c r="B63" s="9"/>
      <c r="C63" s="8"/>
      <c r="D63" s="8"/>
      <c r="E63" s="8"/>
      <c r="F63" s="8"/>
      <c r="G63" s="8"/>
      <c r="H63" s="8"/>
    </row>
    <row r="64" spans="1:8" x14ac:dyDescent="0.25">
      <c r="A64" s="8"/>
      <c r="B64" s="9"/>
      <c r="C64" s="8"/>
      <c r="D64" s="8"/>
      <c r="E64" s="8"/>
      <c r="F64" s="8"/>
      <c r="G64" s="8"/>
      <c r="H64" s="8"/>
    </row>
    <row r="65" spans="1:8" x14ac:dyDescent="0.25">
      <c r="A65" s="8"/>
      <c r="B65" s="9"/>
      <c r="C65" s="8"/>
      <c r="D65" s="8"/>
      <c r="E65" s="8"/>
      <c r="F65" s="8"/>
      <c r="G65" s="8"/>
      <c r="H65" s="8"/>
    </row>
    <row r="66" spans="1:8" x14ac:dyDescent="0.25">
      <c r="A66" s="8"/>
      <c r="B66" s="9"/>
      <c r="C66" s="8"/>
      <c r="D66" s="8"/>
      <c r="E66" s="8"/>
      <c r="F66" s="8"/>
      <c r="G66" s="8"/>
      <c r="H66" s="8"/>
    </row>
    <row r="67" spans="1:8" x14ac:dyDescent="0.25">
      <c r="A67" s="6"/>
      <c r="B67" s="9"/>
      <c r="C67" s="8"/>
      <c r="D67" s="8"/>
      <c r="E67" s="8"/>
      <c r="F67" s="8"/>
      <c r="G67" s="8"/>
      <c r="H67" s="8"/>
    </row>
    <row r="68" spans="1:8" x14ac:dyDescent="0.25">
      <c r="A68" s="8"/>
      <c r="B68" s="9"/>
      <c r="C68" s="6"/>
      <c r="D68" s="8"/>
      <c r="E68" s="8"/>
      <c r="F68" s="8"/>
      <c r="G68" s="8"/>
      <c r="H68" s="8"/>
    </row>
    <row r="69" spans="1:8" x14ac:dyDescent="0.25">
      <c r="A69" s="8"/>
      <c r="B69" s="9"/>
      <c r="C69" s="8"/>
      <c r="D69" s="8"/>
      <c r="E69" s="8"/>
      <c r="F69" s="8"/>
      <c r="G69" s="8"/>
      <c r="H69" s="8"/>
    </row>
    <row r="70" spans="1:8" x14ac:dyDescent="0.25">
      <c r="A70" s="8"/>
      <c r="B70" s="9"/>
      <c r="C70" s="8"/>
      <c r="D70" s="8"/>
      <c r="E70" s="8"/>
      <c r="F70" s="8"/>
      <c r="G70" s="8"/>
      <c r="H70" s="8"/>
    </row>
    <row r="71" spans="1:8" x14ac:dyDescent="0.25">
      <c r="A71" s="8"/>
      <c r="B71" s="9"/>
      <c r="C71" s="8"/>
      <c r="D71" s="8"/>
      <c r="E71" s="8"/>
      <c r="F71" s="8"/>
      <c r="G71" s="8"/>
      <c r="H71" s="8"/>
    </row>
    <row r="72" spans="1:8" x14ac:dyDescent="0.25">
      <c r="A72" s="8"/>
      <c r="B72" s="9"/>
      <c r="C72" s="8"/>
      <c r="D72" s="8"/>
      <c r="E72" s="8"/>
      <c r="F72" s="8"/>
      <c r="G72" s="8"/>
      <c r="H72" s="8"/>
    </row>
    <row r="73" spans="1:8" x14ac:dyDescent="0.25">
      <c r="A73" s="6"/>
      <c r="B73" s="9"/>
      <c r="C73" s="8"/>
      <c r="D73" s="8"/>
      <c r="E73" s="8"/>
      <c r="F73" s="8"/>
      <c r="G73" s="8"/>
      <c r="H73" s="8"/>
    </row>
    <row r="74" spans="1:8" x14ac:dyDescent="0.25">
      <c r="A74" s="8"/>
      <c r="B74" s="9"/>
      <c r="C74" s="8"/>
      <c r="D74" s="8"/>
      <c r="E74" s="8"/>
      <c r="F74" s="8"/>
      <c r="G74" s="8"/>
      <c r="H74" s="8"/>
    </row>
    <row r="75" spans="1:8" x14ac:dyDescent="0.25">
      <c r="A75" s="8"/>
      <c r="B75" s="9"/>
      <c r="C75" s="8"/>
      <c r="D75" s="8"/>
      <c r="E75" s="8"/>
      <c r="F75" s="8"/>
      <c r="G75" s="8"/>
      <c r="H75" s="8"/>
    </row>
    <row r="76" spans="1:8" x14ac:dyDescent="0.25">
      <c r="A76" s="8"/>
      <c r="B76" s="9"/>
      <c r="C76" s="8"/>
      <c r="D76" s="8"/>
      <c r="E76" s="8"/>
      <c r="F76" s="8"/>
      <c r="G76" s="8"/>
      <c r="H76" s="8"/>
    </row>
    <row r="77" spans="1:8" x14ac:dyDescent="0.25">
      <c r="A77" s="8"/>
      <c r="B77" s="9"/>
      <c r="C77" s="8"/>
      <c r="D77" s="8"/>
      <c r="E77" s="8"/>
      <c r="F77" s="8"/>
      <c r="G77" s="8"/>
      <c r="H77" s="8"/>
    </row>
    <row r="78" spans="1:8" x14ac:dyDescent="0.25">
      <c r="A78" s="8"/>
      <c r="B78" s="9"/>
      <c r="C78" s="8"/>
      <c r="D78" s="8"/>
      <c r="E78" s="8"/>
      <c r="F78" s="8"/>
      <c r="G78" s="8"/>
      <c r="H78" s="8"/>
    </row>
    <row r="79" spans="1:8" x14ac:dyDescent="0.25">
      <c r="A79" s="8"/>
      <c r="B79" s="9"/>
      <c r="C79" s="8"/>
      <c r="D79" s="8"/>
      <c r="E79" s="8"/>
      <c r="F79" s="8"/>
      <c r="G79" s="8"/>
      <c r="H79" s="8"/>
    </row>
    <row r="80" spans="1:8" x14ac:dyDescent="0.25">
      <c r="A80" s="8"/>
      <c r="B80" s="9"/>
      <c r="C80" s="8"/>
      <c r="D80" s="8"/>
      <c r="E80" s="8"/>
      <c r="F80" s="8"/>
      <c r="G80" s="8"/>
      <c r="H80" s="8"/>
    </row>
    <row r="81" spans="1:8" x14ac:dyDescent="0.25">
      <c r="A81" s="6"/>
      <c r="B81" s="9"/>
      <c r="C81" s="8"/>
      <c r="D81" s="8"/>
      <c r="E81" s="8"/>
      <c r="F81" s="8"/>
      <c r="G81" s="8"/>
      <c r="H81" s="8"/>
    </row>
    <row r="82" spans="1:8" x14ac:dyDescent="0.25">
      <c r="A82" s="8"/>
      <c r="B82" s="9"/>
      <c r="C82" s="8"/>
      <c r="D82" s="8"/>
      <c r="E82" s="8"/>
      <c r="F82" s="8"/>
      <c r="G82" s="8"/>
      <c r="H82" s="8"/>
    </row>
    <row r="83" spans="1:8" x14ac:dyDescent="0.25">
      <c r="A83" s="8"/>
      <c r="B83" s="9"/>
      <c r="C83" s="8"/>
      <c r="D83" s="8"/>
      <c r="E83" s="8"/>
      <c r="F83" s="8"/>
      <c r="G83" s="8"/>
      <c r="H83" s="8"/>
    </row>
    <row r="84" spans="1:8" x14ac:dyDescent="0.25">
      <c r="A84" s="8"/>
      <c r="B84" s="9"/>
      <c r="C84" s="8"/>
      <c r="D84" s="8"/>
      <c r="E84" s="8"/>
      <c r="F84" s="8"/>
      <c r="G84" s="8"/>
      <c r="H84" s="8"/>
    </row>
    <row r="85" spans="1:8" x14ac:dyDescent="0.25">
      <c r="A85" s="8"/>
      <c r="B85" s="9"/>
      <c r="C85" s="8"/>
      <c r="D85" s="8"/>
      <c r="E85" s="8"/>
      <c r="F85" s="8"/>
      <c r="G85" s="8"/>
      <c r="H85" s="8"/>
    </row>
    <row r="86" spans="1:8" x14ac:dyDescent="0.25">
      <c r="A86" s="8"/>
      <c r="B86" s="9"/>
      <c r="C86" s="8"/>
      <c r="D86" s="8"/>
      <c r="E86" s="8"/>
      <c r="F86" s="8"/>
      <c r="G86" s="8"/>
      <c r="H86" s="8"/>
    </row>
    <row r="87" spans="1:8" x14ac:dyDescent="0.25">
      <c r="A87" s="8"/>
      <c r="B87" s="9"/>
      <c r="C87" s="8"/>
      <c r="D87" s="8"/>
      <c r="E87" s="8"/>
      <c r="F87" s="8"/>
      <c r="G87" s="8"/>
      <c r="H87" s="8"/>
    </row>
    <row r="88" spans="1:8" x14ac:dyDescent="0.25">
      <c r="A88" s="8"/>
      <c r="B88" s="9"/>
      <c r="C88" s="8"/>
      <c r="D88" s="8"/>
      <c r="E88" s="8"/>
      <c r="F88" s="8"/>
      <c r="G88" s="8"/>
      <c r="H88" s="8"/>
    </row>
    <row r="89" spans="1:8" x14ac:dyDescent="0.25">
      <c r="A89" s="8"/>
      <c r="B89" s="9"/>
      <c r="C89" s="8"/>
      <c r="D89" s="8"/>
      <c r="E89" s="8"/>
      <c r="F89" s="8"/>
      <c r="G89" s="8"/>
      <c r="H89" s="8"/>
    </row>
    <row r="90" spans="1:8" x14ac:dyDescent="0.25">
      <c r="A90" s="8"/>
      <c r="B90" s="9"/>
      <c r="C90" s="8"/>
      <c r="D90" s="8"/>
      <c r="E90" s="8"/>
      <c r="F90" s="8"/>
      <c r="G90" s="8"/>
      <c r="H90" s="8"/>
    </row>
    <row r="91" spans="1:8" x14ac:dyDescent="0.25">
      <c r="A91" s="8"/>
      <c r="B91" s="9"/>
      <c r="C91" s="8"/>
      <c r="D91" s="8"/>
      <c r="E91" s="8"/>
      <c r="F91" s="8"/>
      <c r="G91" s="8"/>
      <c r="H91" s="8"/>
    </row>
    <row r="92" spans="1:8" x14ac:dyDescent="0.25">
      <c r="A92" s="8"/>
      <c r="B92" s="9"/>
      <c r="C92" s="8"/>
      <c r="D92" s="8"/>
      <c r="E92" s="8"/>
      <c r="F92" s="8"/>
      <c r="G92" s="8"/>
      <c r="H92" s="8"/>
    </row>
    <row r="93" spans="1:8" x14ac:dyDescent="0.25">
      <c r="A93" s="8"/>
      <c r="B93" s="9"/>
      <c r="C93" s="8"/>
      <c r="D93" s="8"/>
      <c r="E93" s="8"/>
      <c r="F93" s="8"/>
      <c r="G93" s="8"/>
      <c r="H93" s="8"/>
    </row>
    <row r="94" spans="1:8" x14ac:dyDescent="0.25">
      <c r="A94" s="8"/>
      <c r="B94" s="9"/>
      <c r="C94" s="8"/>
      <c r="D94" s="8"/>
      <c r="E94" s="8"/>
      <c r="F94" s="8"/>
      <c r="G94" s="8"/>
      <c r="H94" s="8"/>
    </row>
    <row r="95" spans="1:8" x14ac:dyDescent="0.25">
      <c r="A95" s="8"/>
      <c r="B95" s="9"/>
      <c r="C95" s="8"/>
      <c r="D95" s="8"/>
      <c r="E95" s="8"/>
      <c r="F95" s="8"/>
      <c r="G95" s="8"/>
      <c r="H95" s="8"/>
    </row>
    <row r="96" spans="1:8" x14ac:dyDescent="0.25">
      <c r="A96" s="8"/>
      <c r="B96" s="9"/>
      <c r="C96" s="8"/>
      <c r="D96" s="8"/>
      <c r="E96" s="8"/>
      <c r="F96" s="8"/>
      <c r="G96" s="8"/>
      <c r="H96" s="8"/>
    </row>
    <row r="97" spans="1:8" x14ac:dyDescent="0.25">
      <c r="A97" s="8"/>
      <c r="B97" s="9"/>
      <c r="C97" s="8"/>
      <c r="D97" s="8"/>
      <c r="E97" s="8"/>
      <c r="F97" s="8"/>
      <c r="G97" s="8"/>
      <c r="H97" s="8"/>
    </row>
    <row r="98" spans="1:8" x14ac:dyDescent="0.25">
      <c r="A98" s="8"/>
      <c r="B98" s="9"/>
      <c r="C98" s="8"/>
      <c r="D98" s="8"/>
      <c r="E98" s="8"/>
      <c r="F98" s="8"/>
      <c r="G98" s="8"/>
      <c r="H98" s="8"/>
    </row>
    <row r="99" spans="1:8" x14ac:dyDescent="0.25">
      <c r="A99" s="8"/>
      <c r="B99" s="9"/>
      <c r="C99" s="8"/>
      <c r="D99" s="8"/>
      <c r="E99" s="8"/>
      <c r="F99" s="8"/>
      <c r="G99" s="8"/>
      <c r="H99" s="8"/>
    </row>
    <row r="100" spans="1:8" x14ac:dyDescent="0.25">
      <c r="A100" s="8"/>
      <c r="B100" s="9"/>
      <c r="C100" s="8"/>
      <c r="D100" s="8"/>
      <c r="E100" s="8"/>
      <c r="F100" s="8"/>
      <c r="G100" s="8"/>
      <c r="H100" s="8"/>
    </row>
    <row r="101" spans="1:8" x14ac:dyDescent="0.25">
      <c r="A101" s="8"/>
      <c r="B101" s="9"/>
      <c r="C101" s="8"/>
      <c r="D101" s="8"/>
      <c r="E101" s="8"/>
      <c r="F101" s="8"/>
      <c r="G101" s="8"/>
      <c r="H101" s="8"/>
    </row>
    <row r="102" spans="1:8" x14ac:dyDescent="0.25">
      <c r="A102" s="8"/>
      <c r="B102" s="9"/>
      <c r="C102" s="8"/>
      <c r="D102" s="8"/>
      <c r="E102" s="8"/>
      <c r="F102" s="8"/>
      <c r="G102" s="8"/>
      <c r="H102" s="8"/>
    </row>
    <row r="103" spans="1:8" x14ac:dyDescent="0.25">
      <c r="A103" s="8"/>
      <c r="B103" s="9"/>
      <c r="C103" s="8"/>
      <c r="D103" s="8"/>
      <c r="E103" s="8"/>
      <c r="F103" s="8"/>
      <c r="G103" s="8"/>
      <c r="H103" s="8"/>
    </row>
    <row r="104" spans="1:8" x14ac:dyDescent="0.25">
      <c r="A104" s="8"/>
      <c r="B104" s="9"/>
      <c r="C104" s="8"/>
      <c r="D104" s="8"/>
      <c r="E104" s="8"/>
      <c r="F104" s="8"/>
      <c r="G104" s="8"/>
      <c r="H104" s="8"/>
    </row>
    <row r="105" spans="1:8" x14ac:dyDescent="0.25">
      <c r="A105" s="8"/>
      <c r="B105" s="9"/>
      <c r="C105" s="8"/>
      <c r="D105" s="8"/>
      <c r="E105" s="8"/>
      <c r="F105" s="8"/>
      <c r="G105" s="8"/>
      <c r="H105" s="8"/>
    </row>
    <row r="106" spans="1:8" x14ac:dyDescent="0.25">
      <c r="A106" s="8"/>
      <c r="B106" s="9"/>
      <c r="C106" s="8"/>
      <c r="D106" s="8"/>
      <c r="E106" s="8"/>
      <c r="F106" s="8"/>
      <c r="G106" s="8"/>
      <c r="H106" s="8"/>
    </row>
    <row r="107" spans="1:8" x14ac:dyDescent="0.25">
      <c r="A107" s="8"/>
      <c r="B107" s="9"/>
      <c r="C107" s="8"/>
      <c r="D107" s="8"/>
      <c r="E107" s="8"/>
      <c r="F107" s="8"/>
      <c r="G107" s="8"/>
      <c r="H107" s="8"/>
    </row>
    <row r="108" spans="1:8" x14ac:dyDescent="0.25">
      <c r="A108" s="8"/>
      <c r="B108" s="9"/>
      <c r="C108" s="8"/>
      <c r="D108" s="8"/>
      <c r="E108" s="8"/>
      <c r="F108" s="8"/>
      <c r="G108" s="8"/>
      <c r="H108" s="8"/>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P3:U3"/>
  </mergeCells>
  <dataValidations count="5">
    <dataValidation type="list" allowBlank="1" showInputMessage="1" showErrorMessage="1" sqref="L1:L8 L13:L14 L18:L19 L31:L1048576" xr:uid="{68C63AC1-E1A0-465D-8AA6-A7D34FD829F6}">
      <formula1>BolsosM41</formula1>
    </dataValidation>
    <dataValidation type="list" allowBlank="1" showInputMessage="1" showErrorMessage="1" sqref="H1:H1048576" xr:uid="{09880160-2ACD-45AA-BB6A-FDBBF61AC463}">
      <formula1>INDEX(CompartimientosM39,0,MATCH(OFFSET(INDIRECT(ADDRESS(ROW(), COLUMN())),0,-1),CajonerasM39,0))</formula1>
    </dataValidation>
    <dataValidation type="list" allowBlank="1" showInputMessage="1" showErrorMessage="1" sqref="G1:G1048576" xr:uid="{0B4625BB-E65F-4B8D-888C-EEE1C1B457F2}">
      <formula1>CajonerasM39</formula1>
    </dataValidation>
    <dataValidation type="list" allowBlank="1" showInputMessage="1" showErrorMessage="1" sqref="A1:A1048576" xr:uid="{80729C1D-E205-468A-92C4-9CF2AA2AE09D}">
      <formula1>categorias</formula1>
    </dataValidation>
    <dataValidation type="list" allowBlank="1" showInputMessage="1" showErrorMessage="1" sqref="C1 C7" xr:uid="{7613A193-4422-4869-A221-12FF7835BA87}">
      <formula1>Medidas</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28">
        <x14:dataValidation type="list" allowBlank="1" showInputMessage="1" showErrorMessage="1" xr:uid="{56358B42-6997-4039-AB40-103A0DD7D746}">
          <x14:formula1>
            <xm:f>Configuracion!$G$2:$G$3</xm:f>
          </x14:formula1>
          <xm:sqref>C27 C31 C127:C128</xm:sqref>
        </x14:dataValidation>
        <x14:dataValidation type="list" allowBlank="1" showInputMessage="1" showErrorMessage="1" xr:uid="{923A0D31-4137-4ED9-8932-98900F97E36C}">
          <x14:formula1>
            <xm:f>Configuracion!$F$2:$F$5</xm:f>
          </x14:formula1>
          <xm:sqref>C28:C29</xm:sqref>
        </x14:dataValidation>
        <x14:dataValidation type="list" allowBlank="1" showInputMessage="1" showErrorMessage="1" xr:uid="{DEA81DCA-649C-42D7-BC28-947F26212BA5}">
          <x14:formula1>
            <xm:f>Configuracion!$F$2:$F$3</xm:f>
          </x14:formula1>
          <xm:sqref>C17</xm:sqref>
        </x14:dataValidation>
        <x14:dataValidation type="list" allowBlank="1" showInputMessage="1" showErrorMessage="1" xr:uid="{0683151C-C4AE-4443-9F2E-616B241C75F9}">
          <x14:formula1>
            <xm:f>Configuracion!$M$2:$M$6</xm:f>
          </x14:formula1>
          <xm:sqref>C18</xm:sqref>
        </x14:dataValidation>
        <x14:dataValidation type="list" allowBlank="1" showInputMessage="1" showErrorMessage="1" xr:uid="{824F4815-8F8F-4C0E-AA41-7937A7749451}">
          <x14:formula1>
            <xm:f>Configuracion!$F$2:$F$6</xm:f>
          </x14:formula1>
          <xm:sqref>C30</xm:sqref>
        </x14:dataValidation>
        <x14:dataValidation type="list" allowBlank="1" showInputMessage="1" showErrorMessage="1" xr:uid="{3C234E98-BF87-4E57-A4D7-A5BEEB9EEE5A}">
          <x14:formula1>
            <xm:f>Configuracion!$F$2:$F$7</xm:f>
          </x14:formula1>
          <xm:sqref>C32</xm:sqref>
        </x14:dataValidation>
        <x14:dataValidation type="list" allowBlank="1" showInputMessage="1" showErrorMessage="1" xr:uid="{7EA7F856-15B1-4C9C-BB23-5CE264AF00E7}">
          <x14:formula1>
            <xm:f>Configuracion!$O$2:$O$7</xm:f>
          </x14:formula1>
          <xm:sqref>C38 C41</xm:sqref>
        </x14:dataValidation>
        <x14:dataValidation type="list" allowBlank="1" showInputMessage="1" showErrorMessage="1" xr:uid="{8567C98F-0711-4501-8506-13EAC15D808C}">
          <x14:formula1>
            <xm:f>Configuracion!$F$2:$F$8</xm:f>
          </x14:formula1>
          <xm:sqref>C61:C62</xm:sqref>
        </x14:dataValidation>
        <x14:dataValidation type="list" allowBlank="1" showInputMessage="1" showErrorMessage="1" xr:uid="{D91E98EE-3878-4118-9704-47595F4700B7}">
          <x14:formula1>
            <xm:f>Configuracion!$F$2:$F$9</xm:f>
          </x14:formula1>
          <xm:sqref>C63</xm:sqref>
        </x14:dataValidation>
        <x14:dataValidation type="list" allowBlank="1" showInputMessage="1" showErrorMessage="1" xr:uid="{E139486A-AC6F-45EA-8466-CBFDC52F00F5}">
          <x14:formula1>
            <xm:f>Configuracion!$F$2:$F$10</xm:f>
          </x14:formula1>
          <xm:sqref>C64:C65 C125:C126</xm:sqref>
        </x14:dataValidation>
        <x14:dataValidation type="list" allowBlank="1" showInputMessage="1" showErrorMessage="1" xr:uid="{77856245-B7B4-4BD4-B144-1D25049A569A}">
          <x14:formula1>
            <xm:f>Configuracion!$Q$2:$Q$7</xm:f>
          </x14:formula1>
          <xm:sqref>C66:C67 C53 C70</xm:sqref>
        </x14:dataValidation>
        <x14:dataValidation type="list" allowBlank="1" showInputMessage="1" showErrorMessage="1" xr:uid="{8BF18621-F7D5-417B-BCC9-17F265681065}">
          <x14:formula1>
            <xm:f>Configuracion!$H$2:$H$6</xm:f>
          </x14:formula1>
          <xm:sqref>C21</xm:sqref>
        </x14:dataValidation>
        <x14:dataValidation type="list" allowBlank="1" showInputMessage="1" showErrorMessage="1" xr:uid="{EC0F64EE-C6C5-45B0-BF77-C56CCE93CD35}">
          <x14:formula1>
            <xm:f>Configuracion!$J$2:$J$3</xm:f>
          </x14:formula1>
          <xm:sqref>C23 C14 C16</xm:sqref>
        </x14:dataValidation>
        <x14:dataValidation type="list" allowBlank="1" showInputMessage="1" showErrorMessage="1" xr:uid="{19E9953B-6838-467F-856A-B1841DE82247}">
          <x14:formula1>
            <xm:f>Configuracion!$J$2:$J$5</xm:f>
          </x14:formula1>
          <xm:sqref>C25 C19:C20</xm:sqref>
        </x14:dataValidation>
        <x14:dataValidation type="list" allowBlank="1" showInputMessage="1" showErrorMessage="1" xr:uid="{3ECE4F60-782A-4E5A-9499-58A4BD037540}">
          <x14:formula1>
            <xm:f>Configuracion!$S$2:$S$10</xm:f>
          </x14:formula1>
          <xm:sqref>C96 C100:C101 C105</xm:sqref>
        </x14:dataValidation>
        <x14:dataValidation type="list" allowBlank="1" showInputMessage="1" showErrorMessage="1" xr:uid="{FE7DA706-32CA-4FF3-B780-9FE34A2F1C16}">
          <x14:formula1>
            <xm:f>Configuracion!$N$2:$N$9</xm:f>
          </x14:formula1>
          <xm:sqref>C120 C122</xm:sqref>
        </x14:dataValidation>
        <x14:dataValidation type="list" allowBlank="1" showInputMessage="1" showErrorMessage="1" xr:uid="{5A4A6FF7-68EF-4B13-84F1-19032B9773BC}">
          <x14:formula1>
            <xm:f>Configuracion!$I$2:$I$7</xm:f>
          </x14:formula1>
          <xm:sqref>C136 C6</xm:sqref>
        </x14:dataValidation>
        <x14:dataValidation type="list" allowBlank="1" showInputMessage="1" showErrorMessage="1" xr:uid="{8B28A5D5-EE29-4AC4-83F1-80C4038AEA57}">
          <x14:formula1>
            <xm:f>Configuracion!$G$2:$G$4</xm:f>
          </x14:formula1>
          <xm:sqref>C2</xm:sqref>
        </x14:dataValidation>
        <x14:dataValidation type="list" allowBlank="1" showInputMessage="1" showErrorMessage="1" xr:uid="{EA7B239B-636B-4AF9-BF51-FD5F2E9B18F3}">
          <x14:formula1>
            <xm:f>Configuracion!$H$2:$H$3</xm:f>
          </x14:formula1>
          <xm:sqref>C5</xm:sqref>
        </x14:dataValidation>
        <x14:dataValidation type="list" allowBlank="1" showInputMessage="1" showErrorMessage="1" xr:uid="{A5C16A9E-4A7F-4285-AE0B-5FF4A67E86AE}">
          <x14:formula1>
            <xm:f>Configuracion!$G$2:$G$5</xm:f>
          </x14:formula1>
          <xm:sqref>C12 C26</xm:sqref>
        </x14:dataValidation>
        <x14:dataValidation type="list" allowBlank="1" showInputMessage="1" showErrorMessage="1" xr:uid="{D8FF04ED-4FF0-4E0A-ACAF-B15B95CCB2CB}">
          <x14:formula1>
            <xm:f>Configuracion!$G$2:$G$6</xm:f>
          </x14:formula1>
          <xm:sqref>C8 C10</xm:sqref>
        </x14:dataValidation>
        <x14:dataValidation type="list" allowBlank="1" showInputMessage="1" showErrorMessage="1" xr:uid="{27EEF777-C79B-4183-A93C-4641D1A50756}">
          <x14:formula1>
            <xm:f>Configuracion!$F$2:$F$11</xm:f>
          </x14:formula1>
          <xm:sqref>C9</xm:sqref>
        </x14:dataValidation>
        <x14:dataValidation type="list" allowBlank="1" showInputMessage="1" showErrorMessage="1" xr:uid="{A20AEB71-D6D2-4208-B875-6A2D39D1D1EC}">
          <x14:formula1>
            <xm:f>Configuracion!$S$2:$S$11</xm:f>
          </x14:formula1>
          <xm:sqref>C11</xm:sqref>
        </x14:dataValidation>
        <x14:dataValidation type="list" allowBlank="1" showInputMessage="1" showErrorMessage="1" xr:uid="{DA9B2500-B527-4566-BC62-440C681C9307}">
          <x14:formula1>
            <xm:f>Configuracion!$K$2:$K$3</xm:f>
          </x14:formula1>
          <xm:sqref>C22</xm:sqref>
        </x14:dataValidation>
        <x14:dataValidation type="list" allowBlank="1" showInputMessage="1" showErrorMessage="1" xr:uid="{B6D8156D-1DDD-495E-AE89-03E3A639A565}">
          <x14:formula1>
            <xm:f>Configuracion!$K$2:$K$4</xm:f>
          </x14:formula1>
          <xm:sqref>C24</xm:sqref>
        </x14:dataValidation>
        <x14:dataValidation type="list" allowBlank="1" showInputMessage="1" showErrorMessage="1" xr:uid="{194F3B7F-881E-406F-BF96-66F73CD9B54D}">
          <x14:formula1>
            <xm:f>Configuracion!$K$2:$K$6</xm:f>
          </x14:formula1>
          <xm:sqref>C13</xm:sqref>
        </x14:dataValidation>
        <x14:dataValidation type="list" allowBlank="1" showInputMessage="1" showErrorMessage="1" xr:uid="{A3AE2984-F5AB-4656-A0EC-C2BF46322E52}">
          <x14:formula1>
            <xm:f>Configuracion!$K$2:$K$7</xm:f>
          </x14:formula1>
          <xm:sqref>C15</xm:sqref>
        </x14:dataValidation>
        <x14:dataValidation type="list" allowBlank="1" showInputMessage="1" showErrorMessage="1" xr:uid="{2ED28885-B110-4564-9064-21C87A3F7BBD}">
          <x14:formula1>
            <xm:f>Configuracion!$P$2:$P$4</xm:f>
          </x14:formula1>
          <xm:sqref>C52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57D8D-446C-43E9-A937-33CD713B885A}">
  <sheetPr codeName="Sheet6"/>
  <dimension ref="A1:X21"/>
  <sheetViews>
    <sheetView topLeftCell="A10" workbookViewId="0">
      <selection activeCell="A22" sqref="A22"/>
    </sheetView>
  </sheetViews>
  <sheetFormatPr defaultRowHeight="15" x14ac:dyDescent="0.25"/>
  <cols>
    <col min="1" max="1" width="22.42578125" customWidth="1"/>
    <col min="2" max="2" width="30.5703125" customWidth="1"/>
    <col min="3" max="3" width="13.85546875" bestFit="1" customWidth="1"/>
    <col min="4" max="4" width="8.5703125" bestFit="1" customWidth="1"/>
    <col min="5" max="5" width="13.140625" bestFit="1" customWidth="1"/>
    <col min="7" max="7" width="11.140625" bestFit="1" customWidth="1"/>
    <col min="8" max="8" width="18" bestFit="1" customWidth="1"/>
  </cols>
  <sheetData>
    <row r="1" spans="1:24" x14ac:dyDescent="0.25">
      <c r="A1" s="6" t="s">
        <v>0</v>
      </c>
      <c r="B1" s="7" t="s">
        <v>1</v>
      </c>
      <c r="C1" s="6" t="s">
        <v>2</v>
      </c>
      <c r="D1" s="6" t="s">
        <v>3</v>
      </c>
      <c r="E1" s="6" t="s">
        <v>4</v>
      </c>
      <c r="F1" s="6" t="s">
        <v>264</v>
      </c>
      <c r="G1" s="6" t="s">
        <v>13</v>
      </c>
      <c r="H1" s="6" t="s">
        <v>256</v>
      </c>
    </row>
    <row r="2" spans="1:24" ht="45" x14ac:dyDescent="0.25">
      <c r="A2" t="s">
        <v>284</v>
      </c>
      <c r="B2" s="9" t="s">
        <v>337</v>
      </c>
      <c r="D2" s="8"/>
      <c r="E2" s="8"/>
      <c r="F2" s="8">
        <v>4</v>
      </c>
      <c r="G2" s="8" t="s">
        <v>8</v>
      </c>
      <c r="H2" s="8">
        <v>1</v>
      </c>
    </row>
    <row r="3" spans="1:24" x14ac:dyDescent="0.25">
      <c r="A3" s="8" t="s">
        <v>11</v>
      </c>
      <c r="B3" s="9" t="s">
        <v>338</v>
      </c>
      <c r="C3" t="s">
        <v>80</v>
      </c>
      <c r="D3" s="8"/>
      <c r="E3" s="8"/>
      <c r="F3" s="8">
        <v>1</v>
      </c>
      <c r="G3" s="8" t="s">
        <v>5</v>
      </c>
      <c r="H3" s="8">
        <v>1</v>
      </c>
      <c r="J3" t="s">
        <v>16</v>
      </c>
      <c r="K3" t="s">
        <v>18</v>
      </c>
      <c r="L3" t="s">
        <v>14</v>
      </c>
      <c r="N3" t="s">
        <v>28</v>
      </c>
      <c r="P3" s="12" t="s">
        <v>254</v>
      </c>
      <c r="Q3" s="12"/>
      <c r="R3" s="12"/>
      <c r="S3" s="12"/>
      <c r="T3" s="12"/>
      <c r="U3" s="12"/>
    </row>
    <row r="4" spans="1:24" x14ac:dyDescent="0.25">
      <c r="A4" s="8" t="s">
        <v>339</v>
      </c>
      <c r="B4" s="9" t="s">
        <v>342</v>
      </c>
      <c r="C4" s="8"/>
      <c r="D4" s="8" t="s">
        <v>343</v>
      </c>
      <c r="E4" s="8"/>
      <c r="F4" s="8">
        <v>1</v>
      </c>
      <c r="G4" s="8" t="s">
        <v>6</v>
      </c>
      <c r="H4" s="8">
        <v>1</v>
      </c>
      <c r="P4" t="s">
        <v>8</v>
      </c>
      <c r="Q4" t="s">
        <v>5</v>
      </c>
      <c r="R4" t="s">
        <v>6</v>
      </c>
      <c r="S4" t="s">
        <v>9</v>
      </c>
      <c r="T4" t="s">
        <v>10</v>
      </c>
      <c r="U4" t="s">
        <v>283</v>
      </c>
      <c r="V4" t="s">
        <v>335</v>
      </c>
      <c r="W4" t="s">
        <v>336</v>
      </c>
      <c r="X4" t="s">
        <v>7</v>
      </c>
    </row>
    <row r="5" spans="1:24" ht="30" x14ac:dyDescent="0.25">
      <c r="A5" s="8" t="s">
        <v>339</v>
      </c>
      <c r="B5" s="9" t="s">
        <v>340</v>
      </c>
      <c r="C5" s="8"/>
      <c r="D5" s="8" t="s">
        <v>341</v>
      </c>
      <c r="E5" s="8"/>
      <c r="F5" s="8">
        <v>1</v>
      </c>
      <c r="G5" s="8" t="s">
        <v>6</v>
      </c>
      <c r="H5" s="8">
        <v>1</v>
      </c>
      <c r="P5">
        <v>1</v>
      </c>
      <c r="Q5">
        <v>1</v>
      </c>
      <c r="R5">
        <v>1</v>
      </c>
      <c r="S5">
        <v>1</v>
      </c>
      <c r="T5">
        <v>1</v>
      </c>
      <c r="U5">
        <v>1</v>
      </c>
      <c r="V5">
        <v>1</v>
      </c>
      <c r="W5">
        <v>1</v>
      </c>
      <c r="X5">
        <v>1</v>
      </c>
    </row>
    <row r="6" spans="1:24" x14ac:dyDescent="0.25">
      <c r="A6" s="8" t="s">
        <v>339</v>
      </c>
      <c r="B6" s="9" t="s">
        <v>344</v>
      </c>
      <c r="C6" s="8"/>
      <c r="D6" s="8" t="s">
        <v>345</v>
      </c>
      <c r="E6" s="11"/>
      <c r="F6" s="8">
        <v>1</v>
      </c>
      <c r="G6" s="8" t="s">
        <v>6</v>
      </c>
      <c r="H6" s="8">
        <v>1</v>
      </c>
    </row>
    <row r="7" spans="1:24" x14ac:dyDescent="0.25">
      <c r="A7" s="8" t="s">
        <v>346</v>
      </c>
      <c r="B7" s="9" t="s">
        <v>347</v>
      </c>
      <c r="C7" s="8"/>
      <c r="D7" s="8"/>
      <c r="E7" s="8"/>
      <c r="F7" s="8">
        <v>1</v>
      </c>
      <c r="G7" s="8" t="s">
        <v>6</v>
      </c>
      <c r="H7" s="8">
        <v>1</v>
      </c>
    </row>
    <row r="8" spans="1:24" x14ac:dyDescent="0.25">
      <c r="A8" s="8" t="s">
        <v>53</v>
      </c>
      <c r="B8" s="9" t="s">
        <v>262</v>
      </c>
      <c r="C8" s="8"/>
      <c r="D8" s="8"/>
      <c r="E8" s="8"/>
      <c r="F8" s="8">
        <v>4</v>
      </c>
      <c r="G8" s="8" t="s">
        <v>9</v>
      </c>
      <c r="H8" s="8">
        <v>1</v>
      </c>
    </row>
    <row r="9" spans="1:24" x14ac:dyDescent="0.25">
      <c r="A9" s="8" t="s">
        <v>11</v>
      </c>
      <c r="B9" s="9" t="s">
        <v>348</v>
      </c>
      <c r="C9" s="8" t="s">
        <v>130</v>
      </c>
      <c r="D9" s="8"/>
      <c r="E9" s="8"/>
      <c r="F9" s="8">
        <v>4</v>
      </c>
      <c r="G9" s="8" t="s">
        <v>9</v>
      </c>
      <c r="H9" s="8">
        <v>1</v>
      </c>
    </row>
    <row r="10" spans="1:24" x14ac:dyDescent="0.25">
      <c r="A10" s="8" t="s">
        <v>11</v>
      </c>
      <c r="B10" s="9" t="s">
        <v>348</v>
      </c>
      <c r="C10" s="8" t="s">
        <v>80</v>
      </c>
      <c r="D10" s="8"/>
      <c r="E10" s="8"/>
      <c r="F10" s="8">
        <v>1</v>
      </c>
      <c r="G10" s="8" t="s">
        <v>9</v>
      </c>
      <c r="H10" s="8">
        <v>1</v>
      </c>
    </row>
    <row r="11" spans="1:24" x14ac:dyDescent="0.25">
      <c r="A11" s="8" t="s">
        <v>46</v>
      </c>
      <c r="B11" s="9"/>
      <c r="C11" s="8"/>
      <c r="D11" s="8"/>
      <c r="E11" s="8"/>
      <c r="F11" s="8">
        <v>3</v>
      </c>
      <c r="G11" s="8" t="s">
        <v>10</v>
      </c>
      <c r="H11" s="8">
        <v>1</v>
      </c>
    </row>
    <row r="12" spans="1:24" x14ac:dyDescent="0.25">
      <c r="A12" s="8" t="s">
        <v>208</v>
      </c>
      <c r="B12" s="9" t="s">
        <v>349</v>
      </c>
      <c r="C12" s="8"/>
      <c r="D12" s="8"/>
      <c r="E12" s="8"/>
      <c r="F12" s="8">
        <v>2</v>
      </c>
      <c r="G12" s="8" t="s">
        <v>10</v>
      </c>
      <c r="H12" s="8">
        <v>1</v>
      </c>
    </row>
    <row r="13" spans="1:24" ht="30" x14ac:dyDescent="0.25">
      <c r="A13" s="8" t="s">
        <v>32</v>
      </c>
      <c r="B13" s="9" t="s">
        <v>350</v>
      </c>
      <c r="C13" s="8" t="s">
        <v>73</v>
      </c>
      <c r="D13" s="8"/>
      <c r="E13" s="8"/>
      <c r="F13" s="8">
        <v>1</v>
      </c>
      <c r="G13" s="8" t="s">
        <v>283</v>
      </c>
      <c r="H13" s="8">
        <v>1</v>
      </c>
    </row>
    <row r="14" spans="1:24" x14ac:dyDescent="0.25">
      <c r="A14" s="8" t="s">
        <v>11</v>
      </c>
      <c r="B14" s="9" t="s">
        <v>348</v>
      </c>
      <c r="C14" t="s">
        <v>78</v>
      </c>
      <c r="D14" s="8"/>
      <c r="E14" s="8"/>
      <c r="F14" s="8">
        <v>1</v>
      </c>
      <c r="G14" s="8" t="s">
        <v>283</v>
      </c>
      <c r="H14" s="8">
        <v>1</v>
      </c>
    </row>
    <row r="15" spans="1:24" x14ac:dyDescent="0.25">
      <c r="A15" s="8" t="s">
        <v>188</v>
      </c>
      <c r="B15" s="9"/>
      <c r="C15" s="8" t="s">
        <v>260</v>
      </c>
      <c r="D15" s="8"/>
      <c r="E15" s="8"/>
      <c r="F15" s="8">
        <v>1</v>
      </c>
      <c r="G15" s="8" t="s">
        <v>335</v>
      </c>
      <c r="H15" s="8">
        <v>1</v>
      </c>
    </row>
    <row r="16" spans="1:24" x14ac:dyDescent="0.25">
      <c r="A16" s="8" t="s">
        <v>90</v>
      </c>
      <c r="B16" s="9" t="s">
        <v>351</v>
      </c>
      <c r="C16" s="8"/>
      <c r="D16" s="8"/>
      <c r="E16" s="8"/>
      <c r="F16" s="8">
        <v>1</v>
      </c>
      <c r="G16" s="8" t="s">
        <v>335</v>
      </c>
      <c r="H16" s="8">
        <v>1</v>
      </c>
    </row>
    <row r="17" spans="1:8" ht="30" x14ac:dyDescent="0.25">
      <c r="A17" s="8" t="s">
        <v>352</v>
      </c>
      <c r="B17" s="9" t="s">
        <v>353</v>
      </c>
      <c r="C17" s="8"/>
      <c r="D17" s="8" t="s">
        <v>354</v>
      </c>
      <c r="E17" s="8"/>
      <c r="F17" s="8">
        <v>1</v>
      </c>
      <c r="G17" s="8" t="s">
        <v>335</v>
      </c>
      <c r="H17" s="8">
        <v>1</v>
      </c>
    </row>
    <row r="18" spans="1:8" x14ac:dyDescent="0.25">
      <c r="A18" s="8" t="s">
        <v>339</v>
      </c>
      <c r="B18" s="9" t="s">
        <v>344</v>
      </c>
      <c r="C18" s="8"/>
      <c r="D18" s="8" t="s">
        <v>355</v>
      </c>
      <c r="E18" s="8"/>
      <c r="F18" s="8">
        <v>1</v>
      </c>
      <c r="G18" s="8" t="s">
        <v>335</v>
      </c>
      <c r="H18" s="8">
        <v>1</v>
      </c>
    </row>
    <row r="19" spans="1:8" x14ac:dyDescent="0.25">
      <c r="A19" s="8" t="s">
        <v>174</v>
      </c>
      <c r="B19" s="9" t="s">
        <v>356</v>
      </c>
      <c r="C19" s="8"/>
      <c r="D19" s="8"/>
      <c r="E19" s="8"/>
      <c r="F19" s="8">
        <v>2</v>
      </c>
      <c r="G19" s="8" t="s">
        <v>336</v>
      </c>
      <c r="H19" s="8">
        <v>1</v>
      </c>
    </row>
    <row r="20" spans="1:8" x14ac:dyDescent="0.25">
      <c r="A20" s="8" t="s">
        <v>53</v>
      </c>
      <c r="B20" s="9" t="s">
        <v>262</v>
      </c>
      <c r="C20" s="8"/>
      <c r="D20" s="8"/>
      <c r="E20" s="8"/>
      <c r="F20" s="8">
        <v>5</v>
      </c>
      <c r="G20" s="8" t="s">
        <v>336</v>
      </c>
      <c r="H20" s="8">
        <v>1</v>
      </c>
    </row>
    <row r="21" spans="1:8" ht="30" x14ac:dyDescent="0.25">
      <c r="A21" s="8" t="s">
        <v>239</v>
      </c>
      <c r="B21" s="9" t="s">
        <v>357</v>
      </c>
      <c r="C21" s="8"/>
      <c r="D21" s="8"/>
      <c r="E21" s="8"/>
      <c r="F21" s="8">
        <v>4</v>
      </c>
      <c r="G21" s="8" t="s">
        <v>7</v>
      </c>
      <c r="H21" s="8">
        <v>1</v>
      </c>
    </row>
  </sheetData>
  <mergeCells count="1">
    <mergeCell ref="P3:U3"/>
  </mergeCells>
  <dataValidations count="5">
    <dataValidation type="list" allowBlank="1" showInputMessage="1" showErrorMessage="1" sqref="C1 C7" xr:uid="{3C802A8D-DE2F-43CA-8DF4-CD2FF194322C}">
      <formula1>Medidas</formula1>
    </dataValidation>
    <dataValidation type="list" allowBlank="1" showInputMessage="1" showErrorMessage="1" sqref="A1:A1048576" xr:uid="{5F197B22-094E-47F8-9C5C-8948A65FBB14}">
      <formula1>categorias</formula1>
    </dataValidation>
    <dataValidation type="list" allowBlank="1" showInputMessage="1" showErrorMessage="1" sqref="L1:L8 L13:L14" xr:uid="{42C64874-855B-480B-8A7B-2316FD54534D}">
      <formula1>BolsosM52</formula1>
    </dataValidation>
    <dataValidation type="list" allowBlank="1" showInputMessage="1" showErrorMessage="1" sqref="G1:G1048576" xr:uid="{F3C6345E-F318-4B35-A120-84D2B7230A8A}">
      <formula1>CajonerasM52</formula1>
    </dataValidation>
    <dataValidation type="list" allowBlank="1" showInputMessage="1" showErrorMessage="1" sqref="H1:H1048576" xr:uid="{A283BD8D-EECE-4081-ACFA-3FAA898DD540}">
      <formula1>INDEX(CompartimientosM52,0,MATCH(OFFSET(INDIRECT(ADDRESS(ROW(), COLUMN())),0,-1),CajonerasM52,0))</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8">
        <x14:dataValidation type="list" allowBlank="1" showInputMessage="1" showErrorMessage="1" xr:uid="{654917F6-8232-4BD7-9A27-23C858C415F5}">
          <x14:formula1>
            <xm:f>Configuracion!$S$2:$S$11</xm:f>
          </x14:formula1>
          <xm:sqref>C4 C11:C12</xm:sqref>
        </x14:dataValidation>
        <x14:dataValidation type="list" allowBlank="1" showInputMessage="1" showErrorMessage="1" xr:uid="{E54D2135-1140-4C8A-B256-438B7FA64CBD}">
          <x14:formula1>
            <xm:f>Configuracion!$F$2:$F$11</xm:f>
          </x14:formula1>
          <xm:sqref>C3 C9:C10</xm:sqref>
        </x14:dataValidation>
        <x14:dataValidation type="list" allowBlank="1" showInputMessage="1" showErrorMessage="1" xr:uid="{24D9DCDC-43D6-4958-9444-C586D1FCB3EB}">
          <x14:formula1>
            <xm:f>Configuracion!$G$2:$G$6</xm:f>
          </x14:formula1>
          <xm:sqref>C8 C13</xm:sqref>
        </x14:dataValidation>
        <x14:dataValidation type="list" allowBlank="1" showInputMessage="1" showErrorMessage="1" xr:uid="{4B6BB9E0-626D-4A5A-BDDC-91C5C50E6B53}">
          <x14:formula1>
            <xm:f>Configuracion!$H$2:$H$3</xm:f>
          </x14:formula1>
          <xm:sqref>C5</xm:sqref>
        </x14:dataValidation>
        <x14:dataValidation type="list" allowBlank="1" showInputMessage="1" showErrorMessage="1" xr:uid="{5C4C6FCE-47B9-4C89-8F6A-01A00FFB447E}">
          <x14:formula1>
            <xm:f>Configuracion!$G$2:$G$4</xm:f>
          </x14:formula1>
          <xm:sqref>C2</xm:sqref>
        </x14:dataValidation>
        <x14:dataValidation type="list" allowBlank="1" showInputMessage="1" showErrorMessage="1" xr:uid="{8959D12C-4957-4B88-A461-C3302D42CA0B}">
          <x14:formula1>
            <xm:f>Configuracion!$I$2:$I$7</xm:f>
          </x14:formula1>
          <xm:sqref>C6</xm:sqref>
        </x14:dataValidation>
        <x14:dataValidation type="list" allowBlank="1" showInputMessage="1" showErrorMessage="1" xr:uid="{88BFC9B6-278A-4005-BD2F-6848A245B852}">
          <x14:formula1>
            <xm:f>Configuracion!$J$2:$J$3</xm:f>
          </x14:formula1>
          <xm:sqref>C16</xm:sqref>
        </x14:dataValidation>
        <x14:dataValidation type="list" allowBlank="1" showInputMessage="1" showErrorMessage="1" xr:uid="{D858E76B-4C21-4FF3-B7EA-89E3A71D38BD}">
          <x14:formula1>
            <xm:f>Configuracion!$R$2:$R$11</xm:f>
          </x14:formula1>
          <xm:sqref>C15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election activeCell="G23" sqref="G23"/>
    </sheetView>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S74"/>
  <sheetViews>
    <sheetView topLeftCell="D1" workbookViewId="0">
      <selection activeCell="P6" sqref="P6"/>
    </sheetView>
  </sheetViews>
  <sheetFormatPr defaultRowHeight="15" x14ac:dyDescent="0.25"/>
  <cols>
    <col min="1" max="1" width="22.140625" bestFit="1" customWidth="1"/>
    <col min="2" max="2" width="10.7109375" customWidth="1"/>
    <col min="5" max="5" width="11.28515625" customWidth="1"/>
    <col min="6" max="6" width="14"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85546875" bestFit="1" customWidth="1"/>
  </cols>
  <sheetData>
    <row r="1" spans="1:19" x14ac:dyDescent="0.25">
      <c r="A1" s="2" t="s">
        <v>34</v>
      </c>
      <c r="F1" t="s">
        <v>11</v>
      </c>
      <c r="G1" t="s">
        <v>32</v>
      </c>
      <c r="H1" t="s">
        <v>35</v>
      </c>
      <c r="I1" t="s">
        <v>40</v>
      </c>
      <c r="J1" t="s">
        <v>43</v>
      </c>
      <c r="K1" t="s">
        <v>44</v>
      </c>
      <c r="L1" t="s">
        <v>54</v>
      </c>
      <c r="M1" t="s">
        <v>61</v>
      </c>
      <c r="N1" t="s">
        <v>59</v>
      </c>
      <c r="O1" t="s">
        <v>87</v>
      </c>
      <c r="P1" t="s">
        <v>112</v>
      </c>
      <c r="Q1" t="s">
        <v>116</v>
      </c>
      <c r="R1" t="s">
        <v>188</v>
      </c>
      <c r="S1" t="s">
        <v>189</v>
      </c>
    </row>
    <row r="2" spans="1:19" x14ac:dyDescent="0.25">
      <c r="A2" t="s">
        <v>107</v>
      </c>
      <c r="F2" t="s">
        <v>126</v>
      </c>
      <c r="G2" t="s">
        <v>249</v>
      </c>
      <c r="H2" t="s">
        <v>37</v>
      </c>
      <c r="I2" t="s">
        <v>282</v>
      </c>
      <c r="J2" t="s">
        <v>67</v>
      </c>
      <c r="K2" t="s">
        <v>71</v>
      </c>
      <c r="P2" t="s">
        <v>114</v>
      </c>
      <c r="Q2" t="s">
        <v>134</v>
      </c>
      <c r="R2" t="s">
        <v>260</v>
      </c>
      <c r="S2" t="s">
        <v>261</v>
      </c>
    </row>
    <row r="3" spans="1:19" x14ac:dyDescent="0.25">
      <c r="A3" t="s">
        <v>352</v>
      </c>
      <c r="F3" s="4" t="s">
        <v>50</v>
      </c>
      <c r="G3" t="s">
        <v>73</v>
      </c>
      <c r="H3" t="s">
        <v>38</v>
      </c>
      <c r="J3" t="s">
        <v>66</v>
      </c>
      <c r="K3" t="s">
        <v>70</v>
      </c>
      <c r="P3" t="s">
        <v>115</v>
      </c>
      <c r="Q3" t="s">
        <v>135</v>
      </c>
    </row>
    <row r="4" spans="1:19" x14ac:dyDescent="0.25">
      <c r="A4" t="s">
        <v>43</v>
      </c>
      <c r="F4" t="s">
        <v>80</v>
      </c>
      <c r="G4" t="s">
        <v>320</v>
      </c>
      <c r="K4" t="s">
        <v>68</v>
      </c>
      <c r="P4" t="s">
        <v>113</v>
      </c>
      <c r="Q4" t="s">
        <v>136</v>
      </c>
    </row>
    <row r="5" spans="1:19" x14ac:dyDescent="0.25">
      <c r="A5" t="s">
        <v>339</v>
      </c>
      <c r="F5" s="5" t="s">
        <v>30</v>
      </c>
      <c r="G5" t="s">
        <v>33</v>
      </c>
      <c r="K5" t="s">
        <v>45</v>
      </c>
      <c r="P5" t="s">
        <v>503</v>
      </c>
      <c r="Q5" t="s">
        <v>137</v>
      </c>
    </row>
    <row r="6" spans="1:19" x14ac:dyDescent="0.25">
      <c r="A6" t="s">
        <v>501</v>
      </c>
      <c r="F6" t="s">
        <v>78</v>
      </c>
      <c r="G6" t="s">
        <v>52</v>
      </c>
      <c r="K6" t="s">
        <v>64</v>
      </c>
      <c r="Q6" t="s">
        <v>132</v>
      </c>
    </row>
    <row r="7" spans="1:19" x14ac:dyDescent="0.25">
      <c r="A7" t="s">
        <v>146</v>
      </c>
      <c r="F7" t="s">
        <v>58</v>
      </c>
      <c r="I7" t="s">
        <v>41</v>
      </c>
      <c r="K7" t="s">
        <v>333</v>
      </c>
      <c r="Q7" t="s">
        <v>133</v>
      </c>
    </row>
    <row r="8" spans="1:19" x14ac:dyDescent="0.25">
      <c r="A8" t="s">
        <v>116</v>
      </c>
      <c r="F8" t="s">
        <v>128</v>
      </c>
    </row>
    <row r="9" spans="1:19" x14ac:dyDescent="0.25">
      <c r="A9" t="s">
        <v>502</v>
      </c>
      <c r="F9" s="3" t="s">
        <v>31</v>
      </c>
      <c r="L9" t="s">
        <v>55</v>
      </c>
      <c r="M9" t="s">
        <v>63</v>
      </c>
      <c r="N9" t="s">
        <v>33</v>
      </c>
      <c r="O9" t="s">
        <v>52</v>
      </c>
    </row>
    <row r="10" spans="1:19" x14ac:dyDescent="0.25">
      <c r="A10" t="s">
        <v>123</v>
      </c>
      <c r="F10" t="s">
        <v>130</v>
      </c>
    </row>
    <row r="11" spans="1:19" x14ac:dyDescent="0.25">
      <c r="A11" s="1" t="s">
        <v>95</v>
      </c>
      <c r="F11" t="s">
        <v>322</v>
      </c>
    </row>
    <row r="12" spans="1:19" x14ac:dyDescent="0.25">
      <c r="A12" t="s">
        <v>237</v>
      </c>
    </row>
    <row r="13" spans="1:19" x14ac:dyDescent="0.25">
      <c r="A13" t="s">
        <v>408</v>
      </c>
    </row>
    <row r="14" spans="1:19" x14ac:dyDescent="0.25">
      <c r="A14" t="s">
        <v>150</v>
      </c>
    </row>
    <row r="15" spans="1:19" x14ac:dyDescent="0.25">
      <c r="A15" t="s">
        <v>435</v>
      </c>
    </row>
    <row r="16" spans="1:19" x14ac:dyDescent="0.25">
      <c r="A16" t="s">
        <v>92</v>
      </c>
    </row>
    <row r="17" spans="1:1" x14ac:dyDescent="0.25">
      <c r="A17" t="s">
        <v>279</v>
      </c>
    </row>
    <row r="18" spans="1:1" x14ac:dyDescent="0.25">
      <c r="A18" t="s">
        <v>46</v>
      </c>
    </row>
    <row r="19" spans="1:1" x14ac:dyDescent="0.25">
      <c r="A19" t="s">
        <v>394</v>
      </c>
    </row>
    <row r="20" spans="1:1" x14ac:dyDescent="0.25">
      <c r="A20" t="s">
        <v>462</v>
      </c>
    </row>
    <row r="21" spans="1:1" x14ac:dyDescent="0.25">
      <c r="A21" t="s">
        <v>430</v>
      </c>
    </row>
    <row r="22" spans="1:1" x14ac:dyDescent="0.25">
      <c r="A22" t="s">
        <v>187</v>
      </c>
    </row>
    <row r="23" spans="1:1" x14ac:dyDescent="0.25">
      <c r="A23" t="s">
        <v>53</v>
      </c>
    </row>
    <row r="24" spans="1:1" x14ac:dyDescent="0.25">
      <c r="A24" t="s">
        <v>84</v>
      </c>
    </row>
    <row r="25" spans="1:1" x14ac:dyDescent="0.25">
      <c r="A25" t="s">
        <v>267</v>
      </c>
    </row>
    <row r="26" spans="1:1" x14ac:dyDescent="0.25">
      <c r="A26" t="s">
        <v>211</v>
      </c>
    </row>
    <row r="27" spans="1:1" x14ac:dyDescent="0.25">
      <c r="A27" t="s">
        <v>188</v>
      </c>
    </row>
    <row r="28" spans="1:1" x14ac:dyDescent="0.25">
      <c r="A28" t="s">
        <v>453</v>
      </c>
    </row>
    <row r="29" spans="1:1" x14ac:dyDescent="0.25">
      <c r="A29" t="s">
        <v>208</v>
      </c>
    </row>
    <row r="30" spans="1:1" x14ac:dyDescent="0.25">
      <c r="A30" t="s">
        <v>81</v>
      </c>
    </row>
    <row r="31" spans="1:1" x14ac:dyDescent="0.25">
      <c r="A31" t="s">
        <v>35</v>
      </c>
    </row>
    <row r="32" spans="1:1" x14ac:dyDescent="0.25">
      <c r="A32" t="s">
        <v>378</v>
      </c>
    </row>
    <row r="33" spans="1:1" x14ac:dyDescent="0.25">
      <c r="A33" t="s">
        <v>412</v>
      </c>
    </row>
    <row r="34" spans="1:1" x14ac:dyDescent="0.25">
      <c r="A34" t="s">
        <v>397</v>
      </c>
    </row>
    <row r="35" spans="1:1" x14ac:dyDescent="0.25">
      <c r="A35" t="s">
        <v>174</v>
      </c>
    </row>
    <row r="36" spans="1:1" x14ac:dyDescent="0.25">
      <c r="A36" t="s">
        <v>61</v>
      </c>
    </row>
    <row r="37" spans="1:1" x14ac:dyDescent="0.25">
      <c r="A37" t="s">
        <v>142</v>
      </c>
    </row>
    <row r="38" spans="1:1" x14ac:dyDescent="0.25">
      <c r="A38" t="s">
        <v>250</v>
      </c>
    </row>
    <row r="39" spans="1:1" x14ac:dyDescent="0.25">
      <c r="A39" t="s">
        <v>112</v>
      </c>
    </row>
    <row r="40" spans="1:1" x14ac:dyDescent="0.25">
      <c r="A40" t="s">
        <v>232</v>
      </c>
    </row>
    <row r="41" spans="1:1" x14ac:dyDescent="0.25">
      <c r="A41" t="s">
        <v>104</v>
      </c>
    </row>
    <row r="42" spans="1:1" x14ac:dyDescent="0.25">
      <c r="A42" t="s">
        <v>168</v>
      </c>
    </row>
    <row r="43" spans="1:1" x14ac:dyDescent="0.25">
      <c r="A43" t="s">
        <v>170</v>
      </c>
    </row>
    <row r="44" spans="1:1" x14ac:dyDescent="0.25">
      <c r="A44" t="s">
        <v>12</v>
      </c>
    </row>
    <row r="45" spans="1:1" x14ac:dyDescent="0.25">
      <c r="A45" t="s">
        <v>32</v>
      </c>
    </row>
    <row r="46" spans="1:1" x14ac:dyDescent="0.25">
      <c r="A46" t="s">
        <v>59</v>
      </c>
    </row>
    <row r="47" spans="1:1" x14ac:dyDescent="0.25">
      <c r="A47" t="s">
        <v>233</v>
      </c>
    </row>
    <row r="48" spans="1:1" x14ac:dyDescent="0.25">
      <c r="A48" t="s">
        <v>118</v>
      </c>
    </row>
    <row r="49" spans="1:1" x14ac:dyDescent="0.25">
      <c r="A49" t="s">
        <v>266</v>
      </c>
    </row>
    <row r="50" spans="1:1" x14ac:dyDescent="0.25">
      <c r="A50" t="s">
        <v>40</v>
      </c>
    </row>
    <row r="51" spans="1:1" x14ac:dyDescent="0.25">
      <c r="A51" t="s">
        <v>217</v>
      </c>
    </row>
    <row r="52" spans="1:1" x14ac:dyDescent="0.25">
      <c r="A52" t="s">
        <v>346</v>
      </c>
    </row>
    <row r="53" spans="1:1" x14ac:dyDescent="0.25">
      <c r="A53" t="s">
        <v>147</v>
      </c>
    </row>
    <row r="54" spans="1:1" x14ac:dyDescent="0.25">
      <c r="A54" t="s">
        <v>165</v>
      </c>
    </row>
    <row r="55" spans="1:1" x14ac:dyDescent="0.25">
      <c r="A55" t="s">
        <v>151</v>
      </c>
    </row>
    <row r="56" spans="1:1" x14ac:dyDescent="0.25">
      <c r="A56" t="s">
        <v>414</v>
      </c>
    </row>
    <row r="57" spans="1:1" x14ac:dyDescent="0.25">
      <c r="A57" t="s">
        <v>284</v>
      </c>
    </row>
    <row r="58" spans="1:1" x14ac:dyDescent="0.25">
      <c r="A58" t="s">
        <v>87</v>
      </c>
    </row>
    <row r="59" spans="1:1" x14ac:dyDescent="0.25">
      <c r="A59" t="s">
        <v>138</v>
      </c>
    </row>
    <row r="60" spans="1:1" x14ac:dyDescent="0.25">
      <c r="A60" t="s">
        <v>268</v>
      </c>
    </row>
    <row r="61" spans="1:1" x14ac:dyDescent="0.25">
      <c r="A61" t="s">
        <v>269</v>
      </c>
    </row>
    <row r="62" spans="1:1" x14ac:dyDescent="0.25">
      <c r="A62" t="s">
        <v>426</v>
      </c>
    </row>
    <row r="63" spans="1:1" x14ac:dyDescent="0.25">
      <c r="A63" t="s">
        <v>420</v>
      </c>
    </row>
    <row r="64" spans="1:1" x14ac:dyDescent="0.25">
      <c r="A64" t="s">
        <v>239</v>
      </c>
    </row>
    <row r="65" spans="1:1" x14ac:dyDescent="0.25">
      <c r="A65" t="s">
        <v>102</v>
      </c>
    </row>
    <row r="66" spans="1:1" x14ac:dyDescent="0.25">
      <c r="A66" t="s">
        <v>44</v>
      </c>
    </row>
    <row r="67" spans="1:1" x14ac:dyDescent="0.25">
      <c r="A67" t="s">
        <v>213</v>
      </c>
    </row>
    <row r="68" spans="1:1" x14ac:dyDescent="0.25">
      <c r="A68" t="s">
        <v>90</v>
      </c>
    </row>
    <row r="69" spans="1:1" x14ac:dyDescent="0.25">
      <c r="A69" t="s">
        <v>88</v>
      </c>
    </row>
    <row r="70" spans="1:1" x14ac:dyDescent="0.25">
      <c r="A70" t="s">
        <v>429</v>
      </c>
    </row>
    <row r="71" spans="1:1" x14ac:dyDescent="0.25">
      <c r="A71" t="s">
        <v>93</v>
      </c>
    </row>
    <row r="72" spans="1:1" x14ac:dyDescent="0.25">
      <c r="A72" t="s">
        <v>11</v>
      </c>
    </row>
    <row r="73" spans="1:1" x14ac:dyDescent="0.25">
      <c r="A73" t="s">
        <v>54</v>
      </c>
    </row>
    <row r="74" spans="1:1" x14ac:dyDescent="0.25">
      <c r="A74" t="s">
        <v>189</v>
      </c>
    </row>
  </sheetData>
  <dataValidations count="1">
    <dataValidation type="list" allowBlank="1" showInputMessage="1" showErrorMessage="1" sqref="A5" xr:uid="{CA02A1E7-7F8B-4366-B3D8-3CEE4A6D4640}">
      <formula1>categorias</formula1>
    </dataValidation>
  </dataValidations>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25</vt:i4>
      </vt:variant>
    </vt:vector>
  </HeadingPairs>
  <TitlesOfParts>
    <vt:vector size="31" baseType="lpstr">
      <vt:lpstr>Movil 51</vt:lpstr>
      <vt:lpstr>Movil 41</vt:lpstr>
      <vt:lpstr>Movil 39</vt:lpstr>
      <vt:lpstr>Movil 52</vt:lpstr>
      <vt:lpstr>Inventario general</vt:lpstr>
      <vt:lpstr>Configuracion</vt:lpstr>
      <vt:lpstr>'Movil 39'!Bolsos</vt:lpstr>
      <vt:lpstr>Bolsos</vt:lpstr>
      <vt:lpstr>'Movil 39'!BolsosM41</vt:lpstr>
      <vt:lpstr>BolsosM41</vt:lpstr>
      <vt:lpstr>BolsosM52</vt:lpstr>
      <vt:lpstr>'Movil 39'!Cajoneras</vt:lpstr>
      <vt:lpstr>Cajoneras</vt:lpstr>
      <vt:lpstr>'Movil 39'!CajonerasM39</vt:lpstr>
      <vt:lpstr>CajonerasM39</vt:lpstr>
      <vt:lpstr>CajonerasM41</vt:lpstr>
      <vt:lpstr>CajonerasM52</vt:lpstr>
      <vt:lpstr>'Movil 39'!categorias</vt:lpstr>
      <vt:lpstr>categorias</vt:lpstr>
      <vt:lpstr>'Movil 39'!Compartimientos</vt:lpstr>
      <vt:lpstr>Compartimientos</vt:lpstr>
      <vt:lpstr>CompartimientosM39</vt:lpstr>
      <vt:lpstr>'Movil 39'!CompartimientosM41</vt:lpstr>
      <vt:lpstr>CompartimientosM41</vt:lpstr>
      <vt:lpstr>CompartimientosM52</vt:lpstr>
      <vt:lpstr>'Movil 39'!Medidas</vt:lpstr>
      <vt:lpstr>Medidas</vt:lpstr>
      <vt:lpstr>'Movil 51'!Print_Area</vt:lpstr>
      <vt:lpstr>'Movil 51'!Print_Titles</vt:lpstr>
      <vt:lpstr>'Movil 39'!validacion</vt:lpstr>
      <vt:lpstr>validacion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2018-09-17T00:16:30Z</dcterms:modified>
</cp:coreProperties>
</file>